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Data" sheetId="2" state="visible" r:id="rId2"/>
    <sheet name="Fit" sheetId="3" state="visible" r:id="rId3"/>
    <sheet name="Horizon" sheetId="4" state="visible" r:id="rId4"/>
    <sheet name="Newsvendor" sheetId="5" state="visible" r:id="rId5"/>
    <sheet name="Discrete" sheetId="6" state="visible" r:id="rId6"/>
  </sheets>
  <definedNames>
    <definedName name="Demand">'Data'!$B$18:$B$121</definedName>
    <definedName name="HorizonQ">'Horizon'!$A$18:$A$718</definedName>
    <definedName name="HorizonLoss">'Horizon'!$D$18:$D$718</definedName>
    <definedName name="HorizonReached">'Horizon'!$E$18:$E$718</definedName>
    <definedName name="Candidate">'Discrete'!$A$18:$A$33</definedName>
    <definedName name="Reached">'Discrete'!$F$18:$F$33</definedName>
  </definedNames>
  <calcPr calcId="124519" fullCalcOnLoad="1"/>
</workbook>
</file>

<file path=xl/styles.xml><?xml version="1.0" encoding="utf-8"?>
<styleSheet xmlns="http://schemas.openxmlformats.org/spreadsheetml/2006/main">
  <numFmts count="7">
    <numFmt numFmtId="164" formatCode="0.0000"/>
    <numFmt numFmtId="165" formatCode="0.000000"/>
    <numFmt numFmtId="166" formatCode="0.000000001"/>
    <numFmt numFmtId="167" formatCode="&quot;$&quot;#,##0"/>
    <numFmt numFmtId="168" formatCode="0.0000%"/>
    <numFmt numFmtId="169" formatCode="&quot;$&quot;#,##0.00"/>
    <numFmt numFmtId="170" formatCode="0.0000000000"/>
  </numFmts>
  <fonts count="6">
    <font>
      <name val="Calibri"/>
      <family val="2"/>
      <color theme="1"/>
      <sz val="11"/>
      <scheme val="minor"/>
    </font>
    <font>
      <b val="1"/>
      <color rgb="00274060"/>
      <sz val="14"/>
    </font>
    <font>
      <i val="1"/>
      <color rgb="00666666"/>
      <sz val="9"/>
    </font>
    <font>
      <b val="1"/>
      <color rgb="00274060"/>
      <sz val="11"/>
    </font>
    <font>
      <b val="1"/>
      <sz val="10"/>
    </font>
    <font>
      <b val="1"/>
    </font>
  </fonts>
  <fills count="6">
    <fill>
      <patternFill/>
    </fill>
    <fill>
      <patternFill patternType="gray125"/>
    </fill>
    <fill>
      <patternFill patternType="solid">
        <fgColor rgb="00F2F2F2"/>
      </patternFill>
    </fill>
    <fill>
      <patternFill patternType="solid">
        <fgColor rgb="00EDE3F2"/>
      </patternFill>
    </fill>
    <fill>
      <patternFill patternType="solid">
        <fgColor rgb="00FFF2CC"/>
      </patternFill>
    </fill>
    <fill>
      <patternFill patternType="solid">
        <fgColor rgb="00DCE6F1"/>
      </patternFill>
    </fill>
  </fills>
  <borders count="4">
    <border>
      <left/>
      <right/>
      <top/>
      <bottom/>
      <diagonal/>
    </border>
    <border>
      <bottom style="thin">
        <color rgb="00999999"/>
      </bottom>
    </border>
    <border>
      <right style="medium">
        <color rgb="00999999"/>
      </right>
      <bottom style="thin">
        <color rgb="00999999"/>
      </bottom>
    </border>
    <border>
      <left/>
      <right style="medium">
        <color rgb="00999999"/>
      </right>
      <top/>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3" fillId="0" borderId="0" pivotButton="0" quotePrefix="0" xfId="0"/>
    <xf numFmtId="3" fontId="0" fillId="2" borderId="0" pivotButton="0" quotePrefix="0" xfId="0"/>
    <xf numFmtId="164" fontId="0" fillId="2" borderId="0" pivotButton="0" quotePrefix="0" xfId="0"/>
    <xf numFmtId="0" fontId="4" fillId="0" borderId="1" pivotButton="0" quotePrefix="0" xfId="0"/>
    <xf numFmtId="0" fontId="4" fillId="0" borderId="2" pivotButton="0" quotePrefix="0" xfId="0"/>
    <xf numFmtId="3" fontId="0" fillId="0" borderId="0" pivotButton="0" quotePrefix="0" xfId="0"/>
    <xf numFmtId="3" fontId="0" fillId="0" borderId="3" pivotButton="0" quotePrefix="0" xfId="0"/>
    <xf numFmtId="3" fontId="0" fillId="3" borderId="0" pivotButton="0" quotePrefix="0" xfId="0"/>
    <xf numFmtId="3" fontId="0" fillId="3" borderId="3" pivotButton="0" quotePrefix="0" xfId="0"/>
    <xf numFmtId="0" fontId="0" fillId="0" borderId="3" pivotButton="0" quotePrefix="0" xfId="0"/>
    <xf numFmtId="0" fontId="0" fillId="4" borderId="0" pivotButton="0" quotePrefix="0" xfId="0"/>
    <xf numFmtId="165" fontId="0" fillId="2" borderId="0" pivotButton="0" quotePrefix="0" xfId="0"/>
    <xf numFmtId="166" fontId="0" fillId="2" borderId="0" pivotButton="0" quotePrefix="0" xfId="0"/>
    <xf numFmtId="3" fontId="0" fillId="5" borderId="0" pivotButton="0" quotePrefix="0" xfId="0"/>
    <xf numFmtId="10" fontId="0" fillId="2" borderId="0" pivotButton="0" quotePrefix="0" xfId="0"/>
    <xf numFmtId="167" fontId="0" fillId="2" borderId="0" pivotButton="0" quotePrefix="0" xfId="0"/>
    <xf numFmtId="168" fontId="0" fillId="2" borderId="0" pivotButton="0" quotePrefix="0" xfId="0"/>
    <xf numFmtId="11" fontId="0" fillId="2" borderId="0" pivotButton="0" quotePrefix="0" xfId="0"/>
    <xf numFmtId="0" fontId="0" fillId="2" borderId="0" pivotButton="0" quotePrefix="0" xfId="0"/>
    <xf numFmtId="0" fontId="3" fillId="0" borderId="3" pivotButton="0" quotePrefix="0" xfId="0"/>
    <xf numFmtId="169" fontId="0" fillId="5" borderId="0" pivotButton="0" quotePrefix="0" xfId="0"/>
    <xf numFmtId="169" fontId="0" fillId="2" borderId="0" pivotButton="0" quotePrefix="0" xfId="0"/>
    <xf numFmtId="0" fontId="2" fillId="0" borderId="3" pivotButton="0" quotePrefix="0" xfId="0"/>
    <xf numFmtId="170" fontId="0" fillId="2" borderId="0" pivotButton="0" quotePrefix="0" xfId="0"/>
    <xf numFmtId="164" fontId="0" fillId="5" borderId="0" pivotButton="0" quotePrefix="0" xfId="0"/>
    <xf numFmtId="167" fontId="0" fillId="2" borderId="3" pivotButton="0" quotePrefix="0" xfId="0"/>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drawing1.xml><?xml version="1.0" encoding="utf-8"?>
<xdr:wsDr xmlns:xdr="http://schemas.openxmlformats.org/drawingml/2006/spreadsheetDrawing" xmlns:a="http://schemas.openxmlformats.org/drawingml/2006/main">
  <xdr:twoCellAnchor>
    <xdr:from>
      <xdr:col>6</xdr:col>
      <xdr:colOff>0</xdr:colOff>
      <xdr:row>4</xdr:row>
      <xdr:rowOff>0</xdr:rowOff>
    </xdr:from>
    <xdr:to>
      <xdr:col>11</xdr:col>
      <xdr:colOff>0</xdr:colOff>
      <xdr:row>12</xdr:row>
      <xdr:rowOff>0</xdr:rowOff>
    </xdr:to>
    <xdr:sp macro="" textlink="">
      <xdr:nvSpPr>
        <xdr:cNvPr id="1024" name="TextBox 1"/>
        <xdr:cNvSpPr txBox="1"/>
      </xdr:nvSpPr>
      <xdr:spPr>
        <a:xfrm>
          <a:off x="4200000" y="762000"/>
          <a:ext cx="3500000" cy="15240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Read the summary before the histogram.</a:t>
          </a:r>
        </a:p>
        <a:p>
          <a:r>
            <a:rPr lang="en-US" sz="1100" baseline="0"/>
            <a:t>And read the median before anything else. A median of 26 against a</a:t>
          </a:r>
        </a:p>
        <a:p>
          <a:r>
            <a:rPr lang="en-US" sz="1100" baseline="0"/>
            <a:t>mean of 34.6 says the distribution is right-skewed, which rules out</a:t>
          </a:r>
        </a:p>
        <a:p>
          <a:r>
            <a:rPr lang="en-US" sz="1100" baseline="0"/>
            <a:t>the normal without any test being run.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4</xdr:row>
      <xdr:rowOff>0</xdr:rowOff>
    </xdr:from>
    <xdr:to>
      <xdr:col>14</xdr:col>
      <xdr:colOff>0</xdr:colOff>
      <xdr:row>12</xdr:row>
      <xdr:rowOff>0</xdr:rowOff>
    </xdr:to>
    <xdr:sp macro="" textlink="">
      <xdr:nvSpPr>
        <xdr:cNvPr id="1024" name="TextBox 1"/>
        <xdr:cNvSpPr txBox="1"/>
      </xdr:nvSpPr>
      <xdr:spPr>
        <a:xfrm>
          <a:off x="4200000" y="762000"/>
          <a:ext cx="5600000" cy="15240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One number decides the family.</a:t>
          </a:r>
        </a:p>
        <a:p>
          <a:r>
            <a:rPr lang="en-US" sz="1100" baseline="0"/>
            <a:t>The variance to mean ratio is 18.4. A Poisson fixes it at one and a</a:t>
          </a:r>
        </a:p>
        <a:p>
          <a:r>
            <a:rPr lang="en-US" sz="1100" baseline="0"/>
            <a:t>binomial holds it below one, so neither can describe this history at</a:t>
          </a:r>
        </a:p>
        <a:p>
          <a:r>
            <a:rPr lang="en-US" sz="1100" baseline="0"/>
            <a:t>any parameter. Row 12 says so before anything is fitted, and the</a:t>
          </a:r>
        </a:p>
        <a:p>
          <a:r>
            <a:rPr lang="en-US" sz="1100" baseline="0"/>
            <a:t>KSL's binomial estimator refuses the data for the same reason.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4</xdr:row>
      <xdr:rowOff>0</xdr:rowOff>
    </xdr:from>
    <xdr:to>
      <xdr:col>15</xdr:col>
      <xdr:colOff>0</xdr:colOff>
      <xdr:row>12</xdr:row>
      <xdr:rowOff>0</xdr:rowOff>
    </xdr:to>
    <xdr:sp macro="" textlink="">
      <xdr:nvSpPr>
        <xdr:cNvPr id="1024" name="TextBox 1"/>
        <xdr:cNvSpPr txBox="1"/>
      </xdr:nvSpPr>
      <xdr:spPr>
        <a:xfrm>
          <a:off x="4900000" y="762000"/>
          <a:ext cx="5600000" cy="15240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Exact, and built from nothing but arithmetic.</a:t>
          </a:r>
        </a:p>
        <a:p>
          <a:r>
            <a:rPr lang="en-US" sz="1100" baseline="0"/>
            <a:t>Negative binomials that share p add, so fourteen weeks of the fitted</a:t>
          </a:r>
        </a:p>
        <a:p>
          <a:r>
            <a:rPr lang="en-US" sz="1100" baseline="0"/>
            <a:t>weekly model is a negative binomial too. The mass function is a</a:t>
          </a:r>
        </a:p>
        <a:p>
          <a:r>
            <a:rPr lang="en-US" sz="1100" baseline="0"/>
            <a:t>recursion and the rest is running sums, which is why this sheet</a:t>
          </a:r>
        </a:p>
        <a:p>
          <a:r>
            <a:rPr lang="en-US" sz="1100" baseline="0"/>
            <a:t>needs no function Excel does not already have.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12</xdr:row>
      <xdr:rowOff>0</xdr:rowOff>
    </xdr:to>
    <xdr:sp macro="" textlink="">
      <xdr:nvSpPr>
        <xdr:cNvPr id="1024" name="TextBox 1"/>
        <xdr:cNvSpPr txBox="1"/>
      </xdr:nvSpPr>
      <xdr:spPr>
        <a:xfrm>
          <a:off x="3500000" y="762000"/>
          <a:ext cx="4200000" cy="15240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Row 34 is the arithmetic check, wired into the sheet.</a:t>
          </a:r>
        </a:p>
        <a:p>
          <a:r>
            <a:rPr lang="en-US" sz="1100" baseline="0"/>
            <a:t>Equation 7.9 has two forms and they must agree, so the difference</a:t>
          </a:r>
        </a:p>
        <a:p>
          <a:r>
            <a:rPr lang="en-US" sz="1100" baseline="0"/>
            <a:t>reads zero. If it ever does not, the loss function and the quantity</a:t>
          </a:r>
        </a:p>
        <a:p>
          <a:r>
            <a:rPr lang="en-US" sz="1100" baseline="0"/>
            <a:t>were not computed from the same z.</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0</xdr:colOff>
      <xdr:row>12</xdr:row>
      <xdr:rowOff>0</xdr:rowOff>
    </xdr:to>
    <xdr:sp macro="" textlink="">
      <xdr:nvSpPr>
        <xdr:cNvPr id="1024" name="TextBox 1"/>
        <xdr:cNvSpPr txBox="1"/>
      </xdr:nvSpPr>
      <xdr:spPr>
        <a:xfrm>
          <a:off x="6300000" y="762000"/>
          <a:ext cx="4200000" cy="15240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The highlight is a formula, not a colour applied by hand.</a:t>
          </a:r>
        </a:p>
        <a:p>
          <a:r>
            <a:rPr lang="en-US" sz="1100" baseline="0"/>
            <a:t>Lower the emergency purchase price and watch it move up the table.</a:t>
          </a:r>
        </a:p>
        <a:p>
          <a:r>
            <a:rPr lang="en-US" sz="1100" baseline="0"/>
            <a:t>The expected cost column is not used by the rule. It is there</a:t>
          </a:r>
        </a:p>
        <a:p>
          <a:r>
            <a:rPr lang="en-US" sz="1100" baseline="0"/>
            <a:t>because the rule and the direct calculation have to agree.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00" customWidth="1" min="1" max="1"/>
  </cols>
  <sheetData>
    <row r="1">
      <c r="A1" s="1" t="inlineStr">
        <is>
          <t>Chapter 7, single-period stochastic inventory</t>
        </is>
      </c>
    </row>
    <row r="2">
      <c r="A2" t="inlineStr"/>
    </row>
    <row r="3">
      <c r="A3" s="2" t="inlineStr">
        <is>
          <t>Five sheets, in the order the chapter works.</t>
        </is>
      </c>
    </row>
    <row r="4">
      <c r="A4" t="inlineStr"/>
    </row>
    <row r="5">
      <c r="A5" s="3" t="inlineStr">
        <is>
          <t>Data        104 weeks of demand for the belt, its summary statistics and its histogram.</t>
        </is>
      </c>
    </row>
    <row r="6">
      <c r="A6" s="2" t="inlineStr">
        <is>
          <t xml:space="preserve">            Nothing here assumes a distribution.</t>
        </is>
      </c>
    </row>
    <row r="7">
      <c r="A7" s="3" t="inlineStr">
        <is>
          <t>Fit         The variance to mean ratio, the family it leaves standing, and the fitted</t>
        </is>
      </c>
    </row>
    <row r="8">
      <c r="A8" s="2" t="inlineStr">
        <is>
          <t xml:space="preserve">            parameters. Then the horizon, and what each model would have you order.</t>
        </is>
      </c>
    </row>
    <row r="9">
      <c r="A9" s="3" t="inlineStr">
        <is>
          <t>Horizon     The fitted model aggregated over fourteen weeks and walked one belt at a</t>
        </is>
      </c>
    </row>
    <row r="10">
      <c r="A10" s="2" t="inlineStr">
        <is>
          <t xml:space="preserve">            time, which gives the exact answer the approximations are measured against.</t>
        </is>
      </c>
    </row>
    <row r="11">
      <c r="A11" s="3" t="inlineStr">
        <is>
          <t>Newsvendor  The decision. Inputs are an invoice; the model's costs are derived from them.</t>
        </is>
      </c>
    </row>
    <row r="12">
      <c r="A12" s="2" t="inlineStr">
        <is>
          <t xml:space="preserve">            Both forms of the expected cost are computed and their difference is displayed.</t>
        </is>
      </c>
    </row>
    <row r="13">
      <c r="A13" s="3" t="inlineStr">
        <is>
          <t>Discrete    The same decision on a small count, walked one unit at a time.</t>
        </is>
      </c>
    </row>
    <row r="14">
      <c r="A14" t="inlineStr"/>
    </row>
    <row r="15">
      <c r="A15" s="2" t="inlineStr">
        <is>
          <t>Blue cells are inputs. Grey cells are computed. Yellow cells are a choice the sheet made.</t>
        </is>
      </c>
    </row>
    <row r="16">
      <c r="A16" t="inlineStr"/>
    </row>
    <row r="17">
      <c r="A17" s="2" t="inlineStr">
        <is>
          <t>There are no macros. Every number can be traced by clicking the cell that produced it.</t>
        </is>
      </c>
    </row>
    <row r="18">
      <c r="A18" s="2" t="inlineStr">
        <is>
          <t>The normal loss function is NORM.S.DIST arithmetic on the Newsvendor sheet and a</t>
        </is>
      </c>
    </row>
    <row r="19">
      <c r="A19" s="2" t="inlineStr">
        <is>
          <t>recursion on the Discrete sheet, for the same reason.</t>
        </is>
      </c>
    </row>
    <row r="20">
      <c r="A20" t="inlineStr"/>
    </row>
    <row r="21">
      <c r="A21" s="2" t="inlineStr">
        <is>
          <t>The weekly history is generated from a fixed KSL stream, so the figures here are the</t>
        </is>
      </c>
    </row>
    <row r="22">
      <c r="A22" s="2" t="inlineStr">
        <is>
          <t>ones in the chapter. See inventory.newsvendor.FinalBuy in the course code project.</t>
        </is>
      </c>
    </row>
  </sheetData>
  <pageMargins left="0.75" right="0.75" top="1" bottom="1" header="0.5" footer="0.5"/>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D121"/>
  <sheetViews>
    <sheetView workbookViewId="0">
      <selection activeCell="A1" sqref="A1"/>
    </sheetView>
  </sheetViews>
  <sheetFormatPr baseColWidth="8" defaultRowHeight="15"/>
  <cols>
    <col width="26" customWidth="1" min="1" max="1"/>
    <col width="11" customWidth="1" min="2" max="2"/>
    <col width="10" customWidth="1" min="3" max="3"/>
    <col width="10" customWidth="1" min="4" max="4"/>
  </cols>
  <sheetData>
    <row r="1">
      <c r="A1" s="1" t="inlineStr">
        <is>
          <t>What was observed</t>
        </is>
      </c>
    </row>
    <row r="2">
      <c r="A2" s="2" t="inlineStr">
        <is>
          <t>Chapter 7, section 7.3. One hundred and four weeks of demand for the belt. Nothing on this sheet assumes a distribution.</t>
        </is>
      </c>
    </row>
    <row r="4">
      <c r="A4" s="4" t="inlineStr">
        <is>
          <t>SUMMARY      computed from the history below, and nothing else</t>
        </is>
      </c>
    </row>
    <row r="5">
      <c r="A5" s="2" t="inlineStr">
        <is>
          <t>The median sits beside the mean on purpose. A median well below a mean says the distribution is right-skewed, which rules out the normal before any test is run.</t>
        </is>
      </c>
    </row>
    <row r="6">
      <c r="A6" t="inlineStr">
        <is>
          <t>Weeks observed</t>
        </is>
      </c>
      <c r="B6" s="5">
        <f>COUNT(Demand)</f>
        <v/>
      </c>
    </row>
    <row r="7">
      <c r="A7" t="inlineStr">
        <is>
          <t>Mean</t>
        </is>
      </c>
      <c r="B7" s="6">
        <f>AVERAGE(Demand)</f>
        <v/>
      </c>
    </row>
    <row r="8">
      <c r="A8" t="inlineStr">
        <is>
          <t>Median</t>
        </is>
      </c>
      <c r="B8" s="6">
        <f>MEDIAN(Demand)</f>
        <v/>
      </c>
    </row>
    <row r="9">
      <c r="A9" t="inlineStr">
        <is>
          <t>Variance</t>
        </is>
      </c>
      <c r="B9" s="6">
        <f>_xlfn.VAR.S(Demand)</f>
        <v/>
      </c>
    </row>
    <row r="10">
      <c r="A10" t="inlineStr">
        <is>
          <t>Standard deviation</t>
        </is>
      </c>
      <c r="B10" s="6">
        <f>SQRT(_xlfn.VAR.S(Demand))</f>
        <v/>
      </c>
    </row>
    <row r="11">
      <c r="A11" t="inlineStr">
        <is>
          <t>Coefficient of variation</t>
        </is>
      </c>
      <c r="B11" s="6">
        <f>SQRT(_xlfn.VAR.S(Demand))/AVERAGE(Demand)</f>
        <v/>
      </c>
    </row>
    <row r="12">
      <c r="A12" t="inlineStr">
        <is>
          <t>Smallest week</t>
        </is>
      </c>
      <c r="B12" s="5">
        <f>MIN(Demand)</f>
        <v/>
      </c>
    </row>
    <row r="13">
      <c r="A13" t="inlineStr">
        <is>
          <t>Largest week</t>
        </is>
      </c>
      <c r="B13" s="5">
        <f>MAX(Demand)</f>
        <v/>
      </c>
    </row>
    <row r="15">
      <c r="A15" s="4" t="inlineStr">
        <is>
          <t>THE HISTORY      week by week, and its shape</t>
        </is>
      </c>
    </row>
    <row r="16">
      <c r="A16" s="2" t="inlineStr">
        <is>
          <t>Columns C and D bin the same numbers, ten belts to a bin: the row marked 10 counts the weeks that sold 10 through 19. These are the bars of Figure 7.2.</t>
        </is>
      </c>
    </row>
    <row r="17">
      <c r="A17" s="7" t="inlineStr">
        <is>
          <t>Week</t>
        </is>
      </c>
      <c r="B17" s="8" t="inlineStr">
        <is>
          <t>Demand</t>
        </is>
      </c>
      <c r="C17" s="7" t="inlineStr">
        <is>
          <t>From</t>
        </is>
      </c>
      <c r="D17" s="8" t="inlineStr">
        <is>
          <t>Weeks</t>
        </is>
      </c>
    </row>
    <row r="18">
      <c r="A18" s="9" t="n">
        <v>1</v>
      </c>
      <c r="B18" s="10" t="n">
        <v>94</v>
      </c>
      <c r="C18" s="11" t="n">
        <v>0</v>
      </c>
      <c r="D18" s="12">
        <f>COUNTIFS(Demand,"&gt;=0",Demand,"&lt;10")</f>
        <v/>
      </c>
    </row>
    <row r="19">
      <c r="A19" s="9" t="n">
        <v>2</v>
      </c>
      <c r="B19" s="10" t="n">
        <v>67</v>
      </c>
      <c r="C19" s="11" t="n">
        <v>10</v>
      </c>
      <c r="D19" s="12">
        <f>COUNTIFS(Demand,"&gt;=10",Demand,"&lt;20")</f>
        <v/>
      </c>
    </row>
    <row r="20">
      <c r="A20" s="9" t="n">
        <v>3</v>
      </c>
      <c r="B20" s="10" t="n">
        <v>31</v>
      </c>
      <c r="C20" s="11" t="n">
        <v>20</v>
      </c>
      <c r="D20" s="12">
        <f>COUNTIFS(Demand,"&gt;=20",Demand,"&lt;30")</f>
        <v/>
      </c>
    </row>
    <row r="21">
      <c r="A21" s="9" t="n">
        <v>4</v>
      </c>
      <c r="B21" s="10" t="n">
        <v>35</v>
      </c>
      <c r="C21" s="11" t="n">
        <v>30</v>
      </c>
      <c r="D21" s="12">
        <f>COUNTIFS(Demand,"&gt;=30",Demand,"&lt;40")</f>
        <v/>
      </c>
    </row>
    <row r="22">
      <c r="A22" s="9" t="n">
        <v>5</v>
      </c>
      <c r="B22" s="10" t="n">
        <v>37</v>
      </c>
      <c r="C22" s="11" t="n">
        <v>40</v>
      </c>
      <c r="D22" s="12">
        <f>COUNTIFS(Demand,"&gt;=40",Demand,"&lt;50")</f>
        <v/>
      </c>
    </row>
    <row r="23">
      <c r="A23" s="9" t="n">
        <v>6</v>
      </c>
      <c r="B23" s="10" t="n">
        <v>2</v>
      </c>
      <c r="C23" s="11" t="n">
        <v>50</v>
      </c>
      <c r="D23" s="12">
        <f>COUNTIFS(Demand,"&gt;=50",Demand,"&lt;60")</f>
        <v/>
      </c>
    </row>
    <row r="24">
      <c r="A24" s="9" t="n">
        <v>7</v>
      </c>
      <c r="B24" s="10" t="n">
        <v>110</v>
      </c>
      <c r="C24" s="11" t="n">
        <v>60</v>
      </c>
      <c r="D24" s="12">
        <f>COUNTIFS(Demand,"&gt;=60",Demand,"&lt;70")</f>
        <v/>
      </c>
    </row>
    <row r="25">
      <c r="A25" s="9" t="n">
        <v>8</v>
      </c>
      <c r="B25" s="10" t="n">
        <v>29</v>
      </c>
      <c r="C25" s="11" t="n">
        <v>70</v>
      </c>
      <c r="D25" s="12">
        <f>COUNTIFS(Demand,"&gt;=70",Demand,"&lt;80")</f>
        <v/>
      </c>
    </row>
    <row r="26">
      <c r="A26" s="9" t="n">
        <v>9</v>
      </c>
      <c r="B26" s="10" t="n">
        <v>8</v>
      </c>
      <c r="C26" s="11" t="n">
        <v>80</v>
      </c>
      <c r="D26" s="12">
        <f>COUNTIFS(Demand,"&gt;=80",Demand,"&lt;90")</f>
        <v/>
      </c>
    </row>
    <row r="27">
      <c r="A27" s="9" t="n">
        <v>10</v>
      </c>
      <c r="B27" s="10" t="n">
        <v>23</v>
      </c>
      <c r="C27" s="11" t="n">
        <v>90</v>
      </c>
      <c r="D27" s="12">
        <f>COUNTIFS(Demand,"&gt;=90",Demand,"&lt;100")</f>
        <v/>
      </c>
    </row>
    <row r="28">
      <c r="A28" s="9" t="n">
        <v>11</v>
      </c>
      <c r="B28" s="10" t="n">
        <v>59</v>
      </c>
      <c r="C28" s="11" t="n">
        <v>100</v>
      </c>
      <c r="D28" s="12">
        <f>COUNTIFS(Demand,"&gt;=100",Demand,"&lt;110")</f>
        <v/>
      </c>
    </row>
    <row r="29">
      <c r="A29" s="9" t="n">
        <v>12</v>
      </c>
      <c r="B29" s="10" t="n">
        <v>29</v>
      </c>
      <c r="C29" s="11" t="n">
        <v>110</v>
      </c>
      <c r="D29" s="12">
        <f>COUNTIFS(Demand,"&gt;=110",Demand,"&lt;120")</f>
        <v/>
      </c>
    </row>
    <row r="30">
      <c r="A30" s="9" t="n">
        <v>13</v>
      </c>
      <c r="B30" s="10" t="n">
        <v>26</v>
      </c>
    </row>
    <row r="31">
      <c r="A31" s="9" t="n">
        <v>14</v>
      </c>
      <c r="B31" s="10" t="n">
        <v>78</v>
      </c>
    </row>
    <row r="32">
      <c r="A32" s="9" t="n">
        <v>15</v>
      </c>
      <c r="B32" s="10" t="n">
        <v>68</v>
      </c>
    </row>
    <row r="33">
      <c r="A33" s="9" t="n">
        <v>16</v>
      </c>
      <c r="B33" s="10" t="n">
        <v>30</v>
      </c>
    </row>
    <row r="34">
      <c r="A34" s="9" t="n">
        <v>17</v>
      </c>
      <c r="B34" s="10" t="n">
        <v>40</v>
      </c>
    </row>
    <row r="35">
      <c r="A35" s="9" t="n">
        <v>18</v>
      </c>
      <c r="B35" s="10" t="n">
        <v>37</v>
      </c>
    </row>
    <row r="36">
      <c r="A36" s="9" t="n">
        <v>19</v>
      </c>
      <c r="B36" s="10" t="n">
        <v>36</v>
      </c>
    </row>
    <row r="37">
      <c r="A37" s="9" t="n">
        <v>20</v>
      </c>
      <c r="B37" s="10" t="n">
        <v>18</v>
      </c>
    </row>
    <row r="38">
      <c r="A38" s="9" t="n">
        <v>21</v>
      </c>
      <c r="B38" s="10" t="n">
        <v>76</v>
      </c>
    </row>
    <row r="39">
      <c r="A39" s="9" t="n">
        <v>22</v>
      </c>
      <c r="B39" s="10" t="n">
        <v>95</v>
      </c>
    </row>
    <row r="40">
      <c r="A40" s="9" t="n">
        <v>23</v>
      </c>
      <c r="B40" s="10" t="n">
        <v>66</v>
      </c>
    </row>
    <row r="41">
      <c r="A41" s="9" t="n">
        <v>24</v>
      </c>
      <c r="B41" s="10" t="n">
        <v>38</v>
      </c>
    </row>
    <row r="42">
      <c r="A42" s="9" t="n">
        <v>25</v>
      </c>
      <c r="B42" s="10" t="n">
        <v>53</v>
      </c>
    </row>
    <row r="43">
      <c r="A43" s="9" t="n">
        <v>26</v>
      </c>
      <c r="B43" s="10" t="n">
        <v>8</v>
      </c>
    </row>
    <row r="44">
      <c r="A44" s="9" t="n">
        <v>27</v>
      </c>
      <c r="B44" s="10" t="n">
        <v>37</v>
      </c>
    </row>
    <row r="45">
      <c r="A45" s="9" t="n">
        <v>28</v>
      </c>
      <c r="B45" s="10" t="n">
        <v>25</v>
      </c>
    </row>
    <row r="46">
      <c r="A46" s="9" t="n">
        <v>29</v>
      </c>
      <c r="B46" s="10" t="n">
        <v>19</v>
      </c>
    </row>
    <row r="47">
      <c r="A47" s="9" t="n">
        <v>30</v>
      </c>
      <c r="B47" s="10" t="n">
        <v>25</v>
      </c>
    </row>
    <row r="48">
      <c r="A48" s="9" t="n">
        <v>31</v>
      </c>
      <c r="B48" s="10" t="n">
        <v>21</v>
      </c>
    </row>
    <row r="49">
      <c r="A49" s="9" t="n">
        <v>32</v>
      </c>
      <c r="B49" s="10" t="n">
        <v>22</v>
      </c>
    </row>
    <row r="50">
      <c r="A50" s="9" t="n">
        <v>33</v>
      </c>
      <c r="B50" s="10" t="n">
        <v>16</v>
      </c>
    </row>
    <row r="51">
      <c r="A51" s="9" t="n">
        <v>34</v>
      </c>
      <c r="B51" s="10" t="n">
        <v>4</v>
      </c>
    </row>
    <row r="52">
      <c r="A52" s="9" t="n">
        <v>35</v>
      </c>
      <c r="B52" s="10" t="n">
        <v>23</v>
      </c>
    </row>
    <row r="53">
      <c r="A53" s="9" t="n">
        <v>36</v>
      </c>
      <c r="B53" s="10" t="n">
        <v>59</v>
      </c>
    </row>
    <row r="54">
      <c r="A54" s="9" t="n">
        <v>37</v>
      </c>
      <c r="B54" s="10" t="n">
        <v>17</v>
      </c>
    </row>
    <row r="55">
      <c r="A55" s="9" t="n">
        <v>38</v>
      </c>
      <c r="B55" s="10" t="n">
        <v>33</v>
      </c>
    </row>
    <row r="56">
      <c r="A56" s="9" t="n">
        <v>39</v>
      </c>
      <c r="B56" s="10" t="n">
        <v>38</v>
      </c>
    </row>
    <row r="57">
      <c r="A57" s="9" t="n">
        <v>40</v>
      </c>
      <c r="B57" s="10" t="n">
        <v>21</v>
      </c>
    </row>
    <row r="58">
      <c r="A58" s="9" t="n">
        <v>41</v>
      </c>
      <c r="B58" s="10" t="n">
        <v>49</v>
      </c>
    </row>
    <row r="59">
      <c r="A59" s="9" t="n">
        <v>42</v>
      </c>
      <c r="B59" s="10" t="n">
        <v>61</v>
      </c>
    </row>
    <row r="60">
      <c r="A60" s="9" t="n">
        <v>43</v>
      </c>
      <c r="B60" s="10" t="n">
        <v>80</v>
      </c>
    </row>
    <row r="61">
      <c r="A61" s="9" t="n">
        <v>44</v>
      </c>
      <c r="B61" s="10" t="n">
        <v>40</v>
      </c>
    </row>
    <row r="62">
      <c r="A62" s="9" t="n">
        <v>45</v>
      </c>
      <c r="B62" s="10" t="n">
        <v>17</v>
      </c>
    </row>
    <row r="63">
      <c r="A63" s="9" t="n">
        <v>46</v>
      </c>
      <c r="B63" s="10" t="n">
        <v>61</v>
      </c>
    </row>
    <row r="64">
      <c r="A64" s="9" t="n">
        <v>47</v>
      </c>
      <c r="B64" s="10" t="n">
        <v>0</v>
      </c>
    </row>
    <row r="65">
      <c r="A65" s="9" t="n">
        <v>48</v>
      </c>
      <c r="B65" s="10" t="n">
        <v>10</v>
      </c>
    </row>
    <row r="66">
      <c r="A66" s="9" t="n">
        <v>49</v>
      </c>
      <c r="B66" s="10" t="n">
        <v>11</v>
      </c>
    </row>
    <row r="67">
      <c r="A67" s="9" t="n">
        <v>50</v>
      </c>
      <c r="B67" s="10" t="n">
        <v>33</v>
      </c>
    </row>
    <row r="68">
      <c r="A68" s="9" t="n">
        <v>51</v>
      </c>
      <c r="B68" s="10" t="n">
        <v>113</v>
      </c>
    </row>
    <row r="69">
      <c r="A69" s="9" t="n">
        <v>52</v>
      </c>
      <c r="B69" s="10" t="n">
        <v>11</v>
      </c>
    </row>
    <row r="70">
      <c r="A70" s="9" t="n">
        <v>53</v>
      </c>
      <c r="B70" s="10" t="n">
        <v>25</v>
      </c>
    </row>
    <row r="71">
      <c r="A71" s="9" t="n">
        <v>54</v>
      </c>
      <c r="B71" s="10" t="n">
        <v>46</v>
      </c>
    </row>
    <row r="72">
      <c r="A72" s="9" t="n">
        <v>55</v>
      </c>
      <c r="B72" s="10" t="n">
        <v>16</v>
      </c>
    </row>
    <row r="73">
      <c r="A73" s="9" t="n">
        <v>56</v>
      </c>
      <c r="B73" s="10" t="n">
        <v>23</v>
      </c>
    </row>
    <row r="74">
      <c r="A74" s="9" t="n">
        <v>57</v>
      </c>
      <c r="B74" s="10" t="n">
        <v>13</v>
      </c>
    </row>
    <row r="75">
      <c r="A75" s="9" t="n">
        <v>58</v>
      </c>
      <c r="B75" s="10" t="n">
        <v>49</v>
      </c>
    </row>
    <row r="76">
      <c r="A76" s="9" t="n">
        <v>59</v>
      </c>
      <c r="B76" s="10" t="n">
        <v>17</v>
      </c>
    </row>
    <row r="77">
      <c r="A77" s="9" t="n">
        <v>60</v>
      </c>
      <c r="B77" s="10" t="n">
        <v>4</v>
      </c>
    </row>
    <row r="78">
      <c r="A78" s="9" t="n">
        <v>61</v>
      </c>
      <c r="B78" s="10" t="n">
        <v>16</v>
      </c>
    </row>
    <row r="79">
      <c r="A79" s="9" t="n">
        <v>62</v>
      </c>
      <c r="B79" s="10" t="n">
        <v>40</v>
      </c>
    </row>
    <row r="80">
      <c r="A80" s="9" t="n">
        <v>63</v>
      </c>
      <c r="B80" s="10" t="n">
        <v>17</v>
      </c>
    </row>
    <row r="81">
      <c r="A81" s="9" t="n">
        <v>64</v>
      </c>
      <c r="B81" s="10" t="n">
        <v>7</v>
      </c>
    </row>
    <row r="82">
      <c r="A82" s="9" t="n">
        <v>65</v>
      </c>
      <c r="B82" s="10" t="n">
        <v>12</v>
      </c>
    </row>
    <row r="83">
      <c r="A83" s="9" t="n">
        <v>66</v>
      </c>
      <c r="B83" s="10" t="n">
        <v>22</v>
      </c>
    </row>
    <row r="84">
      <c r="A84" s="9" t="n">
        <v>67</v>
      </c>
      <c r="B84" s="10" t="n">
        <v>12</v>
      </c>
    </row>
    <row r="85">
      <c r="A85" s="9" t="n">
        <v>68</v>
      </c>
      <c r="B85" s="10" t="n">
        <v>11</v>
      </c>
    </row>
    <row r="86">
      <c r="A86" s="9" t="n">
        <v>69</v>
      </c>
      <c r="B86" s="10" t="n">
        <v>15</v>
      </c>
    </row>
    <row r="87">
      <c r="A87" s="9" t="n">
        <v>70</v>
      </c>
      <c r="B87" s="10" t="n">
        <v>48</v>
      </c>
    </row>
    <row r="88">
      <c r="A88" s="9" t="n">
        <v>71</v>
      </c>
      <c r="B88" s="10" t="n">
        <v>40</v>
      </c>
    </row>
    <row r="89">
      <c r="A89" s="9" t="n">
        <v>72</v>
      </c>
      <c r="B89" s="10" t="n">
        <v>58</v>
      </c>
    </row>
    <row r="90">
      <c r="A90" s="9" t="n">
        <v>73</v>
      </c>
      <c r="B90" s="10" t="n">
        <v>17</v>
      </c>
    </row>
    <row r="91">
      <c r="A91" s="9" t="n">
        <v>74</v>
      </c>
      <c r="B91" s="10" t="n">
        <v>18</v>
      </c>
    </row>
    <row r="92">
      <c r="A92" s="9" t="n">
        <v>75</v>
      </c>
      <c r="B92" s="10" t="n">
        <v>22</v>
      </c>
    </row>
    <row r="93">
      <c r="A93" s="9" t="n">
        <v>76</v>
      </c>
      <c r="B93" s="10" t="n">
        <v>5</v>
      </c>
    </row>
    <row r="94">
      <c r="A94" s="9" t="n">
        <v>77</v>
      </c>
      <c r="B94" s="10" t="n">
        <v>8</v>
      </c>
    </row>
    <row r="95">
      <c r="A95" s="9" t="n">
        <v>78</v>
      </c>
      <c r="B95" s="10" t="n">
        <v>0</v>
      </c>
    </row>
    <row r="96">
      <c r="A96" s="9" t="n">
        <v>79</v>
      </c>
      <c r="B96" s="10" t="n">
        <v>31</v>
      </c>
    </row>
    <row r="97">
      <c r="A97" s="9" t="n">
        <v>80</v>
      </c>
      <c r="B97" s="10" t="n">
        <v>60</v>
      </c>
    </row>
    <row r="98">
      <c r="A98" s="9" t="n">
        <v>81</v>
      </c>
      <c r="B98" s="10" t="n">
        <v>49</v>
      </c>
    </row>
    <row r="99">
      <c r="A99" s="9" t="n">
        <v>82</v>
      </c>
      <c r="B99" s="10" t="n">
        <v>16</v>
      </c>
    </row>
    <row r="100">
      <c r="A100" s="9" t="n">
        <v>83</v>
      </c>
      <c r="B100" s="10" t="n">
        <v>53</v>
      </c>
    </row>
    <row r="101">
      <c r="A101" s="9" t="n">
        <v>84</v>
      </c>
      <c r="B101" s="10" t="n">
        <v>34</v>
      </c>
    </row>
    <row r="102">
      <c r="A102" s="9" t="n">
        <v>85</v>
      </c>
      <c r="B102" s="10" t="n">
        <v>23</v>
      </c>
    </row>
    <row r="103">
      <c r="A103" s="9" t="n">
        <v>86</v>
      </c>
      <c r="B103" s="10" t="n">
        <v>33</v>
      </c>
    </row>
    <row r="104">
      <c r="A104" s="9" t="n">
        <v>87</v>
      </c>
      <c r="B104" s="10" t="n">
        <v>19</v>
      </c>
    </row>
    <row r="105">
      <c r="A105" s="9" t="n">
        <v>88</v>
      </c>
      <c r="B105" s="10" t="n">
        <v>36</v>
      </c>
    </row>
    <row r="106">
      <c r="A106" s="9" t="n">
        <v>89</v>
      </c>
      <c r="B106" s="10" t="n">
        <v>13</v>
      </c>
    </row>
    <row r="107">
      <c r="A107" s="9" t="n">
        <v>90</v>
      </c>
      <c r="B107" s="10" t="n">
        <v>9</v>
      </c>
    </row>
    <row r="108">
      <c r="A108" s="9" t="n">
        <v>91</v>
      </c>
      <c r="B108" s="10" t="n">
        <v>39</v>
      </c>
    </row>
    <row r="109">
      <c r="A109" s="9" t="n">
        <v>92</v>
      </c>
      <c r="B109" s="10" t="n">
        <v>10</v>
      </c>
    </row>
    <row r="110">
      <c r="A110" s="9" t="n">
        <v>93</v>
      </c>
      <c r="B110" s="10" t="n">
        <v>21</v>
      </c>
    </row>
    <row r="111">
      <c r="A111" s="9" t="n">
        <v>94</v>
      </c>
      <c r="B111" s="10" t="n">
        <v>12</v>
      </c>
    </row>
    <row r="112">
      <c r="A112" s="9" t="n">
        <v>95</v>
      </c>
      <c r="B112" s="10" t="n">
        <v>14</v>
      </c>
    </row>
    <row r="113">
      <c r="A113" s="9" t="n">
        <v>96</v>
      </c>
      <c r="B113" s="10" t="n">
        <v>33</v>
      </c>
    </row>
    <row r="114">
      <c r="A114" s="9" t="n">
        <v>97</v>
      </c>
      <c r="B114" s="10" t="n">
        <v>18</v>
      </c>
    </row>
    <row r="115">
      <c r="A115" s="9" t="n">
        <v>98</v>
      </c>
      <c r="B115" s="10" t="n">
        <v>101</v>
      </c>
    </row>
    <row r="116">
      <c r="A116" s="9" t="n">
        <v>99</v>
      </c>
      <c r="B116" s="10" t="n">
        <v>34</v>
      </c>
    </row>
    <row r="117">
      <c r="A117" s="9" t="n">
        <v>100</v>
      </c>
      <c r="B117" s="10" t="n">
        <v>8</v>
      </c>
    </row>
    <row r="118">
      <c r="A118" s="9" t="n">
        <v>101</v>
      </c>
      <c r="B118" s="10" t="n">
        <v>39</v>
      </c>
    </row>
    <row r="119">
      <c r="A119" s="9" t="n">
        <v>102</v>
      </c>
      <c r="B119" s="10" t="n">
        <v>40</v>
      </c>
    </row>
    <row r="120">
      <c r="A120" s="9" t="n">
        <v>103</v>
      </c>
      <c r="B120" s="10" t="n">
        <v>85</v>
      </c>
    </row>
    <row r="121">
      <c r="A121" s="9" t="n">
        <v>104</v>
      </c>
      <c r="B121" s="10" t="n">
        <v>27</v>
      </c>
    </row>
  </sheetData>
  <pageMargins left="0.75" right="0.75" top="1" bottom="1" header="0.5" footer="0.5"/>
  <drawing r:id="rId1"/>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38" customWidth="1" min="1" max="1"/>
    <col width="18" customWidth="1" min="2" max="2"/>
    <col width="18" customWidth="1" min="3" max="3"/>
    <col width="18" customWidth="1" min="4" max="4"/>
    <col width="18" customWidth="1" min="5" max="5"/>
  </cols>
  <sheetData>
    <row r="1">
      <c r="A1" s="1" t="inlineStr">
        <is>
          <t>Which family</t>
        </is>
      </c>
    </row>
    <row r="2">
      <c r="A2" s="2" t="inlineStr">
        <is>
          <t>Chapter 7, section 7.3. Demand for the belt is a COUNT, so the first question is which discrete family, and the diagnostic that answers it is the variance to mean ratio.</t>
        </is>
      </c>
    </row>
    <row r="4">
      <c r="A4" s="4" t="inlineStr">
        <is>
          <t>THE DIAGNOSTIC      one number, three verdicts</t>
        </is>
      </c>
    </row>
    <row r="5">
      <c r="A5" s="2" t="inlineStr">
        <is>
          <t>Each family below either fixes the ratio or bounds it on one side, so the ratio rules families out before any of them is fitted. Equation C.1 of the appendix.</t>
        </is>
      </c>
    </row>
    <row r="6">
      <c r="A6" t="inlineStr">
        <is>
          <t>Mean</t>
        </is>
      </c>
      <c r="B6" s="6">
        <f>AVERAGE(Demand)</f>
        <v/>
      </c>
    </row>
    <row r="7">
      <c r="A7" t="inlineStr">
        <is>
          <t>Variance</t>
        </is>
      </c>
      <c r="B7" s="6">
        <f>_xlfn.VAR.S(Demand)</f>
        <v/>
      </c>
    </row>
    <row r="8">
      <c r="A8" t="inlineStr">
        <is>
          <t>Variance to mean ratio</t>
        </is>
      </c>
      <c r="B8" s="6">
        <f>B7/B6</f>
        <v/>
      </c>
    </row>
    <row r="10">
      <c r="A10" s="13" t="n"/>
      <c r="B10" s="7" t="inlineStr">
        <is>
          <t>Poisson</t>
        </is>
      </c>
      <c r="C10" s="7" t="inlineStr">
        <is>
          <t>Binomial</t>
        </is>
      </c>
      <c r="D10" s="7" t="inlineStr">
        <is>
          <t>Negative binomial</t>
        </is>
      </c>
    </row>
    <row r="11">
      <c r="A11" s="13" t="inlineStr">
        <is>
          <t>What the family requires</t>
        </is>
      </c>
      <c r="B11" s="2" t="inlineStr">
        <is>
          <t>ratio = 1</t>
        </is>
      </c>
      <c r="C11" s="2" t="inlineStr">
        <is>
          <t>ratio &lt; 1</t>
        </is>
      </c>
      <c r="D11" s="2" t="inlineStr">
        <is>
          <t>ratio &gt; 1</t>
        </is>
      </c>
    </row>
    <row r="12">
      <c r="A12" s="13" t="inlineStr">
        <is>
          <t>Does the history satisfy it?</t>
        </is>
      </c>
      <c r="B12" s="14">
        <f>IF(ABS($B$8-1)&lt;0.1,"yes","no")</f>
        <v/>
      </c>
      <c r="C12" s="14">
        <f>IF($B$8&lt;1,"yes","no")</f>
        <v/>
      </c>
      <c r="D12" s="14">
        <f>IF($B$8&gt;1,"yes","no")</f>
        <v/>
      </c>
    </row>
    <row r="13">
      <c r="A13" s="2" t="inlineStr">
        <is>
          <t>Row 12 is section 7.3's Step 2 done by the sheet. The KSL's binomial estimator refuses this data for the same reason row 12 says no: a binomial cannot have a variance above its mean.</t>
        </is>
      </c>
    </row>
    <row r="15">
      <c r="A15" s="4" t="inlineStr">
        <is>
          <t>THE FIT      method of moments, Equation 7.6</t>
        </is>
      </c>
    </row>
    <row r="16">
      <c r="A16" s="2" t="inlineStr">
        <is>
          <t>The negative binomial is the one family left. Its two parameters come from the two moments above, and nothing else.</t>
        </is>
      </c>
    </row>
    <row r="17">
      <c r="A17" t="inlineStr">
        <is>
          <t>p, probability of success</t>
        </is>
      </c>
      <c r="B17" s="15">
        <f>B6/B7</f>
        <v/>
      </c>
    </row>
    <row r="18">
      <c r="A18" t="inlineStr">
        <is>
          <t>r, number of successes</t>
        </is>
      </c>
      <c r="B18" s="6">
        <f>B6^2/(B7-B6)</f>
        <v/>
      </c>
    </row>
    <row r="19">
      <c r="A19" t="inlineStr">
        <is>
          <t>Check: 1/p is the ratio</t>
        </is>
      </c>
      <c r="B19" s="16">
        <f>1/B17-B8</f>
        <v/>
      </c>
    </row>
    <row r="20">
      <c r="A20" t="inlineStr">
        <is>
          <t>Fitted mean, r(1-p)/p</t>
        </is>
      </c>
      <c r="B20" s="6">
        <f>B18*(1-B17)/B17</f>
        <v/>
      </c>
    </row>
    <row r="21">
      <c r="A21" t="inlineStr">
        <is>
          <t>Fitted variance, r(1-p)/p^2</t>
        </is>
      </c>
      <c r="B21" s="6">
        <f>B18*(1-B17)/B17^2</f>
        <v/>
      </c>
    </row>
    <row r="22">
      <c r="A22" s="2" t="inlineStr">
        <is>
          <t>Rows 20 and 21 must return the mean and variance the fit was made from. Row 19 must read zero. Neither is decoration: they are how you catch the other convention for p.</t>
        </is>
      </c>
    </row>
    <row r="24">
      <c r="A24" s="4" t="inlineStr">
        <is>
          <t>OVER THE HORIZON      fourteen weeks of it</t>
        </is>
      </c>
    </row>
    <row r="25">
      <c r="A25" s="2" t="inlineStr">
        <is>
          <t>Weekly demands are independent, so the mean and the variance of the total both multiply by the number of weeks. The critical ratio comes from the Newsvendor sheet.</t>
        </is>
      </c>
    </row>
    <row r="26">
      <c r="A26" t="inlineStr">
        <is>
          <t>Weeks remaining</t>
        </is>
      </c>
      <c r="B26" s="17" t="n">
        <v>14</v>
      </c>
      <c r="C26" s="2" t="inlineStr">
        <is>
          <t>weeks</t>
        </is>
      </c>
    </row>
    <row r="27">
      <c r="A27" t="inlineStr">
        <is>
          <t>Mean over the horizon</t>
        </is>
      </c>
      <c r="B27" s="6">
        <f>B26*B6</f>
        <v/>
      </c>
    </row>
    <row r="28">
      <c r="A28" t="inlineStr">
        <is>
          <t>Variance over the horizon</t>
        </is>
      </c>
      <c r="B28" s="6">
        <f>B26*B7</f>
        <v/>
      </c>
    </row>
    <row r="29">
      <c r="A29" t="inlineStr">
        <is>
          <t>Standard deviation</t>
        </is>
      </c>
      <c r="B29" s="6">
        <f>SQRT(B28)</f>
        <v/>
      </c>
    </row>
    <row r="30">
      <c r="A30" t="inlineStr">
        <is>
          <t>Coefficient of variation</t>
        </is>
      </c>
      <c r="B30" s="6">
        <f>B29/B27</f>
        <v/>
      </c>
    </row>
    <row r="31">
      <c r="A31" t="inlineStr">
        <is>
          <t>One belt, as a share of the deviation</t>
        </is>
      </c>
      <c r="B31" s="18">
        <f>1/B29</f>
        <v/>
      </c>
    </row>
    <row r="32">
      <c r="A32" t="inlineStr">
        <is>
          <t>Critical ratio</t>
        </is>
      </c>
      <c r="B32" s="6">
        <f>Newsvendor!B10</f>
        <v/>
      </c>
    </row>
    <row r="33">
      <c r="A33" s="2" t="inlineStr">
        <is>
          <t>Row 31 is why section 7.7 may treat the total as continuous and why it may not treat a single week that way. Compare it with 1/SQRT(B7), which is 4% on the weekly data.</t>
        </is>
      </c>
    </row>
    <row r="35">
      <c r="A35" s="4" t="inlineStr">
        <is>
          <t>WHAT EACH MODEL WOULD HAVE YOU ORDER</t>
        </is>
      </c>
    </row>
    <row r="36">
      <c r="A36" s="2" t="inlineStr">
        <is>
          <t>Three continuous approximations, and the exact answer from the Horizon sheet. Every quantity is rounded to whole belts before it is priced, because a fraction of a belt cannot be ordered.</t>
        </is>
      </c>
    </row>
    <row r="37">
      <c r="A37" s="13" t="n"/>
      <c r="B37" s="7" t="inlineStr">
        <is>
          <t>Normal</t>
        </is>
      </c>
      <c r="C37" s="7" t="inlineStr">
        <is>
          <t>Lognormal</t>
        </is>
      </c>
      <c r="D37" s="7" t="inlineStr">
        <is>
          <t>Gamma</t>
        </is>
      </c>
      <c r="E37" s="7" t="inlineStr">
        <is>
          <t>Exact</t>
        </is>
      </c>
    </row>
    <row r="38">
      <c r="A38" s="13" t="inlineStr">
        <is>
          <t>Order quantity</t>
        </is>
      </c>
      <c r="B38" s="6">
        <f>$B$27+_xlfn.NORM.S.INV($B$32)*$B$29</f>
        <v/>
      </c>
      <c r="C38" s="6">
        <f>EXP(LN($B$27)-LN($B$28/$B$27^2+1)/2+_xlfn.NORM.S.INV($B$32)*SQRT(LN($B$28/$B$27^2+1)))</f>
        <v/>
      </c>
      <c r="D38" s="6">
        <f>_xlfn.GAMMA.INV($B$32,$B$27^2/$B$28,$B$28/$B$27)</f>
        <v/>
      </c>
      <c r="E38" s="6">
        <f>Horizon!B10</f>
        <v/>
      </c>
    </row>
    <row r="39">
      <c r="A39" s="13" t="inlineStr">
        <is>
          <t>Rounded to whole belts</t>
        </is>
      </c>
      <c r="B39" s="5">
        <f>ROUND(B38,0)</f>
        <v/>
      </c>
      <c r="C39" s="5">
        <f>ROUND(C38,0)</f>
        <v/>
      </c>
      <c r="D39" s="5">
        <f>ROUND(D38,0)</f>
        <v/>
      </c>
      <c r="E39" s="5">
        <f>ROUND(E38,0)</f>
        <v/>
      </c>
    </row>
    <row r="40">
      <c r="A40" s="13" t="inlineStr">
        <is>
          <t>Expected cost under the exact model</t>
        </is>
      </c>
      <c r="B40" s="19">
        <f>(Newsvendor!$B$12+Newsvendor!$B$11)*INDEX(HorizonLoss,MATCH(B39,HorizonQ,0))+Newsvendor!$B$11*(B39-Horizon!$B$8)</f>
        <v/>
      </c>
      <c r="C40" s="19">
        <f>(Newsvendor!$B$12+Newsvendor!$B$11)*INDEX(HorizonLoss,MATCH(C39,HorizonQ,0))+Newsvendor!$B$11*(C39-Horizon!$B$8)</f>
        <v/>
      </c>
      <c r="D40" s="19">
        <f>(Newsvendor!$B$12+Newsvendor!$B$11)*INDEX(HorizonLoss,MATCH(D39,HorizonQ,0))+Newsvendor!$B$11*(D39-Horizon!$B$8)</f>
        <v/>
      </c>
      <c r="E40" s="19">
        <f>(Newsvendor!$B$12+Newsvendor!$B$11)*INDEX(HorizonLoss,MATCH(E39,HorizonQ,0))+Newsvendor!$B$11*(E39-Horizon!$B$8)</f>
        <v/>
      </c>
    </row>
    <row r="41">
      <c r="A41" s="13" t="inlineStr">
        <is>
          <t>Penalty against the exact answer</t>
        </is>
      </c>
      <c r="B41" s="18">
        <f>B40/$E$40-1</f>
        <v/>
      </c>
      <c r="C41" s="18">
        <f>C40/$E$40-1</f>
        <v/>
      </c>
      <c r="D41" s="18">
        <f>D40/$E$40-1</f>
        <v/>
      </c>
      <c r="E41" s="18">
        <f>E40/$E$40-1</f>
        <v/>
      </c>
    </row>
    <row r="42">
      <c r="A42" s="2" t="inlineStr">
        <is>
          <t>Row 41 is the price of choosing the wrong family, in the only currency that settles the question. Notice it is smaller than the rounding.</t>
        </is>
      </c>
    </row>
  </sheetData>
  <pageMargins left="0.75" right="0.75" top="1" bottom="1" header="0.5" footer="0.5"/>
  <drawing r:id="rId1"/>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E718"/>
  <sheetViews>
    <sheetView workbookViewId="0">
      <selection activeCell="A1" sqref="A1"/>
    </sheetView>
  </sheetViews>
  <sheetFormatPr baseColWidth="8" defaultRowHeight="15"/>
  <cols>
    <col width="34" customWidth="1" min="1" max="1"/>
    <col width="14" customWidth="1" min="2" max="2"/>
    <col width="12" customWidth="1" min="3" max="3"/>
    <col width="12" customWidth="1" min="4" max="4"/>
    <col width="11" customWidth="1" min="5" max="5"/>
  </cols>
  <sheetData>
    <row r="1">
      <c r="A1" s="1" t="inlineStr">
        <is>
          <t>The exact answer</t>
        </is>
      </c>
    </row>
    <row r="2">
      <c r="A2" s="2" t="inlineStr">
        <is>
          <t>Chapter 7, section 7.7 and Table 7.5. No new distribution function is needed: the mass function is a recursion and the rest is running sums.</t>
        </is>
      </c>
    </row>
    <row r="4">
      <c r="A4" s="4" t="inlineStr">
        <is>
          <t>THE AGGREGATED MODEL</t>
        </is>
      </c>
    </row>
    <row r="5">
      <c r="A5" t="inlineStr">
        <is>
          <t>p, from the weekly fit</t>
        </is>
      </c>
      <c r="B5" s="15">
        <f>Fit!B17</f>
        <v/>
      </c>
    </row>
    <row r="6">
      <c r="A6" t="inlineStr">
        <is>
          <t>r, weekly</t>
        </is>
      </c>
      <c r="B6" s="6">
        <f>Fit!B18</f>
        <v/>
      </c>
    </row>
    <row r="7">
      <c r="A7" t="inlineStr">
        <is>
          <t>r over the horizon, 14r</t>
        </is>
      </c>
      <c r="B7" s="6">
        <f>Fit!B26*B6</f>
        <v/>
      </c>
    </row>
    <row r="8">
      <c r="A8" t="inlineStr">
        <is>
          <t>Mean, r(1-p)/p</t>
        </is>
      </c>
      <c r="B8" s="6">
        <f>B7*(1-B5)/B5</f>
        <v/>
      </c>
    </row>
    <row r="9">
      <c r="A9" t="inlineStr">
        <is>
          <t>Variance, r(1-p)/p^2</t>
        </is>
      </c>
      <c r="B9" s="6">
        <f>B7*(1-B5)/B5^2</f>
        <v/>
      </c>
    </row>
    <row r="10">
      <c r="A10" t="inlineStr">
        <is>
          <t>Order quantity, Q*</t>
        </is>
      </c>
      <c r="B10" s="5">
        <f>INDEX(HorizonQ,MATCH(TRUE,HorizonReached,0))</f>
        <v/>
      </c>
    </row>
    <row r="11">
      <c r="A11" t="inlineStr">
        <is>
          <t>Check: mean matches the Fit sheet</t>
        </is>
      </c>
      <c r="B11" s="16">
        <f>B8-Fit!B27</f>
        <v/>
      </c>
    </row>
    <row r="12">
      <c r="A12" t="inlineStr">
        <is>
          <t>Check: variance matches the Fit sheet</t>
        </is>
      </c>
      <c r="B12" s="16">
        <f>B9-Fit!B28</f>
        <v/>
      </c>
    </row>
    <row r="13">
      <c r="A13" s="2" t="inlineStr">
        <is>
          <t>Rows 11 and 12 read zero. They are what proves the aggregation rule was applied to the right parameter. Row 14 is the tail the walk does not reach, which is why column C stops short of one.</t>
        </is>
      </c>
    </row>
    <row r="14">
      <c r="A14" t="inlineStr">
        <is>
          <t>Mass beyond the last row of the walk</t>
        </is>
      </c>
      <c r="B14" s="20">
        <f>1-C718</f>
        <v/>
      </c>
    </row>
    <row r="15">
      <c r="A15" s="4" t="inlineStr">
        <is>
          <t>THE WALK      one belt at a time, from zero</t>
        </is>
      </c>
    </row>
    <row r="16">
      <c r="A16" s="2" t="inlineStr">
        <is>
          <t>g(0) = p^r, then g(x) = g(x-1)(x+r-1)(1-p)/x. The loss function is the recursion of Equation C.6, G1(Q) = G1(Q-1) - (1 - F(Q-1)), started at the mean. Both are arithmetic a reader can check.</t>
        </is>
      </c>
    </row>
    <row r="17">
      <c r="A17" s="8" t="inlineStr">
        <is>
          <t>Q</t>
        </is>
      </c>
      <c r="B17" s="7" t="inlineStr">
        <is>
          <t>g(Q)</t>
        </is>
      </c>
      <c r="C17" s="7" t="inlineStr">
        <is>
          <t>F(Q)</t>
        </is>
      </c>
      <c r="D17" s="7" t="inlineStr">
        <is>
          <t>G1(Q)</t>
        </is>
      </c>
      <c r="E17" s="7" t="inlineStr">
        <is>
          <t>Reached?</t>
        </is>
      </c>
    </row>
    <row r="18">
      <c r="A18" s="12" t="n">
        <v>0</v>
      </c>
      <c r="B18" s="21">
        <f>$B$5^$B$7</f>
        <v/>
      </c>
      <c r="C18" s="15">
        <f>B18</f>
        <v/>
      </c>
      <c r="D18" s="6">
        <f>$B$8</f>
        <v/>
      </c>
      <c r="E18" s="22">
        <f>C18&gt;=Fit!$B$32</f>
        <v/>
      </c>
    </row>
    <row r="19">
      <c r="A19" s="12" t="n">
        <v>1</v>
      </c>
      <c r="B19" s="21">
        <f>B18*(A19+$B$7-1)*(1-$B$5)/A19</f>
        <v/>
      </c>
      <c r="C19" s="15">
        <f>C18+B19</f>
        <v/>
      </c>
      <c r="D19" s="6">
        <f>D18-(1-C18)</f>
        <v/>
      </c>
      <c r="E19" s="22">
        <f>C19&gt;=Fit!$B$32</f>
        <v/>
      </c>
    </row>
    <row r="20">
      <c r="A20" s="12" t="n">
        <v>2</v>
      </c>
      <c r="B20" s="21">
        <f>B19*(A20+$B$7-1)*(1-$B$5)/A20</f>
        <v/>
      </c>
      <c r="C20" s="15">
        <f>C19+B20</f>
        <v/>
      </c>
      <c r="D20" s="6">
        <f>D19-(1-C19)</f>
        <v/>
      </c>
      <c r="E20" s="22">
        <f>C20&gt;=Fit!$B$32</f>
        <v/>
      </c>
    </row>
    <row r="21">
      <c r="A21" s="12" t="n">
        <v>3</v>
      </c>
      <c r="B21" s="21">
        <f>B20*(A21+$B$7-1)*(1-$B$5)/A21</f>
        <v/>
      </c>
      <c r="C21" s="15">
        <f>C20+B21</f>
        <v/>
      </c>
      <c r="D21" s="6">
        <f>D20-(1-C20)</f>
        <v/>
      </c>
      <c r="E21" s="22">
        <f>C21&gt;=Fit!$B$32</f>
        <v/>
      </c>
    </row>
    <row r="22">
      <c r="A22" s="12" t="n">
        <v>4</v>
      </c>
      <c r="B22" s="21">
        <f>B21*(A22+$B$7-1)*(1-$B$5)/A22</f>
        <v/>
      </c>
      <c r="C22" s="15">
        <f>C21+B22</f>
        <v/>
      </c>
      <c r="D22" s="6">
        <f>D21-(1-C21)</f>
        <v/>
      </c>
      <c r="E22" s="22">
        <f>C22&gt;=Fit!$B$32</f>
        <v/>
      </c>
    </row>
    <row r="23">
      <c r="A23" s="12" t="n">
        <v>5</v>
      </c>
      <c r="B23" s="21">
        <f>B22*(A23+$B$7-1)*(1-$B$5)/A23</f>
        <v/>
      </c>
      <c r="C23" s="15">
        <f>C22+B23</f>
        <v/>
      </c>
      <c r="D23" s="6">
        <f>D22-(1-C22)</f>
        <v/>
      </c>
      <c r="E23" s="22">
        <f>C23&gt;=Fit!$B$32</f>
        <v/>
      </c>
    </row>
    <row r="24">
      <c r="A24" s="12" t="n">
        <v>6</v>
      </c>
      <c r="B24" s="21">
        <f>B23*(A24+$B$7-1)*(1-$B$5)/A24</f>
        <v/>
      </c>
      <c r="C24" s="15">
        <f>C23+B24</f>
        <v/>
      </c>
      <c r="D24" s="6">
        <f>D23-(1-C23)</f>
        <v/>
      </c>
      <c r="E24" s="22">
        <f>C24&gt;=Fit!$B$32</f>
        <v/>
      </c>
    </row>
    <row r="25">
      <c r="A25" s="12" t="n">
        <v>7</v>
      </c>
      <c r="B25" s="21">
        <f>B24*(A25+$B$7-1)*(1-$B$5)/A25</f>
        <v/>
      </c>
      <c r="C25" s="15">
        <f>C24+B25</f>
        <v/>
      </c>
      <c r="D25" s="6">
        <f>D24-(1-C24)</f>
        <v/>
      </c>
      <c r="E25" s="22">
        <f>C25&gt;=Fit!$B$32</f>
        <v/>
      </c>
    </row>
    <row r="26">
      <c r="A26" s="12" t="n">
        <v>8</v>
      </c>
      <c r="B26" s="21">
        <f>B25*(A26+$B$7-1)*(1-$B$5)/A26</f>
        <v/>
      </c>
      <c r="C26" s="15">
        <f>C25+B26</f>
        <v/>
      </c>
      <c r="D26" s="6">
        <f>D25-(1-C25)</f>
        <v/>
      </c>
      <c r="E26" s="22">
        <f>C26&gt;=Fit!$B$32</f>
        <v/>
      </c>
    </row>
    <row r="27">
      <c r="A27" s="12" t="n">
        <v>9</v>
      </c>
      <c r="B27" s="21">
        <f>B26*(A27+$B$7-1)*(1-$B$5)/A27</f>
        <v/>
      </c>
      <c r="C27" s="15">
        <f>C26+B27</f>
        <v/>
      </c>
      <c r="D27" s="6">
        <f>D26-(1-C26)</f>
        <v/>
      </c>
      <c r="E27" s="22">
        <f>C27&gt;=Fit!$B$32</f>
        <v/>
      </c>
    </row>
    <row r="28">
      <c r="A28" s="12" t="n">
        <v>10</v>
      </c>
      <c r="B28" s="21">
        <f>B27*(A28+$B$7-1)*(1-$B$5)/A28</f>
        <v/>
      </c>
      <c r="C28" s="15">
        <f>C27+B28</f>
        <v/>
      </c>
      <c r="D28" s="6">
        <f>D27-(1-C27)</f>
        <v/>
      </c>
      <c r="E28" s="22">
        <f>C28&gt;=Fit!$B$32</f>
        <v/>
      </c>
    </row>
    <row r="29">
      <c r="A29" s="12" t="n">
        <v>11</v>
      </c>
      <c r="B29" s="21">
        <f>B28*(A29+$B$7-1)*(1-$B$5)/A29</f>
        <v/>
      </c>
      <c r="C29" s="15">
        <f>C28+B29</f>
        <v/>
      </c>
      <c r="D29" s="6">
        <f>D28-(1-C28)</f>
        <v/>
      </c>
      <c r="E29" s="22">
        <f>C29&gt;=Fit!$B$32</f>
        <v/>
      </c>
    </row>
    <row r="30">
      <c r="A30" s="12" t="n">
        <v>12</v>
      </c>
      <c r="B30" s="21">
        <f>B29*(A30+$B$7-1)*(1-$B$5)/A30</f>
        <v/>
      </c>
      <c r="C30" s="15">
        <f>C29+B30</f>
        <v/>
      </c>
      <c r="D30" s="6">
        <f>D29-(1-C29)</f>
        <v/>
      </c>
      <c r="E30" s="22">
        <f>C30&gt;=Fit!$B$32</f>
        <v/>
      </c>
    </row>
    <row r="31">
      <c r="A31" s="12" t="n">
        <v>13</v>
      </c>
      <c r="B31" s="21">
        <f>B30*(A31+$B$7-1)*(1-$B$5)/A31</f>
        <v/>
      </c>
      <c r="C31" s="15">
        <f>C30+B31</f>
        <v/>
      </c>
      <c r="D31" s="6">
        <f>D30-(1-C30)</f>
        <v/>
      </c>
      <c r="E31" s="22">
        <f>C31&gt;=Fit!$B$32</f>
        <v/>
      </c>
    </row>
    <row r="32">
      <c r="A32" s="12" t="n">
        <v>14</v>
      </c>
      <c r="B32" s="21">
        <f>B31*(A32+$B$7-1)*(1-$B$5)/A32</f>
        <v/>
      </c>
      <c r="C32" s="15">
        <f>C31+B32</f>
        <v/>
      </c>
      <c r="D32" s="6">
        <f>D31-(1-C31)</f>
        <v/>
      </c>
      <c r="E32" s="22">
        <f>C32&gt;=Fit!$B$32</f>
        <v/>
      </c>
    </row>
    <row r="33">
      <c r="A33" s="12" t="n">
        <v>15</v>
      </c>
      <c r="B33" s="21">
        <f>B32*(A33+$B$7-1)*(1-$B$5)/A33</f>
        <v/>
      </c>
      <c r="C33" s="15">
        <f>C32+B33</f>
        <v/>
      </c>
      <c r="D33" s="6">
        <f>D32-(1-C32)</f>
        <v/>
      </c>
      <c r="E33" s="22">
        <f>C33&gt;=Fit!$B$32</f>
        <v/>
      </c>
    </row>
    <row r="34">
      <c r="A34" s="12" t="n">
        <v>16</v>
      </c>
      <c r="B34" s="21">
        <f>B33*(A34+$B$7-1)*(1-$B$5)/A34</f>
        <v/>
      </c>
      <c r="C34" s="15">
        <f>C33+B34</f>
        <v/>
      </c>
      <c r="D34" s="6">
        <f>D33-(1-C33)</f>
        <v/>
      </c>
      <c r="E34" s="22">
        <f>C34&gt;=Fit!$B$32</f>
        <v/>
      </c>
    </row>
    <row r="35">
      <c r="A35" s="12" t="n">
        <v>17</v>
      </c>
      <c r="B35" s="21">
        <f>B34*(A35+$B$7-1)*(1-$B$5)/A35</f>
        <v/>
      </c>
      <c r="C35" s="15">
        <f>C34+B35</f>
        <v/>
      </c>
      <c r="D35" s="6">
        <f>D34-(1-C34)</f>
        <v/>
      </c>
      <c r="E35" s="22">
        <f>C35&gt;=Fit!$B$32</f>
        <v/>
      </c>
    </row>
    <row r="36">
      <c r="A36" s="12" t="n">
        <v>18</v>
      </c>
      <c r="B36" s="21">
        <f>B35*(A36+$B$7-1)*(1-$B$5)/A36</f>
        <v/>
      </c>
      <c r="C36" s="15">
        <f>C35+B36</f>
        <v/>
      </c>
      <c r="D36" s="6">
        <f>D35-(1-C35)</f>
        <v/>
      </c>
      <c r="E36" s="22">
        <f>C36&gt;=Fit!$B$32</f>
        <v/>
      </c>
    </row>
    <row r="37">
      <c r="A37" s="12" t="n">
        <v>19</v>
      </c>
      <c r="B37" s="21">
        <f>B36*(A37+$B$7-1)*(1-$B$5)/A37</f>
        <v/>
      </c>
      <c r="C37" s="15">
        <f>C36+B37</f>
        <v/>
      </c>
      <c r="D37" s="6">
        <f>D36-(1-C36)</f>
        <v/>
      </c>
      <c r="E37" s="22">
        <f>C37&gt;=Fit!$B$32</f>
        <v/>
      </c>
    </row>
    <row r="38">
      <c r="A38" s="12" t="n">
        <v>20</v>
      </c>
      <c r="B38" s="21">
        <f>B37*(A38+$B$7-1)*(1-$B$5)/A38</f>
        <v/>
      </c>
      <c r="C38" s="15">
        <f>C37+B38</f>
        <v/>
      </c>
      <c r="D38" s="6">
        <f>D37-(1-C37)</f>
        <v/>
      </c>
      <c r="E38" s="22">
        <f>C38&gt;=Fit!$B$32</f>
        <v/>
      </c>
    </row>
    <row r="39">
      <c r="A39" s="12" t="n">
        <v>21</v>
      </c>
      <c r="B39" s="21">
        <f>B38*(A39+$B$7-1)*(1-$B$5)/A39</f>
        <v/>
      </c>
      <c r="C39" s="15">
        <f>C38+B39</f>
        <v/>
      </c>
      <c r="D39" s="6">
        <f>D38-(1-C38)</f>
        <v/>
      </c>
      <c r="E39" s="22">
        <f>C39&gt;=Fit!$B$32</f>
        <v/>
      </c>
    </row>
    <row r="40">
      <c r="A40" s="12" t="n">
        <v>22</v>
      </c>
      <c r="B40" s="21">
        <f>B39*(A40+$B$7-1)*(1-$B$5)/A40</f>
        <v/>
      </c>
      <c r="C40" s="15">
        <f>C39+B40</f>
        <v/>
      </c>
      <c r="D40" s="6">
        <f>D39-(1-C39)</f>
        <v/>
      </c>
      <c r="E40" s="22">
        <f>C40&gt;=Fit!$B$32</f>
        <v/>
      </c>
    </row>
    <row r="41">
      <c r="A41" s="12" t="n">
        <v>23</v>
      </c>
      <c r="B41" s="21">
        <f>B40*(A41+$B$7-1)*(1-$B$5)/A41</f>
        <v/>
      </c>
      <c r="C41" s="15">
        <f>C40+B41</f>
        <v/>
      </c>
      <c r="D41" s="6">
        <f>D40-(1-C40)</f>
        <v/>
      </c>
      <c r="E41" s="22">
        <f>C41&gt;=Fit!$B$32</f>
        <v/>
      </c>
    </row>
    <row r="42">
      <c r="A42" s="12" t="n">
        <v>24</v>
      </c>
      <c r="B42" s="21">
        <f>B41*(A42+$B$7-1)*(1-$B$5)/A42</f>
        <v/>
      </c>
      <c r="C42" s="15">
        <f>C41+B42</f>
        <v/>
      </c>
      <c r="D42" s="6">
        <f>D41-(1-C41)</f>
        <v/>
      </c>
      <c r="E42" s="22">
        <f>C42&gt;=Fit!$B$32</f>
        <v/>
      </c>
    </row>
    <row r="43">
      <c r="A43" s="12" t="n">
        <v>25</v>
      </c>
      <c r="B43" s="21">
        <f>B42*(A43+$B$7-1)*(1-$B$5)/A43</f>
        <v/>
      </c>
      <c r="C43" s="15">
        <f>C42+B43</f>
        <v/>
      </c>
      <c r="D43" s="6">
        <f>D42-(1-C42)</f>
        <v/>
      </c>
      <c r="E43" s="22">
        <f>C43&gt;=Fit!$B$32</f>
        <v/>
      </c>
    </row>
    <row r="44">
      <c r="A44" s="12" t="n">
        <v>26</v>
      </c>
      <c r="B44" s="21">
        <f>B43*(A44+$B$7-1)*(1-$B$5)/A44</f>
        <v/>
      </c>
      <c r="C44" s="15">
        <f>C43+B44</f>
        <v/>
      </c>
      <c r="D44" s="6">
        <f>D43-(1-C43)</f>
        <v/>
      </c>
      <c r="E44" s="22">
        <f>C44&gt;=Fit!$B$32</f>
        <v/>
      </c>
    </row>
    <row r="45">
      <c r="A45" s="12" t="n">
        <v>27</v>
      </c>
      <c r="B45" s="21">
        <f>B44*(A45+$B$7-1)*(1-$B$5)/A45</f>
        <v/>
      </c>
      <c r="C45" s="15">
        <f>C44+B45</f>
        <v/>
      </c>
      <c r="D45" s="6">
        <f>D44-(1-C44)</f>
        <v/>
      </c>
      <c r="E45" s="22">
        <f>C45&gt;=Fit!$B$32</f>
        <v/>
      </c>
    </row>
    <row r="46">
      <c r="A46" s="12" t="n">
        <v>28</v>
      </c>
      <c r="B46" s="21">
        <f>B45*(A46+$B$7-1)*(1-$B$5)/A46</f>
        <v/>
      </c>
      <c r="C46" s="15">
        <f>C45+B46</f>
        <v/>
      </c>
      <c r="D46" s="6">
        <f>D45-(1-C45)</f>
        <v/>
      </c>
      <c r="E46" s="22">
        <f>C46&gt;=Fit!$B$32</f>
        <v/>
      </c>
    </row>
    <row r="47">
      <c r="A47" s="12" t="n">
        <v>29</v>
      </c>
      <c r="B47" s="21">
        <f>B46*(A47+$B$7-1)*(1-$B$5)/A47</f>
        <v/>
      </c>
      <c r="C47" s="15">
        <f>C46+B47</f>
        <v/>
      </c>
      <c r="D47" s="6">
        <f>D46-(1-C46)</f>
        <v/>
      </c>
      <c r="E47" s="22">
        <f>C47&gt;=Fit!$B$32</f>
        <v/>
      </c>
    </row>
    <row r="48">
      <c r="A48" s="12" t="n">
        <v>30</v>
      </c>
      <c r="B48" s="21">
        <f>B47*(A48+$B$7-1)*(1-$B$5)/A48</f>
        <v/>
      </c>
      <c r="C48" s="15">
        <f>C47+B48</f>
        <v/>
      </c>
      <c r="D48" s="6">
        <f>D47-(1-C47)</f>
        <v/>
      </c>
      <c r="E48" s="22">
        <f>C48&gt;=Fit!$B$32</f>
        <v/>
      </c>
    </row>
    <row r="49">
      <c r="A49" s="12" t="n">
        <v>31</v>
      </c>
      <c r="B49" s="21">
        <f>B48*(A49+$B$7-1)*(1-$B$5)/A49</f>
        <v/>
      </c>
      <c r="C49" s="15">
        <f>C48+B49</f>
        <v/>
      </c>
      <c r="D49" s="6">
        <f>D48-(1-C48)</f>
        <v/>
      </c>
      <c r="E49" s="22">
        <f>C49&gt;=Fit!$B$32</f>
        <v/>
      </c>
    </row>
    <row r="50">
      <c r="A50" s="12" t="n">
        <v>32</v>
      </c>
      <c r="B50" s="21">
        <f>B49*(A50+$B$7-1)*(1-$B$5)/A50</f>
        <v/>
      </c>
      <c r="C50" s="15">
        <f>C49+B50</f>
        <v/>
      </c>
      <c r="D50" s="6">
        <f>D49-(1-C49)</f>
        <v/>
      </c>
      <c r="E50" s="22">
        <f>C50&gt;=Fit!$B$32</f>
        <v/>
      </c>
    </row>
    <row r="51">
      <c r="A51" s="12" t="n">
        <v>33</v>
      </c>
      <c r="B51" s="21">
        <f>B50*(A51+$B$7-1)*(1-$B$5)/A51</f>
        <v/>
      </c>
      <c r="C51" s="15">
        <f>C50+B51</f>
        <v/>
      </c>
      <c r="D51" s="6">
        <f>D50-(1-C50)</f>
        <v/>
      </c>
      <c r="E51" s="22">
        <f>C51&gt;=Fit!$B$32</f>
        <v/>
      </c>
    </row>
    <row r="52">
      <c r="A52" s="12" t="n">
        <v>34</v>
      </c>
      <c r="B52" s="21">
        <f>B51*(A52+$B$7-1)*(1-$B$5)/A52</f>
        <v/>
      </c>
      <c r="C52" s="15">
        <f>C51+B52</f>
        <v/>
      </c>
      <c r="D52" s="6">
        <f>D51-(1-C51)</f>
        <v/>
      </c>
      <c r="E52" s="22">
        <f>C52&gt;=Fit!$B$32</f>
        <v/>
      </c>
    </row>
    <row r="53">
      <c r="A53" s="12" t="n">
        <v>35</v>
      </c>
      <c r="B53" s="21">
        <f>B52*(A53+$B$7-1)*(1-$B$5)/A53</f>
        <v/>
      </c>
      <c r="C53" s="15">
        <f>C52+B53</f>
        <v/>
      </c>
      <c r="D53" s="6">
        <f>D52-(1-C52)</f>
        <v/>
      </c>
      <c r="E53" s="22">
        <f>C53&gt;=Fit!$B$32</f>
        <v/>
      </c>
    </row>
    <row r="54">
      <c r="A54" s="12" t="n">
        <v>36</v>
      </c>
      <c r="B54" s="21">
        <f>B53*(A54+$B$7-1)*(1-$B$5)/A54</f>
        <v/>
      </c>
      <c r="C54" s="15">
        <f>C53+B54</f>
        <v/>
      </c>
      <c r="D54" s="6">
        <f>D53-(1-C53)</f>
        <v/>
      </c>
      <c r="E54" s="22">
        <f>C54&gt;=Fit!$B$32</f>
        <v/>
      </c>
    </row>
    <row r="55">
      <c r="A55" s="12" t="n">
        <v>37</v>
      </c>
      <c r="B55" s="21">
        <f>B54*(A55+$B$7-1)*(1-$B$5)/A55</f>
        <v/>
      </c>
      <c r="C55" s="15">
        <f>C54+B55</f>
        <v/>
      </c>
      <c r="D55" s="6">
        <f>D54-(1-C54)</f>
        <v/>
      </c>
      <c r="E55" s="22">
        <f>C55&gt;=Fit!$B$32</f>
        <v/>
      </c>
    </row>
    <row r="56">
      <c r="A56" s="12" t="n">
        <v>38</v>
      </c>
      <c r="B56" s="21">
        <f>B55*(A56+$B$7-1)*(1-$B$5)/A56</f>
        <v/>
      </c>
      <c r="C56" s="15">
        <f>C55+B56</f>
        <v/>
      </c>
      <c r="D56" s="6">
        <f>D55-(1-C55)</f>
        <v/>
      </c>
      <c r="E56" s="22">
        <f>C56&gt;=Fit!$B$32</f>
        <v/>
      </c>
    </row>
    <row r="57">
      <c r="A57" s="12" t="n">
        <v>39</v>
      </c>
      <c r="B57" s="21">
        <f>B56*(A57+$B$7-1)*(1-$B$5)/A57</f>
        <v/>
      </c>
      <c r="C57" s="15">
        <f>C56+B57</f>
        <v/>
      </c>
      <c r="D57" s="6">
        <f>D56-(1-C56)</f>
        <v/>
      </c>
      <c r="E57" s="22">
        <f>C57&gt;=Fit!$B$32</f>
        <v/>
      </c>
    </row>
    <row r="58">
      <c r="A58" s="12" t="n">
        <v>40</v>
      </c>
      <c r="B58" s="21">
        <f>B57*(A58+$B$7-1)*(1-$B$5)/A58</f>
        <v/>
      </c>
      <c r="C58" s="15">
        <f>C57+B58</f>
        <v/>
      </c>
      <c r="D58" s="6">
        <f>D57-(1-C57)</f>
        <v/>
      </c>
      <c r="E58" s="22">
        <f>C58&gt;=Fit!$B$32</f>
        <v/>
      </c>
    </row>
    <row r="59">
      <c r="A59" s="12" t="n">
        <v>41</v>
      </c>
      <c r="B59" s="21">
        <f>B58*(A59+$B$7-1)*(1-$B$5)/A59</f>
        <v/>
      </c>
      <c r="C59" s="15">
        <f>C58+B59</f>
        <v/>
      </c>
      <c r="D59" s="6">
        <f>D58-(1-C58)</f>
        <v/>
      </c>
      <c r="E59" s="22">
        <f>C59&gt;=Fit!$B$32</f>
        <v/>
      </c>
    </row>
    <row r="60">
      <c r="A60" s="12" t="n">
        <v>42</v>
      </c>
      <c r="B60" s="21">
        <f>B59*(A60+$B$7-1)*(1-$B$5)/A60</f>
        <v/>
      </c>
      <c r="C60" s="15">
        <f>C59+B60</f>
        <v/>
      </c>
      <c r="D60" s="6">
        <f>D59-(1-C59)</f>
        <v/>
      </c>
      <c r="E60" s="22">
        <f>C60&gt;=Fit!$B$32</f>
        <v/>
      </c>
    </row>
    <row r="61">
      <c r="A61" s="12" t="n">
        <v>43</v>
      </c>
      <c r="B61" s="21">
        <f>B60*(A61+$B$7-1)*(1-$B$5)/A61</f>
        <v/>
      </c>
      <c r="C61" s="15">
        <f>C60+B61</f>
        <v/>
      </c>
      <c r="D61" s="6">
        <f>D60-(1-C60)</f>
        <v/>
      </c>
      <c r="E61" s="22">
        <f>C61&gt;=Fit!$B$32</f>
        <v/>
      </c>
    </row>
    <row r="62">
      <c r="A62" s="12" t="n">
        <v>44</v>
      </c>
      <c r="B62" s="21">
        <f>B61*(A62+$B$7-1)*(1-$B$5)/A62</f>
        <v/>
      </c>
      <c r="C62" s="15">
        <f>C61+B62</f>
        <v/>
      </c>
      <c r="D62" s="6">
        <f>D61-(1-C61)</f>
        <v/>
      </c>
      <c r="E62" s="22">
        <f>C62&gt;=Fit!$B$32</f>
        <v/>
      </c>
    </row>
    <row r="63">
      <c r="A63" s="12" t="n">
        <v>45</v>
      </c>
      <c r="B63" s="21">
        <f>B62*(A63+$B$7-1)*(1-$B$5)/A63</f>
        <v/>
      </c>
      <c r="C63" s="15">
        <f>C62+B63</f>
        <v/>
      </c>
      <c r="D63" s="6">
        <f>D62-(1-C62)</f>
        <v/>
      </c>
      <c r="E63" s="22">
        <f>C63&gt;=Fit!$B$32</f>
        <v/>
      </c>
    </row>
    <row r="64">
      <c r="A64" s="12" t="n">
        <v>46</v>
      </c>
      <c r="B64" s="21">
        <f>B63*(A64+$B$7-1)*(1-$B$5)/A64</f>
        <v/>
      </c>
      <c r="C64" s="15">
        <f>C63+B64</f>
        <v/>
      </c>
      <c r="D64" s="6">
        <f>D63-(1-C63)</f>
        <v/>
      </c>
      <c r="E64" s="22">
        <f>C64&gt;=Fit!$B$32</f>
        <v/>
      </c>
    </row>
    <row r="65">
      <c r="A65" s="12" t="n">
        <v>47</v>
      </c>
      <c r="B65" s="21">
        <f>B64*(A65+$B$7-1)*(1-$B$5)/A65</f>
        <v/>
      </c>
      <c r="C65" s="15">
        <f>C64+B65</f>
        <v/>
      </c>
      <c r="D65" s="6">
        <f>D64-(1-C64)</f>
        <v/>
      </c>
      <c r="E65" s="22">
        <f>C65&gt;=Fit!$B$32</f>
        <v/>
      </c>
    </row>
    <row r="66">
      <c r="A66" s="12" t="n">
        <v>48</v>
      </c>
      <c r="B66" s="21">
        <f>B65*(A66+$B$7-1)*(1-$B$5)/A66</f>
        <v/>
      </c>
      <c r="C66" s="15">
        <f>C65+B66</f>
        <v/>
      </c>
      <c r="D66" s="6">
        <f>D65-(1-C65)</f>
        <v/>
      </c>
      <c r="E66" s="22">
        <f>C66&gt;=Fit!$B$32</f>
        <v/>
      </c>
    </row>
    <row r="67">
      <c r="A67" s="12" t="n">
        <v>49</v>
      </c>
      <c r="B67" s="21">
        <f>B66*(A67+$B$7-1)*(1-$B$5)/A67</f>
        <v/>
      </c>
      <c r="C67" s="15">
        <f>C66+B67</f>
        <v/>
      </c>
      <c r="D67" s="6">
        <f>D66-(1-C66)</f>
        <v/>
      </c>
      <c r="E67" s="22">
        <f>C67&gt;=Fit!$B$32</f>
        <v/>
      </c>
    </row>
    <row r="68">
      <c r="A68" s="12" t="n">
        <v>50</v>
      </c>
      <c r="B68" s="21">
        <f>B67*(A68+$B$7-1)*(1-$B$5)/A68</f>
        <v/>
      </c>
      <c r="C68" s="15">
        <f>C67+B68</f>
        <v/>
      </c>
      <c r="D68" s="6">
        <f>D67-(1-C67)</f>
        <v/>
      </c>
      <c r="E68" s="22">
        <f>C68&gt;=Fit!$B$32</f>
        <v/>
      </c>
    </row>
    <row r="69">
      <c r="A69" s="12" t="n">
        <v>51</v>
      </c>
      <c r="B69" s="21">
        <f>B68*(A69+$B$7-1)*(1-$B$5)/A69</f>
        <v/>
      </c>
      <c r="C69" s="15">
        <f>C68+B69</f>
        <v/>
      </c>
      <c r="D69" s="6">
        <f>D68-(1-C68)</f>
        <v/>
      </c>
      <c r="E69" s="22">
        <f>C69&gt;=Fit!$B$32</f>
        <v/>
      </c>
    </row>
    <row r="70">
      <c r="A70" s="12" t="n">
        <v>52</v>
      </c>
      <c r="B70" s="21">
        <f>B69*(A70+$B$7-1)*(1-$B$5)/A70</f>
        <v/>
      </c>
      <c r="C70" s="15">
        <f>C69+B70</f>
        <v/>
      </c>
      <c r="D70" s="6">
        <f>D69-(1-C69)</f>
        <v/>
      </c>
      <c r="E70" s="22">
        <f>C70&gt;=Fit!$B$32</f>
        <v/>
      </c>
    </row>
    <row r="71">
      <c r="A71" s="12" t="n">
        <v>53</v>
      </c>
      <c r="B71" s="21">
        <f>B70*(A71+$B$7-1)*(1-$B$5)/A71</f>
        <v/>
      </c>
      <c r="C71" s="15">
        <f>C70+B71</f>
        <v/>
      </c>
      <c r="D71" s="6">
        <f>D70-(1-C70)</f>
        <v/>
      </c>
      <c r="E71" s="22">
        <f>C71&gt;=Fit!$B$32</f>
        <v/>
      </c>
    </row>
    <row r="72">
      <c r="A72" s="12" t="n">
        <v>54</v>
      </c>
      <c r="B72" s="21">
        <f>B71*(A72+$B$7-1)*(1-$B$5)/A72</f>
        <v/>
      </c>
      <c r="C72" s="15">
        <f>C71+B72</f>
        <v/>
      </c>
      <c r="D72" s="6">
        <f>D71-(1-C71)</f>
        <v/>
      </c>
      <c r="E72" s="22">
        <f>C72&gt;=Fit!$B$32</f>
        <v/>
      </c>
    </row>
    <row r="73">
      <c r="A73" s="12" t="n">
        <v>55</v>
      </c>
      <c r="B73" s="21">
        <f>B72*(A73+$B$7-1)*(1-$B$5)/A73</f>
        <v/>
      </c>
      <c r="C73" s="15">
        <f>C72+B73</f>
        <v/>
      </c>
      <c r="D73" s="6">
        <f>D72-(1-C72)</f>
        <v/>
      </c>
      <c r="E73" s="22">
        <f>C73&gt;=Fit!$B$32</f>
        <v/>
      </c>
    </row>
    <row r="74">
      <c r="A74" s="12" t="n">
        <v>56</v>
      </c>
      <c r="B74" s="21">
        <f>B73*(A74+$B$7-1)*(1-$B$5)/A74</f>
        <v/>
      </c>
      <c r="C74" s="15">
        <f>C73+B74</f>
        <v/>
      </c>
      <c r="D74" s="6">
        <f>D73-(1-C73)</f>
        <v/>
      </c>
      <c r="E74" s="22">
        <f>C74&gt;=Fit!$B$32</f>
        <v/>
      </c>
    </row>
    <row r="75">
      <c r="A75" s="12" t="n">
        <v>57</v>
      </c>
      <c r="B75" s="21">
        <f>B74*(A75+$B$7-1)*(1-$B$5)/A75</f>
        <v/>
      </c>
      <c r="C75" s="15">
        <f>C74+B75</f>
        <v/>
      </c>
      <c r="D75" s="6">
        <f>D74-(1-C74)</f>
        <v/>
      </c>
      <c r="E75" s="22">
        <f>C75&gt;=Fit!$B$32</f>
        <v/>
      </c>
    </row>
    <row r="76">
      <c r="A76" s="12" t="n">
        <v>58</v>
      </c>
      <c r="B76" s="21">
        <f>B75*(A76+$B$7-1)*(1-$B$5)/A76</f>
        <v/>
      </c>
      <c r="C76" s="15">
        <f>C75+B76</f>
        <v/>
      </c>
      <c r="D76" s="6">
        <f>D75-(1-C75)</f>
        <v/>
      </c>
      <c r="E76" s="22">
        <f>C76&gt;=Fit!$B$32</f>
        <v/>
      </c>
    </row>
    <row r="77">
      <c r="A77" s="12" t="n">
        <v>59</v>
      </c>
      <c r="B77" s="21">
        <f>B76*(A77+$B$7-1)*(1-$B$5)/A77</f>
        <v/>
      </c>
      <c r="C77" s="15">
        <f>C76+B77</f>
        <v/>
      </c>
      <c r="D77" s="6">
        <f>D76-(1-C76)</f>
        <v/>
      </c>
      <c r="E77" s="22">
        <f>C77&gt;=Fit!$B$32</f>
        <v/>
      </c>
    </row>
    <row r="78">
      <c r="A78" s="12" t="n">
        <v>60</v>
      </c>
      <c r="B78" s="21">
        <f>B77*(A78+$B$7-1)*(1-$B$5)/A78</f>
        <v/>
      </c>
      <c r="C78" s="15">
        <f>C77+B78</f>
        <v/>
      </c>
      <c r="D78" s="6">
        <f>D77-(1-C77)</f>
        <v/>
      </c>
      <c r="E78" s="22">
        <f>C78&gt;=Fit!$B$32</f>
        <v/>
      </c>
    </row>
    <row r="79">
      <c r="A79" s="12" t="n">
        <v>61</v>
      </c>
      <c r="B79" s="21">
        <f>B78*(A79+$B$7-1)*(1-$B$5)/A79</f>
        <v/>
      </c>
      <c r="C79" s="15">
        <f>C78+B79</f>
        <v/>
      </c>
      <c r="D79" s="6">
        <f>D78-(1-C78)</f>
        <v/>
      </c>
      <c r="E79" s="22">
        <f>C79&gt;=Fit!$B$32</f>
        <v/>
      </c>
    </row>
    <row r="80">
      <c r="A80" s="12" t="n">
        <v>62</v>
      </c>
      <c r="B80" s="21">
        <f>B79*(A80+$B$7-1)*(1-$B$5)/A80</f>
        <v/>
      </c>
      <c r="C80" s="15">
        <f>C79+B80</f>
        <v/>
      </c>
      <c r="D80" s="6">
        <f>D79-(1-C79)</f>
        <v/>
      </c>
      <c r="E80" s="22">
        <f>C80&gt;=Fit!$B$32</f>
        <v/>
      </c>
    </row>
    <row r="81">
      <c r="A81" s="12" t="n">
        <v>63</v>
      </c>
      <c r="B81" s="21">
        <f>B80*(A81+$B$7-1)*(1-$B$5)/A81</f>
        <v/>
      </c>
      <c r="C81" s="15">
        <f>C80+B81</f>
        <v/>
      </c>
      <c r="D81" s="6">
        <f>D80-(1-C80)</f>
        <v/>
      </c>
      <c r="E81" s="22">
        <f>C81&gt;=Fit!$B$32</f>
        <v/>
      </c>
    </row>
    <row r="82">
      <c r="A82" s="12" t="n">
        <v>64</v>
      </c>
      <c r="B82" s="21">
        <f>B81*(A82+$B$7-1)*(1-$B$5)/A82</f>
        <v/>
      </c>
      <c r="C82" s="15">
        <f>C81+B82</f>
        <v/>
      </c>
      <c r="D82" s="6">
        <f>D81-(1-C81)</f>
        <v/>
      </c>
      <c r="E82" s="22">
        <f>C82&gt;=Fit!$B$32</f>
        <v/>
      </c>
    </row>
    <row r="83">
      <c r="A83" s="12" t="n">
        <v>65</v>
      </c>
      <c r="B83" s="21">
        <f>B82*(A83+$B$7-1)*(1-$B$5)/A83</f>
        <v/>
      </c>
      <c r="C83" s="15">
        <f>C82+B83</f>
        <v/>
      </c>
      <c r="D83" s="6">
        <f>D82-(1-C82)</f>
        <v/>
      </c>
      <c r="E83" s="22">
        <f>C83&gt;=Fit!$B$32</f>
        <v/>
      </c>
    </row>
    <row r="84">
      <c r="A84" s="12" t="n">
        <v>66</v>
      </c>
      <c r="B84" s="21">
        <f>B83*(A84+$B$7-1)*(1-$B$5)/A84</f>
        <v/>
      </c>
      <c r="C84" s="15">
        <f>C83+B84</f>
        <v/>
      </c>
      <c r="D84" s="6">
        <f>D83-(1-C83)</f>
        <v/>
      </c>
      <c r="E84" s="22">
        <f>C84&gt;=Fit!$B$32</f>
        <v/>
      </c>
    </row>
    <row r="85">
      <c r="A85" s="12" t="n">
        <v>67</v>
      </c>
      <c r="B85" s="21">
        <f>B84*(A85+$B$7-1)*(1-$B$5)/A85</f>
        <v/>
      </c>
      <c r="C85" s="15">
        <f>C84+B85</f>
        <v/>
      </c>
      <c r="D85" s="6">
        <f>D84-(1-C84)</f>
        <v/>
      </c>
      <c r="E85" s="22">
        <f>C85&gt;=Fit!$B$32</f>
        <v/>
      </c>
    </row>
    <row r="86">
      <c r="A86" s="12" t="n">
        <v>68</v>
      </c>
      <c r="B86" s="21">
        <f>B85*(A86+$B$7-1)*(1-$B$5)/A86</f>
        <v/>
      </c>
      <c r="C86" s="15">
        <f>C85+B86</f>
        <v/>
      </c>
      <c r="D86" s="6">
        <f>D85-(1-C85)</f>
        <v/>
      </c>
      <c r="E86" s="22">
        <f>C86&gt;=Fit!$B$32</f>
        <v/>
      </c>
    </row>
    <row r="87">
      <c r="A87" s="12" t="n">
        <v>69</v>
      </c>
      <c r="B87" s="21">
        <f>B86*(A87+$B$7-1)*(1-$B$5)/A87</f>
        <v/>
      </c>
      <c r="C87" s="15">
        <f>C86+B87</f>
        <v/>
      </c>
      <c r="D87" s="6">
        <f>D86-(1-C86)</f>
        <v/>
      </c>
      <c r="E87" s="22">
        <f>C87&gt;=Fit!$B$32</f>
        <v/>
      </c>
    </row>
    <row r="88">
      <c r="A88" s="12" t="n">
        <v>70</v>
      </c>
      <c r="B88" s="21">
        <f>B87*(A88+$B$7-1)*(1-$B$5)/A88</f>
        <v/>
      </c>
      <c r="C88" s="15">
        <f>C87+B88</f>
        <v/>
      </c>
      <c r="D88" s="6">
        <f>D87-(1-C87)</f>
        <v/>
      </c>
      <c r="E88" s="22">
        <f>C88&gt;=Fit!$B$32</f>
        <v/>
      </c>
    </row>
    <row r="89">
      <c r="A89" s="12" t="n">
        <v>71</v>
      </c>
      <c r="B89" s="21">
        <f>B88*(A89+$B$7-1)*(1-$B$5)/A89</f>
        <v/>
      </c>
      <c r="C89" s="15">
        <f>C88+B89</f>
        <v/>
      </c>
      <c r="D89" s="6">
        <f>D88-(1-C88)</f>
        <v/>
      </c>
      <c r="E89" s="22">
        <f>C89&gt;=Fit!$B$32</f>
        <v/>
      </c>
    </row>
    <row r="90">
      <c r="A90" s="12" t="n">
        <v>72</v>
      </c>
      <c r="B90" s="21">
        <f>B89*(A90+$B$7-1)*(1-$B$5)/A90</f>
        <v/>
      </c>
      <c r="C90" s="15">
        <f>C89+B90</f>
        <v/>
      </c>
      <c r="D90" s="6">
        <f>D89-(1-C89)</f>
        <v/>
      </c>
      <c r="E90" s="22">
        <f>C90&gt;=Fit!$B$32</f>
        <v/>
      </c>
    </row>
    <row r="91">
      <c r="A91" s="12" t="n">
        <v>73</v>
      </c>
      <c r="B91" s="21">
        <f>B90*(A91+$B$7-1)*(1-$B$5)/A91</f>
        <v/>
      </c>
      <c r="C91" s="15">
        <f>C90+B91</f>
        <v/>
      </c>
      <c r="D91" s="6">
        <f>D90-(1-C90)</f>
        <v/>
      </c>
      <c r="E91" s="22">
        <f>C91&gt;=Fit!$B$32</f>
        <v/>
      </c>
    </row>
    <row r="92">
      <c r="A92" s="12" t="n">
        <v>74</v>
      </c>
      <c r="B92" s="21">
        <f>B91*(A92+$B$7-1)*(1-$B$5)/A92</f>
        <v/>
      </c>
      <c r="C92" s="15">
        <f>C91+B92</f>
        <v/>
      </c>
      <c r="D92" s="6">
        <f>D91-(1-C91)</f>
        <v/>
      </c>
      <c r="E92" s="22">
        <f>C92&gt;=Fit!$B$32</f>
        <v/>
      </c>
    </row>
    <row r="93">
      <c r="A93" s="12" t="n">
        <v>75</v>
      </c>
      <c r="B93" s="21">
        <f>B92*(A93+$B$7-1)*(1-$B$5)/A93</f>
        <v/>
      </c>
      <c r="C93" s="15">
        <f>C92+B93</f>
        <v/>
      </c>
      <c r="D93" s="6">
        <f>D92-(1-C92)</f>
        <v/>
      </c>
      <c r="E93" s="22">
        <f>C93&gt;=Fit!$B$32</f>
        <v/>
      </c>
    </row>
    <row r="94">
      <c r="A94" s="12" t="n">
        <v>76</v>
      </c>
      <c r="B94" s="21">
        <f>B93*(A94+$B$7-1)*(1-$B$5)/A94</f>
        <v/>
      </c>
      <c r="C94" s="15">
        <f>C93+B94</f>
        <v/>
      </c>
      <c r="D94" s="6">
        <f>D93-(1-C93)</f>
        <v/>
      </c>
      <c r="E94" s="22">
        <f>C94&gt;=Fit!$B$32</f>
        <v/>
      </c>
    </row>
    <row r="95">
      <c r="A95" s="12" t="n">
        <v>77</v>
      </c>
      <c r="B95" s="21">
        <f>B94*(A95+$B$7-1)*(1-$B$5)/A95</f>
        <v/>
      </c>
      <c r="C95" s="15">
        <f>C94+B95</f>
        <v/>
      </c>
      <c r="D95" s="6">
        <f>D94-(1-C94)</f>
        <v/>
      </c>
      <c r="E95" s="22">
        <f>C95&gt;=Fit!$B$32</f>
        <v/>
      </c>
    </row>
    <row r="96">
      <c r="A96" s="12" t="n">
        <v>78</v>
      </c>
      <c r="B96" s="21">
        <f>B95*(A96+$B$7-1)*(1-$B$5)/A96</f>
        <v/>
      </c>
      <c r="C96" s="15">
        <f>C95+B96</f>
        <v/>
      </c>
      <c r="D96" s="6">
        <f>D95-(1-C95)</f>
        <v/>
      </c>
      <c r="E96" s="22">
        <f>C96&gt;=Fit!$B$32</f>
        <v/>
      </c>
    </row>
    <row r="97">
      <c r="A97" s="12" t="n">
        <v>79</v>
      </c>
      <c r="B97" s="21">
        <f>B96*(A97+$B$7-1)*(1-$B$5)/A97</f>
        <v/>
      </c>
      <c r="C97" s="15">
        <f>C96+B97</f>
        <v/>
      </c>
      <c r="D97" s="6">
        <f>D96-(1-C96)</f>
        <v/>
      </c>
      <c r="E97" s="22">
        <f>C97&gt;=Fit!$B$32</f>
        <v/>
      </c>
    </row>
    <row r="98">
      <c r="A98" s="12" t="n">
        <v>80</v>
      </c>
      <c r="B98" s="21">
        <f>B97*(A98+$B$7-1)*(1-$B$5)/A98</f>
        <v/>
      </c>
      <c r="C98" s="15">
        <f>C97+B98</f>
        <v/>
      </c>
      <c r="D98" s="6">
        <f>D97-(1-C97)</f>
        <v/>
      </c>
      <c r="E98" s="22">
        <f>C98&gt;=Fit!$B$32</f>
        <v/>
      </c>
    </row>
    <row r="99">
      <c r="A99" s="12" t="n">
        <v>81</v>
      </c>
      <c r="B99" s="21">
        <f>B98*(A99+$B$7-1)*(1-$B$5)/A99</f>
        <v/>
      </c>
      <c r="C99" s="15">
        <f>C98+B99</f>
        <v/>
      </c>
      <c r="D99" s="6">
        <f>D98-(1-C98)</f>
        <v/>
      </c>
      <c r="E99" s="22">
        <f>C99&gt;=Fit!$B$32</f>
        <v/>
      </c>
    </row>
    <row r="100">
      <c r="A100" s="12" t="n">
        <v>82</v>
      </c>
      <c r="B100" s="21">
        <f>B99*(A100+$B$7-1)*(1-$B$5)/A100</f>
        <v/>
      </c>
      <c r="C100" s="15">
        <f>C99+B100</f>
        <v/>
      </c>
      <c r="D100" s="6">
        <f>D99-(1-C99)</f>
        <v/>
      </c>
      <c r="E100" s="22">
        <f>C100&gt;=Fit!$B$32</f>
        <v/>
      </c>
    </row>
    <row r="101">
      <c r="A101" s="12" t="n">
        <v>83</v>
      </c>
      <c r="B101" s="21">
        <f>B100*(A101+$B$7-1)*(1-$B$5)/A101</f>
        <v/>
      </c>
      <c r="C101" s="15">
        <f>C100+B101</f>
        <v/>
      </c>
      <c r="D101" s="6">
        <f>D100-(1-C100)</f>
        <v/>
      </c>
      <c r="E101" s="22">
        <f>C101&gt;=Fit!$B$32</f>
        <v/>
      </c>
    </row>
    <row r="102">
      <c r="A102" s="12" t="n">
        <v>84</v>
      </c>
      <c r="B102" s="21">
        <f>B101*(A102+$B$7-1)*(1-$B$5)/A102</f>
        <v/>
      </c>
      <c r="C102" s="15">
        <f>C101+B102</f>
        <v/>
      </c>
      <c r="D102" s="6">
        <f>D101-(1-C101)</f>
        <v/>
      </c>
      <c r="E102" s="22">
        <f>C102&gt;=Fit!$B$32</f>
        <v/>
      </c>
    </row>
    <row r="103">
      <c r="A103" s="12" t="n">
        <v>85</v>
      </c>
      <c r="B103" s="21">
        <f>B102*(A103+$B$7-1)*(1-$B$5)/A103</f>
        <v/>
      </c>
      <c r="C103" s="15">
        <f>C102+B103</f>
        <v/>
      </c>
      <c r="D103" s="6">
        <f>D102-(1-C102)</f>
        <v/>
      </c>
      <c r="E103" s="22">
        <f>C103&gt;=Fit!$B$32</f>
        <v/>
      </c>
    </row>
    <row r="104">
      <c r="A104" s="12" t="n">
        <v>86</v>
      </c>
      <c r="B104" s="21">
        <f>B103*(A104+$B$7-1)*(1-$B$5)/A104</f>
        <v/>
      </c>
      <c r="C104" s="15">
        <f>C103+B104</f>
        <v/>
      </c>
      <c r="D104" s="6">
        <f>D103-(1-C103)</f>
        <v/>
      </c>
      <c r="E104" s="22">
        <f>C104&gt;=Fit!$B$32</f>
        <v/>
      </c>
    </row>
    <row r="105">
      <c r="A105" s="12" t="n">
        <v>87</v>
      </c>
      <c r="B105" s="21">
        <f>B104*(A105+$B$7-1)*(1-$B$5)/A105</f>
        <v/>
      </c>
      <c r="C105" s="15">
        <f>C104+B105</f>
        <v/>
      </c>
      <c r="D105" s="6">
        <f>D104-(1-C104)</f>
        <v/>
      </c>
      <c r="E105" s="22">
        <f>C105&gt;=Fit!$B$32</f>
        <v/>
      </c>
    </row>
    <row r="106">
      <c r="A106" s="12" t="n">
        <v>88</v>
      </c>
      <c r="B106" s="21">
        <f>B105*(A106+$B$7-1)*(1-$B$5)/A106</f>
        <v/>
      </c>
      <c r="C106" s="15">
        <f>C105+B106</f>
        <v/>
      </c>
      <c r="D106" s="6">
        <f>D105-(1-C105)</f>
        <v/>
      </c>
      <c r="E106" s="22">
        <f>C106&gt;=Fit!$B$32</f>
        <v/>
      </c>
    </row>
    <row r="107">
      <c r="A107" s="12" t="n">
        <v>89</v>
      </c>
      <c r="B107" s="21">
        <f>B106*(A107+$B$7-1)*(1-$B$5)/A107</f>
        <v/>
      </c>
      <c r="C107" s="15">
        <f>C106+B107</f>
        <v/>
      </c>
      <c r="D107" s="6">
        <f>D106-(1-C106)</f>
        <v/>
      </c>
      <c r="E107" s="22">
        <f>C107&gt;=Fit!$B$32</f>
        <v/>
      </c>
    </row>
    <row r="108">
      <c r="A108" s="12" t="n">
        <v>90</v>
      </c>
      <c r="B108" s="21">
        <f>B107*(A108+$B$7-1)*(1-$B$5)/A108</f>
        <v/>
      </c>
      <c r="C108" s="15">
        <f>C107+B108</f>
        <v/>
      </c>
      <c r="D108" s="6">
        <f>D107-(1-C107)</f>
        <v/>
      </c>
      <c r="E108" s="22">
        <f>C108&gt;=Fit!$B$32</f>
        <v/>
      </c>
    </row>
    <row r="109">
      <c r="A109" s="12" t="n">
        <v>91</v>
      </c>
      <c r="B109" s="21">
        <f>B108*(A109+$B$7-1)*(1-$B$5)/A109</f>
        <v/>
      </c>
      <c r="C109" s="15">
        <f>C108+B109</f>
        <v/>
      </c>
      <c r="D109" s="6">
        <f>D108-(1-C108)</f>
        <v/>
      </c>
      <c r="E109" s="22">
        <f>C109&gt;=Fit!$B$32</f>
        <v/>
      </c>
    </row>
    <row r="110">
      <c r="A110" s="12" t="n">
        <v>92</v>
      </c>
      <c r="B110" s="21">
        <f>B109*(A110+$B$7-1)*(1-$B$5)/A110</f>
        <v/>
      </c>
      <c r="C110" s="15">
        <f>C109+B110</f>
        <v/>
      </c>
      <c r="D110" s="6">
        <f>D109-(1-C109)</f>
        <v/>
      </c>
      <c r="E110" s="22">
        <f>C110&gt;=Fit!$B$32</f>
        <v/>
      </c>
    </row>
    <row r="111">
      <c r="A111" s="12" t="n">
        <v>93</v>
      </c>
      <c r="B111" s="21">
        <f>B110*(A111+$B$7-1)*(1-$B$5)/A111</f>
        <v/>
      </c>
      <c r="C111" s="15">
        <f>C110+B111</f>
        <v/>
      </c>
      <c r="D111" s="6">
        <f>D110-(1-C110)</f>
        <v/>
      </c>
      <c r="E111" s="22">
        <f>C111&gt;=Fit!$B$32</f>
        <v/>
      </c>
    </row>
    <row r="112">
      <c r="A112" s="12" t="n">
        <v>94</v>
      </c>
      <c r="B112" s="21">
        <f>B111*(A112+$B$7-1)*(1-$B$5)/A112</f>
        <v/>
      </c>
      <c r="C112" s="15">
        <f>C111+B112</f>
        <v/>
      </c>
      <c r="D112" s="6">
        <f>D111-(1-C111)</f>
        <v/>
      </c>
      <c r="E112" s="22">
        <f>C112&gt;=Fit!$B$32</f>
        <v/>
      </c>
    </row>
    <row r="113">
      <c r="A113" s="12" t="n">
        <v>95</v>
      </c>
      <c r="B113" s="21">
        <f>B112*(A113+$B$7-1)*(1-$B$5)/A113</f>
        <v/>
      </c>
      <c r="C113" s="15">
        <f>C112+B113</f>
        <v/>
      </c>
      <c r="D113" s="6">
        <f>D112-(1-C112)</f>
        <v/>
      </c>
      <c r="E113" s="22">
        <f>C113&gt;=Fit!$B$32</f>
        <v/>
      </c>
    </row>
    <row r="114">
      <c r="A114" s="12" t="n">
        <v>96</v>
      </c>
      <c r="B114" s="21">
        <f>B113*(A114+$B$7-1)*(1-$B$5)/A114</f>
        <v/>
      </c>
      <c r="C114" s="15">
        <f>C113+B114</f>
        <v/>
      </c>
      <c r="D114" s="6">
        <f>D113-(1-C113)</f>
        <v/>
      </c>
      <c r="E114" s="22">
        <f>C114&gt;=Fit!$B$32</f>
        <v/>
      </c>
    </row>
    <row r="115">
      <c r="A115" s="12" t="n">
        <v>97</v>
      </c>
      <c r="B115" s="21">
        <f>B114*(A115+$B$7-1)*(1-$B$5)/A115</f>
        <v/>
      </c>
      <c r="C115" s="15">
        <f>C114+B115</f>
        <v/>
      </c>
      <c r="D115" s="6">
        <f>D114-(1-C114)</f>
        <v/>
      </c>
      <c r="E115" s="22">
        <f>C115&gt;=Fit!$B$32</f>
        <v/>
      </c>
    </row>
    <row r="116">
      <c r="A116" s="12" t="n">
        <v>98</v>
      </c>
      <c r="B116" s="21">
        <f>B115*(A116+$B$7-1)*(1-$B$5)/A116</f>
        <v/>
      </c>
      <c r="C116" s="15">
        <f>C115+B116</f>
        <v/>
      </c>
      <c r="D116" s="6">
        <f>D115-(1-C115)</f>
        <v/>
      </c>
      <c r="E116" s="22">
        <f>C116&gt;=Fit!$B$32</f>
        <v/>
      </c>
    </row>
    <row r="117">
      <c r="A117" s="12" t="n">
        <v>99</v>
      </c>
      <c r="B117" s="21">
        <f>B116*(A117+$B$7-1)*(1-$B$5)/A117</f>
        <v/>
      </c>
      <c r="C117" s="15">
        <f>C116+B117</f>
        <v/>
      </c>
      <c r="D117" s="6">
        <f>D116-(1-C116)</f>
        <v/>
      </c>
      <c r="E117" s="22">
        <f>C117&gt;=Fit!$B$32</f>
        <v/>
      </c>
    </row>
    <row r="118">
      <c r="A118" s="12" t="n">
        <v>100</v>
      </c>
      <c r="B118" s="21">
        <f>B117*(A118+$B$7-1)*(1-$B$5)/A118</f>
        <v/>
      </c>
      <c r="C118" s="15">
        <f>C117+B118</f>
        <v/>
      </c>
      <c r="D118" s="6">
        <f>D117-(1-C117)</f>
        <v/>
      </c>
      <c r="E118" s="22">
        <f>C118&gt;=Fit!$B$32</f>
        <v/>
      </c>
    </row>
    <row r="119">
      <c r="A119" s="12" t="n">
        <v>101</v>
      </c>
      <c r="B119" s="21">
        <f>B118*(A119+$B$7-1)*(1-$B$5)/A119</f>
        <v/>
      </c>
      <c r="C119" s="15">
        <f>C118+B119</f>
        <v/>
      </c>
      <c r="D119" s="6">
        <f>D118-(1-C118)</f>
        <v/>
      </c>
      <c r="E119" s="22">
        <f>C119&gt;=Fit!$B$32</f>
        <v/>
      </c>
    </row>
    <row r="120">
      <c r="A120" s="12" t="n">
        <v>102</v>
      </c>
      <c r="B120" s="21">
        <f>B119*(A120+$B$7-1)*(1-$B$5)/A120</f>
        <v/>
      </c>
      <c r="C120" s="15">
        <f>C119+B120</f>
        <v/>
      </c>
      <c r="D120" s="6">
        <f>D119-(1-C119)</f>
        <v/>
      </c>
      <c r="E120" s="22">
        <f>C120&gt;=Fit!$B$32</f>
        <v/>
      </c>
    </row>
    <row r="121">
      <c r="A121" s="12" t="n">
        <v>103</v>
      </c>
      <c r="B121" s="21">
        <f>B120*(A121+$B$7-1)*(1-$B$5)/A121</f>
        <v/>
      </c>
      <c r="C121" s="15">
        <f>C120+B121</f>
        <v/>
      </c>
      <c r="D121" s="6">
        <f>D120-(1-C120)</f>
        <v/>
      </c>
      <c r="E121" s="22">
        <f>C121&gt;=Fit!$B$32</f>
        <v/>
      </c>
    </row>
    <row r="122">
      <c r="A122" s="12" t="n">
        <v>104</v>
      </c>
      <c r="B122" s="21">
        <f>B121*(A122+$B$7-1)*(1-$B$5)/A122</f>
        <v/>
      </c>
      <c r="C122" s="15">
        <f>C121+B122</f>
        <v/>
      </c>
      <c r="D122" s="6">
        <f>D121-(1-C121)</f>
        <v/>
      </c>
      <c r="E122" s="22">
        <f>C122&gt;=Fit!$B$32</f>
        <v/>
      </c>
    </row>
    <row r="123">
      <c r="A123" s="12" t="n">
        <v>105</v>
      </c>
      <c r="B123" s="21">
        <f>B122*(A123+$B$7-1)*(1-$B$5)/A123</f>
        <v/>
      </c>
      <c r="C123" s="15">
        <f>C122+B123</f>
        <v/>
      </c>
      <c r="D123" s="6">
        <f>D122-(1-C122)</f>
        <v/>
      </c>
      <c r="E123" s="22">
        <f>C123&gt;=Fit!$B$32</f>
        <v/>
      </c>
    </row>
    <row r="124">
      <c r="A124" s="12" t="n">
        <v>106</v>
      </c>
      <c r="B124" s="21">
        <f>B123*(A124+$B$7-1)*(1-$B$5)/A124</f>
        <v/>
      </c>
      <c r="C124" s="15">
        <f>C123+B124</f>
        <v/>
      </c>
      <c r="D124" s="6">
        <f>D123-(1-C123)</f>
        <v/>
      </c>
      <c r="E124" s="22">
        <f>C124&gt;=Fit!$B$32</f>
        <v/>
      </c>
    </row>
    <row r="125">
      <c r="A125" s="12" t="n">
        <v>107</v>
      </c>
      <c r="B125" s="21">
        <f>B124*(A125+$B$7-1)*(1-$B$5)/A125</f>
        <v/>
      </c>
      <c r="C125" s="15">
        <f>C124+B125</f>
        <v/>
      </c>
      <c r="D125" s="6">
        <f>D124-(1-C124)</f>
        <v/>
      </c>
      <c r="E125" s="22">
        <f>C125&gt;=Fit!$B$32</f>
        <v/>
      </c>
    </row>
    <row r="126">
      <c r="A126" s="12" t="n">
        <v>108</v>
      </c>
      <c r="B126" s="21">
        <f>B125*(A126+$B$7-1)*(1-$B$5)/A126</f>
        <v/>
      </c>
      <c r="C126" s="15">
        <f>C125+B126</f>
        <v/>
      </c>
      <c r="D126" s="6">
        <f>D125-(1-C125)</f>
        <v/>
      </c>
      <c r="E126" s="22">
        <f>C126&gt;=Fit!$B$32</f>
        <v/>
      </c>
    </row>
    <row r="127">
      <c r="A127" s="12" t="n">
        <v>109</v>
      </c>
      <c r="B127" s="21">
        <f>B126*(A127+$B$7-1)*(1-$B$5)/A127</f>
        <v/>
      </c>
      <c r="C127" s="15">
        <f>C126+B127</f>
        <v/>
      </c>
      <c r="D127" s="6">
        <f>D126-(1-C126)</f>
        <v/>
      </c>
      <c r="E127" s="22">
        <f>C127&gt;=Fit!$B$32</f>
        <v/>
      </c>
    </row>
    <row r="128">
      <c r="A128" s="12" t="n">
        <v>110</v>
      </c>
      <c r="B128" s="21">
        <f>B127*(A128+$B$7-1)*(1-$B$5)/A128</f>
        <v/>
      </c>
      <c r="C128" s="15">
        <f>C127+B128</f>
        <v/>
      </c>
      <c r="D128" s="6">
        <f>D127-(1-C127)</f>
        <v/>
      </c>
      <c r="E128" s="22">
        <f>C128&gt;=Fit!$B$32</f>
        <v/>
      </c>
    </row>
    <row r="129">
      <c r="A129" s="12" t="n">
        <v>111</v>
      </c>
      <c r="B129" s="21">
        <f>B128*(A129+$B$7-1)*(1-$B$5)/A129</f>
        <v/>
      </c>
      <c r="C129" s="15">
        <f>C128+B129</f>
        <v/>
      </c>
      <c r="D129" s="6">
        <f>D128-(1-C128)</f>
        <v/>
      </c>
      <c r="E129" s="22">
        <f>C129&gt;=Fit!$B$32</f>
        <v/>
      </c>
    </row>
    <row r="130">
      <c r="A130" s="12" t="n">
        <v>112</v>
      </c>
      <c r="B130" s="21">
        <f>B129*(A130+$B$7-1)*(1-$B$5)/A130</f>
        <v/>
      </c>
      <c r="C130" s="15">
        <f>C129+B130</f>
        <v/>
      </c>
      <c r="D130" s="6">
        <f>D129-(1-C129)</f>
        <v/>
      </c>
      <c r="E130" s="22">
        <f>C130&gt;=Fit!$B$32</f>
        <v/>
      </c>
    </row>
    <row r="131">
      <c r="A131" s="12" t="n">
        <v>113</v>
      </c>
      <c r="B131" s="21">
        <f>B130*(A131+$B$7-1)*(1-$B$5)/A131</f>
        <v/>
      </c>
      <c r="C131" s="15">
        <f>C130+B131</f>
        <v/>
      </c>
      <c r="D131" s="6">
        <f>D130-(1-C130)</f>
        <v/>
      </c>
      <c r="E131" s="22">
        <f>C131&gt;=Fit!$B$32</f>
        <v/>
      </c>
    </row>
    <row r="132">
      <c r="A132" s="12" t="n">
        <v>114</v>
      </c>
      <c r="B132" s="21">
        <f>B131*(A132+$B$7-1)*(1-$B$5)/A132</f>
        <v/>
      </c>
      <c r="C132" s="15">
        <f>C131+B132</f>
        <v/>
      </c>
      <c r="D132" s="6">
        <f>D131-(1-C131)</f>
        <v/>
      </c>
      <c r="E132" s="22">
        <f>C132&gt;=Fit!$B$32</f>
        <v/>
      </c>
    </row>
    <row r="133">
      <c r="A133" s="12" t="n">
        <v>115</v>
      </c>
      <c r="B133" s="21">
        <f>B132*(A133+$B$7-1)*(1-$B$5)/A133</f>
        <v/>
      </c>
      <c r="C133" s="15">
        <f>C132+B133</f>
        <v/>
      </c>
      <c r="D133" s="6">
        <f>D132-(1-C132)</f>
        <v/>
      </c>
      <c r="E133" s="22">
        <f>C133&gt;=Fit!$B$32</f>
        <v/>
      </c>
    </row>
    <row r="134">
      <c r="A134" s="12" t="n">
        <v>116</v>
      </c>
      <c r="B134" s="21">
        <f>B133*(A134+$B$7-1)*(1-$B$5)/A134</f>
        <v/>
      </c>
      <c r="C134" s="15">
        <f>C133+B134</f>
        <v/>
      </c>
      <c r="D134" s="6">
        <f>D133-(1-C133)</f>
        <v/>
      </c>
      <c r="E134" s="22">
        <f>C134&gt;=Fit!$B$32</f>
        <v/>
      </c>
    </row>
    <row r="135">
      <c r="A135" s="12" t="n">
        <v>117</v>
      </c>
      <c r="B135" s="21">
        <f>B134*(A135+$B$7-1)*(1-$B$5)/A135</f>
        <v/>
      </c>
      <c r="C135" s="15">
        <f>C134+B135</f>
        <v/>
      </c>
      <c r="D135" s="6">
        <f>D134-(1-C134)</f>
        <v/>
      </c>
      <c r="E135" s="22">
        <f>C135&gt;=Fit!$B$32</f>
        <v/>
      </c>
    </row>
    <row r="136">
      <c r="A136" s="12" t="n">
        <v>118</v>
      </c>
      <c r="B136" s="21">
        <f>B135*(A136+$B$7-1)*(1-$B$5)/A136</f>
        <v/>
      </c>
      <c r="C136" s="15">
        <f>C135+B136</f>
        <v/>
      </c>
      <c r="D136" s="6">
        <f>D135-(1-C135)</f>
        <v/>
      </c>
      <c r="E136" s="22">
        <f>C136&gt;=Fit!$B$32</f>
        <v/>
      </c>
    </row>
    <row r="137">
      <c r="A137" s="12" t="n">
        <v>119</v>
      </c>
      <c r="B137" s="21">
        <f>B136*(A137+$B$7-1)*(1-$B$5)/A137</f>
        <v/>
      </c>
      <c r="C137" s="15">
        <f>C136+B137</f>
        <v/>
      </c>
      <c r="D137" s="6">
        <f>D136-(1-C136)</f>
        <v/>
      </c>
      <c r="E137" s="22">
        <f>C137&gt;=Fit!$B$32</f>
        <v/>
      </c>
    </row>
    <row r="138">
      <c r="A138" s="12" t="n">
        <v>120</v>
      </c>
      <c r="B138" s="21">
        <f>B137*(A138+$B$7-1)*(1-$B$5)/A138</f>
        <v/>
      </c>
      <c r="C138" s="15">
        <f>C137+B138</f>
        <v/>
      </c>
      <c r="D138" s="6">
        <f>D137-(1-C137)</f>
        <v/>
      </c>
      <c r="E138" s="22">
        <f>C138&gt;=Fit!$B$32</f>
        <v/>
      </c>
    </row>
    <row r="139">
      <c r="A139" s="12" t="n">
        <v>121</v>
      </c>
      <c r="B139" s="21">
        <f>B138*(A139+$B$7-1)*(1-$B$5)/A139</f>
        <v/>
      </c>
      <c r="C139" s="15">
        <f>C138+B139</f>
        <v/>
      </c>
      <c r="D139" s="6">
        <f>D138-(1-C138)</f>
        <v/>
      </c>
      <c r="E139" s="22">
        <f>C139&gt;=Fit!$B$32</f>
        <v/>
      </c>
    </row>
    <row r="140">
      <c r="A140" s="12" t="n">
        <v>122</v>
      </c>
      <c r="B140" s="21">
        <f>B139*(A140+$B$7-1)*(1-$B$5)/A140</f>
        <v/>
      </c>
      <c r="C140" s="15">
        <f>C139+B140</f>
        <v/>
      </c>
      <c r="D140" s="6">
        <f>D139-(1-C139)</f>
        <v/>
      </c>
      <c r="E140" s="22">
        <f>C140&gt;=Fit!$B$32</f>
        <v/>
      </c>
    </row>
    <row r="141">
      <c r="A141" s="12" t="n">
        <v>123</v>
      </c>
      <c r="B141" s="21">
        <f>B140*(A141+$B$7-1)*(1-$B$5)/A141</f>
        <v/>
      </c>
      <c r="C141" s="15">
        <f>C140+B141</f>
        <v/>
      </c>
      <c r="D141" s="6">
        <f>D140-(1-C140)</f>
        <v/>
      </c>
      <c r="E141" s="22">
        <f>C141&gt;=Fit!$B$32</f>
        <v/>
      </c>
    </row>
    <row r="142">
      <c r="A142" s="12" t="n">
        <v>124</v>
      </c>
      <c r="B142" s="21">
        <f>B141*(A142+$B$7-1)*(1-$B$5)/A142</f>
        <v/>
      </c>
      <c r="C142" s="15">
        <f>C141+B142</f>
        <v/>
      </c>
      <c r="D142" s="6">
        <f>D141-(1-C141)</f>
        <v/>
      </c>
      <c r="E142" s="22">
        <f>C142&gt;=Fit!$B$32</f>
        <v/>
      </c>
    </row>
    <row r="143">
      <c r="A143" s="12" t="n">
        <v>125</v>
      </c>
      <c r="B143" s="21">
        <f>B142*(A143+$B$7-1)*(1-$B$5)/A143</f>
        <v/>
      </c>
      <c r="C143" s="15">
        <f>C142+B143</f>
        <v/>
      </c>
      <c r="D143" s="6">
        <f>D142-(1-C142)</f>
        <v/>
      </c>
      <c r="E143" s="22">
        <f>C143&gt;=Fit!$B$32</f>
        <v/>
      </c>
    </row>
    <row r="144">
      <c r="A144" s="12" t="n">
        <v>126</v>
      </c>
      <c r="B144" s="21">
        <f>B143*(A144+$B$7-1)*(1-$B$5)/A144</f>
        <v/>
      </c>
      <c r="C144" s="15">
        <f>C143+B144</f>
        <v/>
      </c>
      <c r="D144" s="6">
        <f>D143-(1-C143)</f>
        <v/>
      </c>
      <c r="E144" s="22">
        <f>C144&gt;=Fit!$B$32</f>
        <v/>
      </c>
    </row>
    <row r="145">
      <c r="A145" s="12" t="n">
        <v>127</v>
      </c>
      <c r="B145" s="21">
        <f>B144*(A145+$B$7-1)*(1-$B$5)/A145</f>
        <v/>
      </c>
      <c r="C145" s="15">
        <f>C144+B145</f>
        <v/>
      </c>
      <c r="D145" s="6">
        <f>D144-(1-C144)</f>
        <v/>
      </c>
      <c r="E145" s="22">
        <f>C145&gt;=Fit!$B$32</f>
        <v/>
      </c>
    </row>
    <row r="146">
      <c r="A146" s="12" t="n">
        <v>128</v>
      </c>
      <c r="B146" s="21">
        <f>B145*(A146+$B$7-1)*(1-$B$5)/A146</f>
        <v/>
      </c>
      <c r="C146" s="15">
        <f>C145+B146</f>
        <v/>
      </c>
      <c r="D146" s="6">
        <f>D145-(1-C145)</f>
        <v/>
      </c>
      <c r="E146" s="22">
        <f>C146&gt;=Fit!$B$32</f>
        <v/>
      </c>
    </row>
    <row r="147">
      <c r="A147" s="12" t="n">
        <v>129</v>
      </c>
      <c r="B147" s="21">
        <f>B146*(A147+$B$7-1)*(1-$B$5)/A147</f>
        <v/>
      </c>
      <c r="C147" s="15">
        <f>C146+B147</f>
        <v/>
      </c>
      <c r="D147" s="6">
        <f>D146-(1-C146)</f>
        <v/>
      </c>
      <c r="E147" s="22">
        <f>C147&gt;=Fit!$B$32</f>
        <v/>
      </c>
    </row>
    <row r="148">
      <c r="A148" s="12" t="n">
        <v>130</v>
      </c>
      <c r="B148" s="21">
        <f>B147*(A148+$B$7-1)*(1-$B$5)/A148</f>
        <v/>
      </c>
      <c r="C148" s="15">
        <f>C147+B148</f>
        <v/>
      </c>
      <c r="D148" s="6">
        <f>D147-(1-C147)</f>
        <v/>
      </c>
      <c r="E148" s="22">
        <f>C148&gt;=Fit!$B$32</f>
        <v/>
      </c>
    </row>
    <row r="149">
      <c r="A149" s="12" t="n">
        <v>131</v>
      </c>
      <c r="B149" s="21">
        <f>B148*(A149+$B$7-1)*(1-$B$5)/A149</f>
        <v/>
      </c>
      <c r="C149" s="15">
        <f>C148+B149</f>
        <v/>
      </c>
      <c r="D149" s="6">
        <f>D148-(1-C148)</f>
        <v/>
      </c>
      <c r="E149" s="22">
        <f>C149&gt;=Fit!$B$32</f>
        <v/>
      </c>
    </row>
    <row r="150">
      <c r="A150" s="12" t="n">
        <v>132</v>
      </c>
      <c r="B150" s="21">
        <f>B149*(A150+$B$7-1)*(1-$B$5)/A150</f>
        <v/>
      </c>
      <c r="C150" s="15">
        <f>C149+B150</f>
        <v/>
      </c>
      <c r="D150" s="6">
        <f>D149-(1-C149)</f>
        <v/>
      </c>
      <c r="E150" s="22">
        <f>C150&gt;=Fit!$B$32</f>
        <v/>
      </c>
    </row>
    <row r="151">
      <c r="A151" s="12" t="n">
        <v>133</v>
      </c>
      <c r="B151" s="21">
        <f>B150*(A151+$B$7-1)*(1-$B$5)/A151</f>
        <v/>
      </c>
      <c r="C151" s="15">
        <f>C150+B151</f>
        <v/>
      </c>
      <c r="D151" s="6">
        <f>D150-(1-C150)</f>
        <v/>
      </c>
      <c r="E151" s="22">
        <f>C151&gt;=Fit!$B$32</f>
        <v/>
      </c>
    </row>
    <row r="152">
      <c r="A152" s="12" t="n">
        <v>134</v>
      </c>
      <c r="B152" s="21">
        <f>B151*(A152+$B$7-1)*(1-$B$5)/A152</f>
        <v/>
      </c>
      <c r="C152" s="15">
        <f>C151+B152</f>
        <v/>
      </c>
      <c r="D152" s="6">
        <f>D151-(1-C151)</f>
        <v/>
      </c>
      <c r="E152" s="22">
        <f>C152&gt;=Fit!$B$32</f>
        <v/>
      </c>
    </row>
    <row r="153">
      <c r="A153" s="12" t="n">
        <v>135</v>
      </c>
      <c r="B153" s="21">
        <f>B152*(A153+$B$7-1)*(1-$B$5)/A153</f>
        <v/>
      </c>
      <c r="C153" s="15">
        <f>C152+B153</f>
        <v/>
      </c>
      <c r="D153" s="6">
        <f>D152-(1-C152)</f>
        <v/>
      </c>
      <c r="E153" s="22">
        <f>C153&gt;=Fit!$B$32</f>
        <v/>
      </c>
    </row>
    <row r="154">
      <c r="A154" s="12" t="n">
        <v>136</v>
      </c>
      <c r="B154" s="21">
        <f>B153*(A154+$B$7-1)*(1-$B$5)/A154</f>
        <v/>
      </c>
      <c r="C154" s="15">
        <f>C153+B154</f>
        <v/>
      </c>
      <c r="D154" s="6">
        <f>D153-(1-C153)</f>
        <v/>
      </c>
      <c r="E154" s="22">
        <f>C154&gt;=Fit!$B$32</f>
        <v/>
      </c>
    </row>
    <row r="155">
      <c r="A155" s="12" t="n">
        <v>137</v>
      </c>
      <c r="B155" s="21">
        <f>B154*(A155+$B$7-1)*(1-$B$5)/A155</f>
        <v/>
      </c>
      <c r="C155" s="15">
        <f>C154+B155</f>
        <v/>
      </c>
      <c r="D155" s="6">
        <f>D154-(1-C154)</f>
        <v/>
      </c>
      <c r="E155" s="22">
        <f>C155&gt;=Fit!$B$32</f>
        <v/>
      </c>
    </row>
    <row r="156">
      <c r="A156" s="12" t="n">
        <v>138</v>
      </c>
      <c r="B156" s="21">
        <f>B155*(A156+$B$7-1)*(1-$B$5)/A156</f>
        <v/>
      </c>
      <c r="C156" s="15">
        <f>C155+B156</f>
        <v/>
      </c>
      <c r="D156" s="6">
        <f>D155-(1-C155)</f>
        <v/>
      </c>
      <c r="E156" s="22">
        <f>C156&gt;=Fit!$B$32</f>
        <v/>
      </c>
    </row>
    <row r="157">
      <c r="A157" s="12" t="n">
        <v>139</v>
      </c>
      <c r="B157" s="21">
        <f>B156*(A157+$B$7-1)*(1-$B$5)/A157</f>
        <v/>
      </c>
      <c r="C157" s="15">
        <f>C156+B157</f>
        <v/>
      </c>
      <c r="D157" s="6">
        <f>D156-(1-C156)</f>
        <v/>
      </c>
      <c r="E157" s="22">
        <f>C157&gt;=Fit!$B$32</f>
        <v/>
      </c>
    </row>
    <row r="158">
      <c r="A158" s="12" t="n">
        <v>140</v>
      </c>
      <c r="B158" s="21">
        <f>B157*(A158+$B$7-1)*(1-$B$5)/A158</f>
        <v/>
      </c>
      <c r="C158" s="15">
        <f>C157+B158</f>
        <v/>
      </c>
      <c r="D158" s="6">
        <f>D157-(1-C157)</f>
        <v/>
      </c>
      <c r="E158" s="22">
        <f>C158&gt;=Fit!$B$32</f>
        <v/>
      </c>
    </row>
    <row r="159">
      <c r="A159" s="12" t="n">
        <v>141</v>
      </c>
      <c r="B159" s="21">
        <f>B158*(A159+$B$7-1)*(1-$B$5)/A159</f>
        <v/>
      </c>
      <c r="C159" s="15">
        <f>C158+B159</f>
        <v/>
      </c>
      <c r="D159" s="6">
        <f>D158-(1-C158)</f>
        <v/>
      </c>
      <c r="E159" s="22">
        <f>C159&gt;=Fit!$B$32</f>
        <v/>
      </c>
    </row>
    <row r="160">
      <c r="A160" s="12" t="n">
        <v>142</v>
      </c>
      <c r="B160" s="21">
        <f>B159*(A160+$B$7-1)*(1-$B$5)/A160</f>
        <v/>
      </c>
      <c r="C160" s="15">
        <f>C159+B160</f>
        <v/>
      </c>
      <c r="D160" s="6">
        <f>D159-(1-C159)</f>
        <v/>
      </c>
      <c r="E160" s="22">
        <f>C160&gt;=Fit!$B$32</f>
        <v/>
      </c>
    </row>
    <row r="161">
      <c r="A161" s="12" t="n">
        <v>143</v>
      </c>
      <c r="B161" s="21">
        <f>B160*(A161+$B$7-1)*(1-$B$5)/A161</f>
        <v/>
      </c>
      <c r="C161" s="15">
        <f>C160+B161</f>
        <v/>
      </c>
      <c r="D161" s="6">
        <f>D160-(1-C160)</f>
        <v/>
      </c>
      <c r="E161" s="22">
        <f>C161&gt;=Fit!$B$32</f>
        <v/>
      </c>
    </row>
    <row r="162">
      <c r="A162" s="12" t="n">
        <v>144</v>
      </c>
      <c r="B162" s="21">
        <f>B161*(A162+$B$7-1)*(1-$B$5)/A162</f>
        <v/>
      </c>
      <c r="C162" s="15">
        <f>C161+B162</f>
        <v/>
      </c>
      <c r="D162" s="6">
        <f>D161-(1-C161)</f>
        <v/>
      </c>
      <c r="E162" s="22">
        <f>C162&gt;=Fit!$B$32</f>
        <v/>
      </c>
    </row>
    <row r="163">
      <c r="A163" s="12" t="n">
        <v>145</v>
      </c>
      <c r="B163" s="21">
        <f>B162*(A163+$B$7-1)*(1-$B$5)/A163</f>
        <v/>
      </c>
      <c r="C163" s="15">
        <f>C162+B163</f>
        <v/>
      </c>
      <c r="D163" s="6">
        <f>D162-(1-C162)</f>
        <v/>
      </c>
      <c r="E163" s="22">
        <f>C163&gt;=Fit!$B$32</f>
        <v/>
      </c>
    </row>
    <row r="164">
      <c r="A164" s="12" t="n">
        <v>146</v>
      </c>
      <c r="B164" s="21">
        <f>B163*(A164+$B$7-1)*(1-$B$5)/A164</f>
        <v/>
      </c>
      <c r="C164" s="15">
        <f>C163+B164</f>
        <v/>
      </c>
      <c r="D164" s="6">
        <f>D163-(1-C163)</f>
        <v/>
      </c>
      <c r="E164" s="22">
        <f>C164&gt;=Fit!$B$32</f>
        <v/>
      </c>
    </row>
    <row r="165">
      <c r="A165" s="12" t="n">
        <v>147</v>
      </c>
      <c r="B165" s="21">
        <f>B164*(A165+$B$7-1)*(1-$B$5)/A165</f>
        <v/>
      </c>
      <c r="C165" s="15">
        <f>C164+B165</f>
        <v/>
      </c>
      <c r="D165" s="6">
        <f>D164-(1-C164)</f>
        <v/>
      </c>
      <c r="E165" s="22">
        <f>C165&gt;=Fit!$B$32</f>
        <v/>
      </c>
    </row>
    <row r="166">
      <c r="A166" s="12" t="n">
        <v>148</v>
      </c>
      <c r="B166" s="21">
        <f>B165*(A166+$B$7-1)*(1-$B$5)/A166</f>
        <v/>
      </c>
      <c r="C166" s="15">
        <f>C165+B166</f>
        <v/>
      </c>
      <c r="D166" s="6">
        <f>D165-(1-C165)</f>
        <v/>
      </c>
      <c r="E166" s="22">
        <f>C166&gt;=Fit!$B$32</f>
        <v/>
      </c>
    </row>
    <row r="167">
      <c r="A167" s="12" t="n">
        <v>149</v>
      </c>
      <c r="B167" s="21">
        <f>B166*(A167+$B$7-1)*(1-$B$5)/A167</f>
        <v/>
      </c>
      <c r="C167" s="15">
        <f>C166+B167</f>
        <v/>
      </c>
      <c r="D167" s="6">
        <f>D166-(1-C166)</f>
        <v/>
      </c>
      <c r="E167" s="22">
        <f>C167&gt;=Fit!$B$32</f>
        <v/>
      </c>
    </row>
    <row r="168">
      <c r="A168" s="12" t="n">
        <v>150</v>
      </c>
      <c r="B168" s="21">
        <f>B167*(A168+$B$7-1)*(1-$B$5)/A168</f>
        <v/>
      </c>
      <c r="C168" s="15">
        <f>C167+B168</f>
        <v/>
      </c>
      <c r="D168" s="6">
        <f>D167-(1-C167)</f>
        <v/>
      </c>
      <c r="E168" s="22">
        <f>C168&gt;=Fit!$B$32</f>
        <v/>
      </c>
    </row>
    <row r="169">
      <c r="A169" s="12" t="n">
        <v>151</v>
      </c>
      <c r="B169" s="21">
        <f>B168*(A169+$B$7-1)*(1-$B$5)/A169</f>
        <v/>
      </c>
      <c r="C169" s="15">
        <f>C168+B169</f>
        <v/>
      </c>
      <c r="D169" s="6">
        <f>D168-(1-C168)</f>
        <v/>
      </c>
      <c r="E169" s="22">
        <f>C169&gt;=Fit!$B$32</f>
        <v/>
      </c>
    </row>
    <row r="170">
      <c r="A170" s="12" t="n">
        <v>152</v>
      </c>
      <c r="B170" s="21">
        <f>B169*(A170+$B$7-1)*(1-$B$5)/A170</f>
        <v/>
      </c>
      <c r="C170" s="15">
        <f>C169+B170</f>
        <v/>
      </c>
      <c r="D170" s="6">
        <f>D169-(1-C169)</f>
        <v/>
      </c>
      <c r="E170" s="22">
        <f>C170&gt;=Fit!$B$32</f>
        <v/>
      </c>
    </row>
    <row r="171">
      <c r="A171" s="12" t="n">
        <v>153</v>
      </c>
      <c r="B171" s="21">
        <f>B170*(A171+$B$7-1)*(1-$B$5)/A171</f>
        <v/>
      </c>
      <c r="C171" s="15">
        <f>C170+B171</f>
        <v/>
      </c>
      <c r="D171" s="6">
        <f>D170-(1-C170)</f>
        <v/>
      </c>
      <c r="E171" s="22">
        <f>C171&gt;=Fit!$B$32</f>
        <v/>
      </c>
    </row>
    <row r="172">
      <c r="A172" s="12" t="n">
        <v>154</v>
      </c>
      <c r="B172" s="21">
        <f>B171*(A172+$B$7-1)*(1-$B$5)/A172</f>
        <v/>
      </c>
      <c r="C172" s="15">
        <f>C171+B172</f>
        <v/>
      </c>
      <c r="D172" s="6">
        <f>D171-(1-C171)</f>
        <v/>
      </c>
      <c r="E172" s="22">
        <f>C172&gt;=Fit!$B$32</f>
        <v/>
      </c>
    </row>
    <row r="173">
      <c r="A173" s="12" t="n">
        <v>155</v>
      </c>
      <c r="B173" s="21">
        <f>B172*(A173+$B$7-1)*(1-$B$5)/A173</f>
        <v/>
      </c>
      <c r="C173" s="15">
        <f>C172+B173</f>
        <v/>
      </c>
      <c r="D173" s="6">
        <f>D172-(1-C172)</f>
        <v/>
      </c>
      <c r="E173" s="22">
        <f>C173&gt;=Fit!$B$32</f>
        <v/>
      </c>
    </row>
    <row r="174">
      <c r="A174" s="12" t="n">
        <v>156</v>
      </c>
      <c r="B174" s="21">
        <f>B173*(A174+$B$7-1)*(1-$B$5)/A174</f>
        <v/>
      </c>
      <c r="C174" s="15">
        <f>C173+B174</f>
        <v/>
      </c>
      <c r="D174" s="6">
        <f>D173-(1-C173)</f>
        <v/>
      </c>
      <c r="E174" s="22">
        <f>C174&gt;=Fit!$B$32</f>
        <v/>
      </c>
    </row>
    <row r="175">
      <c r="A175" s="12" t="n">
        <v>157</v>
      </c>
      <c r="B175" s="21">
        <f>B174*(A175+$B$7-1)*(1-$B$5)/A175</f>
        <v/>
      </c>
      <c r="C175" s="15">
        <f>C174+B175</f>
        <v/>
      </c>
      <c r="D175" s="6">
        <f>D174-(1-C174)</f>
        <v/>
      </c>
      <c r="E175" s="22">
        <f>C175&gt;=Fit!$B$32</f>
        <v/>
      </c>
    </row>
    <row r="176">
      <c r="A176" s="12" t="n">
        <v>158</v>
      </c>
      <c r="B176" s="21">
        <f>B175*(A176+$B$7-1)*(1-$B$5)/A176</f>
        <v/>
      </c>
      <c r="C176" s="15">
        <f>C175+B176</f>
        <v/>
      </c>
      <c r="D176" s="6">
        <f>D175-(1-C175)</f>
        <v/>
      </c>
      <c r="E176" s="22">
        <f>C176&gt;=Fit!$B$32</f>
        <v/>
      </c>
    </row>
    <row r="177">
      <c r="A177" s="12" t="n">
        <v>159</v>
      </c>
      <c r="B177" s="21">
        <f>B176*(A177+$B$7-1)*(1-$B$5)/A177</f>
        <v/>
      </c>
      <c r="C177" s="15">
        <f>C176+B177</f>
        <v/>
      </c>
      <c r="D177" s="6">
        <f>D176-(1-C176)</f>
        <v/>
      </c>
      <c r="E177" s="22">
        <f>C177&gt;=Fit!$B$32</f>
        <v/>
      </c>
    </row>
    <row r="178">
      <c r="A178" s="12" t="n">
        <v>160</v>
      </c>
      <c r="B178" s="21">
        <f>B177*(A178+$B$7-1)*(1-$B$5)/A178</f>
        <v/>
      </c>
      <c r="C178" s="15">
        <f>C177+B178</f>
        <v/>
      </c>
      <c r="D178" s="6">
        <f>D177-(1-C177)</f>
        <v/>
      </c>
      <c r="E178" s="22">
        <f>C178&gt;=Fit!$B$32</f>
        <v/>
      </c>
    </row>
    <row r="179">
      <c r="A179" s="12" t="n">
        <v>161</v>
      </c>
      <c r="B179" s="21">
        <f>B178*(A179+$B$7-1)*(1-$B$5)/A179</f>
        <v/>
      </c>
      <c r="C179" s="15">
        <f>C178+B179</f>
        <v/>
      </c>
      <c r="D179" s="6">
        <f>D178-(1-C178)</f>
        <v/>
      </c>
      <c r="E179" s="22">
        <f>C179&gt;=Fit!$B$32</f>
        <v/>
      </c>
    </row>
    <row r="180">
      <c r="A180" s="12" t="n">
        <v>162</v>
      </c>
      <c r="B180" s="21">
        <f>B179*(A180+$B$7-1)*(1-$B$5)/A180</f>
        <v/>
      </c>
      <c r="C180" s="15">
        <f>C179+B180</f>
        <v/>
      </c>
      <c r="D180" s="6">
        <f>D179-(1-C179)</f>
        <v/>
      </c>
      <c r="E180" s="22">
        <f>C180&gt;=Fit!$B$32</f>
        <v/>
      </c>
    </row>
    <row r="181">
      <c r="A181" s="12" t="n">
        <v>163</v>
      </c>
      <c r="B181" s="21">
        <f>B180*(A181+$B$7-1)*(1-$B$5)/A181</f>
        <v/>
      </c>
      <c r="C181" s="15">
        <f>C180+B181</f>
        <v/>
      </c>
      <c r="D181" s="6">
        <f>D180-(1-C180)</f>
        <v/>
      </c>
      <c r="E181" s="22">
        <f>C181&gt;=Fit!$B$32</f>
        <v/>
      </c>
    </row>
    <row r="182">
      <c r="A182" s="12" t="n">
        <v>164</v>
      </c>
      <c r="B182" s="21">
        <f>B181*(A182+$B$7-1)*(1-$B$5)/A182</f>
        <v/>
      </c>
      <c r="C182" s="15">
        <f>C181+B182</f>
        <v/>
      </c>
      <c r="D182" s="6">
        <f>D181-(1-C181)</f>
        <v/>
      </c>
      <c r="E182" s="22">
        <f>C182&gt;=Fit!$B$32</f>
        <v/>
      </c>
    </row>
    <row r="183">
      <c r="A183" s="12" t="n">
        <v>165</v>
      </c>
      <c r="B183" s="21">
        <f>B182*(A183+$B$7-1)*(1-$B$5)/A183</f>
        <v/>
      </c>
      <c r="C183" s="15">
        <f>C182+B183</f>
        <v/>
      </c>
      <c r="D183" s="6">
        <f>D182-(1-C182)</f>
        <v/>
      </c>
      <c r="E183" s="22">
        <f>C183&gt;=Fit!$B$32</f>
        <v/>
      </c>
    </row>
    <row r="184">
      <c r="A184" s="12" t="n">
        <v>166</v>
      </c>
      <c r="B184" s="21">
        <f>B183*(A184+$B$7-1)*(1-$B$5)/A184</f>
        <v/>
      </c>
      <c r="C184" s="15">
        <f>C183+B184</f>
        <v/>
      </c>
      <c r="D184" s="6">
        <f>D183-(1-C183)</f>
        <v/>
      </c>
      <c r="E184" s="22">
        <f>C184&gt;=Fit!$B$32</f>
        <v/>
      </c>
    </row>
    <row r="185">
      <c r="A185" s="12" t="n">
        <v>167</v>
      </c>
      <c r="B185" s="21">
        <f>B184*(A185+$B$7-1)*(1-$B$5)/A185</f>
        <v/>
      </c>
      <c r="C185" s="15">
        <f>C184+B185</f>
        <v/>
      </c>
      <c r="D185" s="6">
        <f>D184-(1-C184)</f>
        <v/>
      </c>
      <c r="E185" s="22">
        <f>C185&gt;=Fit!$B$32</f>
        <v/>
      </c>
    </row>
    <row r="186">
      <c r="A186" s="12" t="n">
        <v>168</v>
      </c>
      <c r="B186" s="21">
        <f>B185*(A186+$B$7-1)*(1-$B$5)/A186</f>
        <v/>
      </c>
      <c r="C186" s="15">
        <f>C185+B186</f>
        <v/>
      </c>
      <c r="D186" s="6">
        <f>D185-(1-C185)</f>
        <v/>
      </c>
      <c r="E186" s="22">
        <f>C186&gt;=Fit!$B$32</f>
        <v/>
      </c>
    </row>
    <row r="187">
      <c r="A187" s="12" t="n">
        <v>169</v>
      </c>
      <c r="B187" s="21">
        <f>B186*(A187+$B$7-1)*(1-$B$5)/A187</f>
        <v/>
      </c>
      <c r="C187" s="15">
        <f>C186+B187</f>
        <v/>
      </c>
      <c r="D187" s="6">
        <f>D186-(1-C186)</f>
        <v/>
      </c>
      <c r="E187" s="22">
        <f>C187&gt;=Fit!$B$32</f>
        <v/>
      </c>
    </row>
    <row r="188">
      <c r="A188" s="12" t="n">
        <v>170</v>
      </c>
      <c r="B188" s="21">
        <f>B187*(A188+$B$7-1)*(1-$B$5)/A188</f>
        <v/>
      </c>
      <c r="C188" s="15">
        <f>C187+B188</f>
        <v/>
      </c>
      <c r="D188" s="6">
        <f>D187-(1-C187)</f>
        <v/>
      </c>
      <c r="E188" s="22">
        <f>C188&gt;=Fit!$B$32</f>
        <v/>
      </c>
    </row>
    <row r="189">
      <c r="A189" s="12" t="n">
        <v>171</v>
      </c>
      <c r="B189" s="21">
        <f>B188*(A189+$B$7-1)*(1-$B$5)/A189</f>
        <v/>
      </c>
      <c r="C189" s="15">
        <f>C188+B189</f>
        <v/>
      </c>
      <c r="D189" s="6">
        <f>D188-(1-C188)</f>
        <v/>
      </c>
      <c r="E189" s="22">
        <f>C189&gt;=Fit!$B$32</f>
        <v/>
      </c>
    </row>
    <row r="190">
      <c r="A190" s="12" t="n">
        <v>172</v>
      </c>
      <c r="B190" s="21">
        <f>B189*(A190+$B$7-1)*(1-$B$5)/A190</f>
        <v/>
      </c>
      <c r="C190" s="15">
        <f>C189+B190</f>
        <v/>
      </c>
      <c r="D190" s="6">
        <f>D189-(1-C189)</f>
        <v/>
      </c>
      <c r="E190" s="22">
        <f>C190&gt;=Fit!$B$32</f>
        <v/>
      </c>
    </row>
    <row r="191">
      <c r="A191" s="12" t="n">
        <v>173</v>
      </c>
      <c r="B191" s="21">
        <f>B190*(A191+$B$7-1)*(1-$B$5)/A191</f>
        <v/>
      </c>
      <c r="C191" s="15">
        <f>C190+B191</f>
        <v/>
      </c>
      <c r="D191" s="6">
        <f>D190-(1-C190)</f>
        <v/>
      </c>
      <c r="E191" s="22">
        <f>C191&gt;=Fit!$B$32</f>
        <v/>
      </c>
    </row>
    <row r="192">
      <c r="A192" s="12" t="n">
        <v>174</v>
      </c>
      <c r="B192" s="21">
        <f>B191*(A192+$B$7-1)*(1-$B$5)/A192</f>
        <v/>
      </c>
      <c r="C192" s="15">
        <f>C191+B192</f>
        <v/>
      </c>
      <c r="D192" s="6">
        <f>D191-(1-C191)</f>
        <v/>
      </c>
      <c r="E192" s="22">
        <f>C192&gt;=Fit!$B$32</f>
        <v/>
      </c>
    </row>
    <row r="193">
      <c r="A193" s="12" t="n">
        <v>175</v>
      </c>
      <c r="B193" s="21">
        <f>B192*(A193+$B$7-1)*(1-$B$5)/A193</f>
        <v/>
      </c>
      <c r="C193" s="15">
        <f>C192+B193</f>
        <v/>
      </c>
      <c r="D193" s="6">
        <f>D192-(1-C192)</f>
        <v/>
      </c>
      <c r="E193" s="22">
        <f>C193&gt;=Fit!$B$32</f>
        <v/>
      </c>
    </row>
    <row r="194">
      <c r="A194" s="12" t="n">
        <v>176</v>
      </c>
      <c r="B194" s="21">
        <f>B193*(A194+$B$7-1)*(1-$B$5)/A194</f>
        <v/>
      </c>
      <c r="C194" s="15">
        <f>C193+B194</f>
        <v/>
      </c>
      <c r="D194" s="6">
        <f>D193-(1-C193)</f>
        <v/>
      </c>
      <c r="E194" s="22">
        <f>C194&gt;=Fit!$B$32</f>
        <v/>
      </c>
    </row>
    <row r="195">
      <c r="A195" s="12" t="n">
        <v>177</v>
      </c>
      <c r="B195" s="21">
        <f>B194*(A195+$B$7-1)*(1-$B$5)/A195</f>
        <v/>
      </c>
      <c r="C195" s="15">
        <f>C194+B195</f>
        <v/>
      </c>
      <c r="D195" s="6">
        <f>D194-(1-C194)</f>
        <v/>
      </c>
      <c r="E195" s="22">
        <f>C195&gt;=Fit!$B$32</f>
        <v/>
      </c>
    </row>
    <row r="196">
      <c r="A196" s="12" t="n">
        <v>178</v>
      </c>
      <c r="B196" s="21">
        <f>B195*(A196+$B$7-1)*(1-$B$5)/A196</f>
        <v/>
      </c>
      <c r="C196" s="15">
        <f>C195+B196</f>
        <v/>
      </c>
      <c r="D196" s="6">
        <f>D195-(1-C195)</f>
        <v/>
      </c>
      <c r="E196" s="22">
        <f>C196&gt;=Fit!$B$32</f>
        <v/>
      </c>
    </row>
    <row r="197">
      <c r="A197" s="12" t="n">
        <v>179</v>
      </c>
      <c r="B197" s="21">
        <f>B196*(A197+$B$7-1)*(1-$B$5)/A197</f>
        <v/>
      </c>
      <c r="C197" s="15">
        <f>C196+B197</f>
        <v/>
      </c>
      <c r="D197" s="6">
        <f>D196-(1-C196)</f>
        <v/>
      </c>
      <c r="E197" s="22">
        <f>C197&gt;=Fit!$B$32</f>
        <v/>
      </c>
    </row>
    <row r="198">
      <c r="A198" s="12" t="n">
        <v>180</v>
      </c>
      <c r="B198" s="21">
        <f>B197*(A198+$B$7-1)*(1-$B$5)/A198</f>
        <v/>
      </c>
      <c r="C198" s="15">
        <f>C197+B198</f>
        <v/>
      </c>
      <c r="D198" s="6">
        <f>D197-(1-C197)</f>
        <v/>
      </c>
      <c r="E198" s="22">
        <f>C198&gt;=Fit!$B$32</f>
        <v/>
      </c>
    </row>
    <row r="199">
      <c r="A199" s="12" t="n">
        <v>181</v>
      </c>
      <c r="B199" s="21">
        <f>B198*(A199+$B$7-1)*(1-$B$5)/A199</f>
        <v/>
      </c>
      <c r="C199" s="15">
        <f>C198+B199</f>
        <v/>
      </c>
      <c r="D199" s="6">
        <f>D198-(1-C198)</f>
        <v/>
      </c>
      <c r="E199" s="22">
        <f>C199&gt;=Fit!$B$32</f>
        <v/>
      </c>
    </row>
    <row r="200">
      <c r="A200" s="12" t="n">
        <v>182</v>
      </c>
      <c r="B200" s="21">
        <f>B199*(A200+$B$7-1)*(1-$B$5)/A200</f>
        <v/>
      </c>
      <c r="C200" s="15">
        <f>C199+B200</f>
        <v/>
      </c>
      <c r="D200" s="6">
        <f>D199-(1-C199)</f>
        <v/>
      </c>
      <c r="E200" s="22">
        <f>C200&gt;=Fit!$B$32</f>
        <v/>
      </c>
    </row>
    <row r="201">
      <c r="A201" s="12" t="n">
        <v>183</v>
      </c>
      <c r="B201" s="21">
        <f>B200*(A201+$B$7-1)*(1-$B$5)/A201</f>
        <v/>
      </c>
      <c r="C201" s="15">
        <f>C200+B201</f>
        <v/>
      </c>
      <c r="D201" s="6">
        <f>D200-(1-C200)</f>
        <v/>
      </c>
      <c r="E201" s="22">
        <f>C201&gt;=Fit!$B$32</f>
        <v/>
      </c>
    </row>
    <row r="202">
      <c r="A202" s="12" t="n">
        <v>184</v>
      </c>
      <c r="B202" s="21">
        <f>B201*(A202+$B$7-1)*(1-$B$5)/A202</f>
        <v/>
      </c>
      <c r="C202" s="15">
        <f>C201+B202</f>
        <v/>
      </c>
      <c r="D202" s="6">
        <f>D201-(1-C201)</f>
        <v/>
      </c>
      <c r="E202" s="22">
        <f>C202&gt;=Fit!$B$32</f>
        <v/>
      </c>
    </row>
    <row r="203">
      <c r="A203" s="12" t="n">
        <v>185</v>
      </c>
      <c r="B203" s="21">
        <f>B202*(A203+$B$7-1)*(1-$B$5)/A203</f>
        <v/>
      </c>
      <c r="C203" s="15">
        <f>C202+B203</f>
        <v/>
      </c>
      <c r="D203" s="6">
        <f>D202-(1-C202)</f>
        <v/>
      </c>
      <c r="E203" s="22">
        <f>C203&gt;=Fit!$B$32</f>
        <v/>
      </c>
    </row>
    <row r="204">
      <c r="A204" s="12" t="n">
        <v>186</v>
      </c>
      <c r="B204" s="21">
        <f>B203*(A204+$B$7-1)*(1-$B$5)/A204</f>
        <v/>
      </c>
      <c r="C204" s="15">
        <f>C203+B204</f>
        <v/>
      </c>
      <c r="D204" s="6">
        <f>D203-(1-C203)</f>
        <v/>
      </c>
      <c r="E204" s="22">
        <f>C204&gt;=Fit!$B$32</f>
        <v/>
      </c>
    </row>
    <row r="205">
      <c r="A205" s="12" t="n">
        <v>187</v>
      </c>
      <c r="B205" s="21">
        <f>B204*(A205+$B$7-1)*(1-$B$5)/A205</f>
        <v/>
      </c>
      <c r="C205" s="15">
        <f>C204+B205</f>
        <v/>
      </c>
      <c r="D205" s="6">
        <f>D204-(1-C204)</f>
        <v/>
      </c>
      <c r="E205" s="22">
        <f>C205&gt;=Fit!$B$32</f>
        <v/>
      </c>
    </row>
    <row r="206">
      <c r="A206" s="12" t="n">
        <v>188</v>
      </c>
      <c r="B206" s="21">
        <f>B205*(A206+$B$7-1)*(1-$B$5)/A206</f>
        <v/>
      </c>
      <c r="C206" s="15">
        <f>C205+B206</f>
        <v/>
      </c>
      <c r="D206" s="6">
        <f>D205-(1-C205)</f>
        <v/>
      </c>
      <c r="E206" s="22">
        <f>C206&gt;=Fit!$B$32</f>
        <v/>
      </c>
    </row>
    <row r="207">
      <c r="A207" s="12" t="n">
        <v>189</v>
      </c>
      <c r="B207" s="21">
        <f>B206*(A207+$B$7-1)*(1-$B$5)/A207</f>
        <v/>
      </c>
      <c r="C207" s="15">
        <f>C206+B207</f>
        <v/>
      </c>
      <c r="D207" s="6">
        <f>D206-(1-C206)</f>
        <v/>
      </c>
      <c r="E207" s="22">
        <f>C207&gt;=Fit!$B$32</f>
        <v/>
      </c>
    </row>
    <row r="208">
      <c r="A208" s="12" t="n">
        <v>190</v>
      </c>
      <c r="B208" s="21">
        <f>B207*(A208+$B$7-1)*(1-$B$5)/A208</f>
        <v/>
      </c>
      <c r="C208" s="15">
        <f>C207+B208</f>
        <v/>
      </c>
      <c r="D208" s="6">
        <f>D207-(1-C207)</f>
        <v/>
      </c>
      <c r="E208" s="22">
        <f>C208&gt;=Fit!$B$32</f>
        <v/>
      </c>
    </row>
    <row r="209">
      <c r="A209" s="12" t="n">
        <v>191</v>
      </c>
      <c r="B209" s="21">
        <f>B208*(A209+$B$7-1)*(1-$B$5)/A209</f>
        <v/>
      </c>
      <c r="C209" s="15">
        <f>C208+B209</f>
        <v/>
      </c>
      <c r="D209" s="6">
        <f>D208-(1-C208)</f>
        <v/>
      </c>
      <c r="E209" s="22">
        <f>C209&gt;=Fit!$B$32</f>
        <v/>
      </c>
    </row>
    <row r="210">
      <c r="A210" s="12" t="n">
        <v>192</v>
      </c>
      <c r="B210" s="21">
        <f>B209*(A210+$B$7-1)*(1-$B$5)/A210</f>
        <v/>
      </c>
      <c r="C210" s="15">
        <f>C209+B210</f>
        <v/>
      </c>
      <c r="D210" s="6">
        <f>D209-(1-C209)</f>
        <v/>
      </c>
      <c r="E210" s="22">
        <f>C210&gt;=Fit!$B$32</f>
        <v/>
      </c>
    </row>
    <row r="211">
      <c r="A211" s="12" t="n">
        <v>193</v>
      </c>
      <c r="B211" s="21">
        <f>B210*(A211+$B$7-1)*(1-$B$5)/A211</f>
        <v/>
      </c>
      <c r="C211" s="15">
        <f>C210+B211</f>
        <v/>
      </c>
      <c r="D211" s="6">
        <f>D210-(1-C210)</f>
        <v/>
      </c>
      <c r="E211" s="22">
        <f>C211&gt;=Fit!$B$32</f>
        <v/>
      </c>
    </row>
    <row r="212">
      <c r="A212" s="12" t="n">
        <v>194</v>
      </c>
      <c r="B212" s="21">
        <f>B211*(A212+$B$7-1)*(1-$B$5)/A212</f>
        <v/>
      </c>
      <c r="C212" s="15">
        <f>C211+B212</f>
        <v/>
      </c>
      <c r="D212" s="6">
        <f>D211-(1-C211)</f>
        <v/>
      </c>
      <c r="E212" s="22">
        <f>C212&gt;=Fit!$B$32</f>
        <v/>
      </c>
    </row>
    <row r="213">
      <c r="A213" s="12" t="n">
        <v>195</v>
      </c>
      <c r="B213" s="21">
        <f>B212*(A213+$B$7-1)*(1-$B$5)/A213</f>
        <v/>
      </c>
      <c r="C213" s="15">
        <f>C212+B213</f>
        <v/>
      </c>
      <c r="D213" s="6">
        <f>D212-(1-C212)</f>
        <v/>
      </c>
      <c r="E213" s="22">
        <f>C213&gt;=Fit!$B$32</f>
        <v/>
      </c>
    </row>
    <row r="214">
      <c r="A214" s="12" t="n">
        <v>196</v>
      </c>
      <c r="B214" s="21">
        <f>B213*(A214+$B$7-1)*(1-$B$5)/A214</f>
        <v/>
      </c>
      <c r="C214" s="15">
        <f>C213+B214</f>
        <v/>
      </c>
      <c r="D214" s="6">
        <f>D213-(1-C213)</f>
        <v/>
      </c>
      <c r="E214" s="22">
        <f>C214&gt;=Fit!$B$32</f>
        <v/>
      </c>
    </row>
    <row r="215">
      <c r="A215" s="12" t="n">
        <v>197</v>
      </c>
      <c r="B215" s="21">
        <f>B214*(A215+$B$7-1)*(1-$B$5)/A215</f>
        <v/>
      </c>
      <c r="C215" s="15">
        <f>C214+B215</f>
        <v/>
      </c>
      <c r="D215" s="6">
        <f>D214-(1-C214)</f>
        <v/>
      </c>
      <c r="E215" s="22">
        <f>C215&gt;=Fit!$B$32</f>
        <v/>
      </c>
    </row>
    <row r="216">
      <c r="A216" s="12" t="n">
        <v>198</v>
      </c>
      <c r="B216" s="21">
        <f>B215*(A216+$B$7-1)*(1-$B$5)/A216</f>
        <v/>
      </c>
      <c r="C216" s="15">
        <f>C215+B216</f>
        <v/>
      </c>
      <c r="D216" s="6">
        <f>D215-(1-C215)</f>
        <v/>
      </c>
      <c r="E216" s="22">
        <f>C216&gt;=Fit!$B$32</f>
        <v/>
      </c>
    </row>
    <row r="217">
      <c r="A217" s="12" t="n">
        <v>199</v>
      </c>
      <c r="B217" s="21">
        <f>B216*(A217+$B$7-1)*(1-$B$5)/A217</f>
        <v/>
      </c>
      <c r="C217" s="15">
        <f>C216+B217</f>
        <v/>
      </c>
      <c r="D217" s="6">
        <f>D216-(1-C216)</f>
        <v/>
      </c>
      <c r="E217" s="22">
        <f>C217&gt;=Fit!$B$32</f>
        <v/>
      </c>
    </row>
    <row r="218">
      <c r="A218" s="12" t="n">
        <v>200</v>
      </c>
      <c r="B218" s="21">
        <f>B217*(A218+$B$7-1)*(1-$B$5)/A218</f>
        <v/>
      </c>
      <c r="C218" s="15">
        <f>C217+B218</f>
        <v/>
      </c>
      <c r="D218" s="6">
        <f>D217-(1-C217)</f>
        <v/>
      </c>
      <c r="E218" s="22">
        <f>C218&gt;=Fit!$B$32</f>
        <v/>
      </c>
    </row>
    <row r="219">
      <c r="A219" s="12" t="n">
        <v>201</v>
      </c>
      <c r="B219" s="21">
        <f>B218*(A219+$B$7-1)*(1-$B$5)/A219</f>
        <v/>
      </c>
      <c r="C219" s="15">
        <f>C218+B219</f>
        <v/>
      </c>
      <c r="D219" s="6">
        <f>D218-(1-C218)</f>
        <v/>
      </c>
      <c r="E219" s="22">
        <f>C219&gt;=Fit!$B$32</f>
        <v/>
      </c>
    </row>
    <row r="220">
      <c r="A220" s="12" t="n">
        <v>202</v>
      </c>
      <c r="B220" s="21">
        <f>B219*(A220+$B$7-1)*(1-$B$5)/A220</f>
        <v/>
      </c>
      <c r="C220" s="15">
        <f>C219+B220</f>
        <v/>
      </c>
      <c r="D220" s="6">
        <f>D219-(1-C219)</f>
        <v/>
      </c>
      <c r="E220" s="22">
        <f>C220&gt;=Fit!$B$32</f>
        <v/>
      </c>
    </row>
    <row r="221">
      <c r="A221" s="12" t="n">
        <v>203</v>
      </c>
      <c r="B221" s="21">
        <f>B220*(A221+$B$7-1)*(1-$B$5)/A221</f>
        <v/>
      </c>
      <c r="C221" s="15">
        <f>C220+B221</f>
        <v/>
      </c>
      <c r="D221" s="6">
        <f>D220-(1-C220)</f>
        <v/>
      </c>
      <c r="E221" s="22">
        <f>C221&gt;=Fit!$B$32</f>
        <v/>
      </c>
    </row>
    <row r="222">
      <c r="A222" s="12" t="n">
        <v>204</v>
      </c>
      <c r="B222" s="21">
        <f>B221*(A222+$B$7-1)*(1-$B$5)/A222</f>
        <v/>
      </c>
      <c r="C222" s="15">
        <f>C221+B222</f>
        <v/>
      </c>
      <c r="D222" s="6">
        <f>D221-(1-C221)</f>
        <v/>
      </c>
      <c r="E222" s="22">
        <f>C222&gt;=Fit!$B$32</f>
        <v/>
      </c>
    </row>
    <row r="223">
      <c r="A223" s="12" t="n">
        <v>205</v>
      </c>
      <c r="B223" s="21">
        <f>B222*(A223+$B$7-1)*(1-$B$5)/A223</f>
        <v/>
      </c>
      <c r="C223" s="15">
        <f>C222+B223</f>
        <v/>
      </c>
      <c r="D223" s="6">
        <f>D222-(1-C222)</f>
        <v/>
      </c>
      <c r="E223" s="22">
        <f>C223&gt;=Fit!$B$32</f>
        <v/>
      </c>
    </row>
    <row r="224">
      <c r="A224" s="12" t="n">
        <v>206</v>
      </c>
      <c r="B224" s="21">
        <f>B223*(A224+$B$7-1)*(1-$B$5)/A224</f>
        <v/>
      </c>
      <c r="C224" s="15">
        <f>C223+B224</f>
        <v/>
      </c>
      <c r="D224" s="6">
        <f>D223-(1-C223)</f>
        <v/>
      </c>
      <c r="E224" s="22">
        <f>C224&gt;=Fit!$B$32</f>
        <v/>
      </c>
    </row>
    <row r="225">
      <c r="A225" s="12" t="n">
        <v>207</v>
      </c>
      <c r="B225" s="21">
        <f>B224*(A225+$B$7-1)*(1-$B$5)/A225</f>
        <v/>
      </c>
      <c r="C225" s="15">
        <f>C224+B225</f>
        <v/>
      </c>
      <c r="D225" s="6">
        <f>D224-(1-C224)</f>
        <v/>
      </c>
      <c r="E225" s="22">
        <f>C225&gt;=Fit!$B$32</f>
        <v/>
      </c>
    </row>
    <row r="226">
      <c r="A226" s="12" t="n">
        <v>208</v>
      </c>
      <c r="B226" s="21">
        <f>B225*(A226+$B$7-1)*(1-$B$5)/A226</f>
        <v/>
      </c>
      <c r="C226" s="15">
        <f>C225+B226</f>
        <v/>
      </c>
      <c r="D226" s="6">
        <f>D225-(1-C225)</f>
        <v/>
      </c>
      <c r="E226" s="22">
        <f>C226&gt;=Fit!$B$32</f>
        <v/>
      </c>
    </row>
    <row r="227">
      <c r="A227" s="12" t="n">
        <v>209</v>
      </c>
      <c r="B227" s="21">
        <f>B226*(A227+$B$7-1)*(1-$B$5)/A227</f>
        <v/>
      </c>
      <c r="C227" s="15">
        <f>C226+B227</f>
        <v/>
      </c>
      <c r="D227" s="6">
        <f>D226-(1-C226)</f>
        <v/>
      </c>
      <c r="E227" s="22">
        <f>C227&gt;=Fit!$B$32</f>
        <v/>
      </c>
    </row>
    <row r="228">
      <c r="A228" s="12" t="n">
        <v>210</v>
      </c>
      <c r="B228" s="21">
        <f>B227*(A228+$B$7-1)*(1-$B$5)/A228</f>
        <v/>
      </c>
      <c r="C228" s="15">
        <f>C227+B228</f>
        <v/>
      </c>
      <c r="D228" s="6">
        <f>D227-(1-C227)</f>
        <v/>
      </c>
      <c r="E228" s="22">
        <f>C228&gt;=Fit!$B$32</f>
        <v/>
      </c>
    </row>
    <row r="229">
      <c r="A229" s="12" t="n">
        <v>211</v>
      </c>
      <c r="B229" s="21">
        <f>B228*(A229+$B$7-1)*(1-$B$5)/A229</f>
        <v/>
      </c>
      <c r="C229" s="15">
        <f>C228+B229</f>
        <v/>
      </c>
      <c r="D229" s="6">
        <f>D228-(1-C228)</f>
        <v/>
      </c>
      <c r="E229" s="22">
        <f>C229&gt;=Fit!$B$32</f>
        <v/>
      </c>
    </row>
    <row r="230">
      <c r="A230" s="12" t="n">
        <v>212</v>
      </c>
      <c r="B230" s="21">
        <f>B229*(A230+$B$7-1)*(1-$B$5)/A230</f>
        <v/>
      </c>
      <c r="C230" s="15">
        <f>C229+B230</f>
        <v/>
      </c>
      <c r="D230" s="6">
        <f>D229-(1-C229)</f>
        <v/>
      </c>
      <c r="E230" s="22">
        <f>C230&gt;=Fit!$B$32</f>
        <v/>
      </c>
    </row>
    <row r="231">
      <c r="A231" s="12" t="n">
        <v>213</v>
      </c>
      <c r="B231" s="21">
        <f>B230*(A231+$B$7-1)*(1-$B$5)/A231</f>
        <v/>
      </c>
      <c r="C231" s="15">
        <f>C230+B231</f>
        <v/>
      </c>
      <c r="D231" s="6">
        <f>D230-(1-C230)</f>
        <v/>
      </c>
      <c r="E231" s="22">
        <f>C231&gt;=Fit!$B$32</f>
        <v/>
      </c>
    </row>
    <row r="232">
      <c r="A232" s="12" t="n">
        <v>214</v>
      </c>
      <c r="B232" s="21">
        <f>B231*(A232+$B$7-1)*(1-$B$5)/A232</f>
        <v/>
      </c>
      <c r="C232" s="15">
        <f>C231+B232</f>
        <v/>
      </c>
      <c r="D232" s="6">
        <f>D231-(1-C231)</f>
        <v/>
      </c>
      <c r="E232" s="22">
        <f>C232&gt;=Fit!$B$32</f>
        <v/>
      </c>
    </row>
    <row r="233">
      <c r="A233" s="12" t="n">
        <v>215</v>
      </c>
      <c r="B233" s="21">
        <f>B232*(A233+$B$7-1)*(1-$B$5)/A233</f>
        <v/>
      </c>
      <c r="C233" s="15">
        <f>C232+B233</f>
        <v/>
      </c>
      <c r="D233" s="6">
        <f>D232-(1-C232)</f>
        <v/>
      </c>
      <c r="E233" s="22">
        <f>C233&gt;=Fit!$B$32</f>
        <v/>
      </c>
    </row>
    <row r="234">
      <c r="A234" s="12" t="n">
        <v>216</v>
      </c>
      <c r="B234" s="21">
        <f>B233*(A234+$B$7-1)*(1-$B$5)/A234</f>
        <v/>
      </c>
      <c r="C234" s="15">
        <f>C233+B234</f>
        <v/>
      </c>
      <c r="D234" s="6">
        <f>D233-(1-C233)</f>
        <v/>
      </c>
      <c r="E234" s="22">
        <f>C234&gt;=Fit!$B$32</f>
        <v/>
      </c>
    </row>
    <row r="235">
      <c r="A235" s="12" t="n">
        <v>217</v>
      </c>
      <c r="B235" s="21">
        <f>B234*(A235+$B$7-1)*(1-$B$5)/A235</f>
        <v/>
      </c>
      <c r="C235" s="15">
        <f>C234+B235</f>
        <v/>
      </c>
      <c r="D235" s="6">
        <f>D234-(1-C234)</f>
        <v/>
      </c>
      <c r="E235" s="22">
        <f>C235&gt;=Fit!$B$32</f>
        <v/>
      </c>
    </row>
    <row r="236">
      <c r="A236" s="12" t="n">
        <v>218</v>
      </c>
      <c r="B236" s="21">
        <f>B235*(A236+$B$7-1)*(1-$B$5)/A236</f>
        <v/>
      </c>
      <c r="C236" s="15">
        <f>C235+B236</f>
        <v/>
      </c>
      <c r="D236" s="6">
        <f>D235-(1-C235)</f>
        <v/>
      </c>
      <c r="E236" s="22">
        <f>C236&gt;=Fit!$B$32</f>
        <v/>
      </c>
    </row>
    <row r="237">
      <c r="A237" s="12" t="n">
        <v>219</v>
      </c>
      <c r="B237" s="21">
        <f>B236*(A237+$B$7-1)*(1-$B$5)/A237</f>
        <v/>
      </c>
      <c r="C237" s="15">
        <f>C236+B237</f>
        <v/>
      </c>
      <c r="D237" s="6">
        <f>D236-(1-C236)</f>
        <v/>
      </c>
      <c r="E237" s="22">
        <f>C237&gt;=Fit!$B$32</f>
        <v/>
      </c>
    </row>
    <row r="238">
      <c r="A238" s="12" t="n">
        <v>220</v>
      </c>
      <c r="B238" s="21">
        <f>B237*(A238+$B$7-1)*(1-$B$5)/A238</f>
        <v/>
      </c>
      <c r="C238" s="15">
        <f>C237+B238</f>
        <v/>
      </c>
      <c r="D238" s="6">
        <f>D237-(1-C237)</f>
        <v/>
      </c>
      <c r="E238" s="22">
        <f>C238&gt;=Fit!$B$32</f>
        <v/>
      </c>
    </row>
    <row r="239">
      <c r="A239" s="12" t="n">
        <v>221</v>
      </c>
      <c r="B239" s="21">
        <f>B238*(A239+$B$7-1)*(1-$B$5)/A239</f>
        <v/>
      </c>
      <c r="C239" s="15">
        <f>C238+B239</f>
        <v/>
      </c>
      <c r="D239" s="6">
        <f>D238-(1-C238)</f>
        <v/>
      </c>
      <c r="E239" s="22">
        <f>C239&gt;=Fit!$B$32</f>
        <v/>
      </c>
    </row>
    <row r="240">
      <c r="A240" s="12" t="n">
        <v>222</v>
      </c>
      <c r="B240" s="21">
        <f>B239*(A240+$B$7-1)*(1-$B$5)/A240</f>
        <v/>
      </c>
      <c r="C240" s="15">
        <f>C239+B240</f>
        <v/>
      </c>
      <c r="D240" s="6">
        <f>D239-(1-C239)</f>
        <v/>
      </c>
      <c r="E240" s="22">
        <f>C240&gt;=Fit!$B$32</f>
        <v/>
      </c>
    </row>
    <row r="241">
      <c r="A241" s="12" t="n">
        <v>223</v>
      </c>
      <c r="B241" s="21">
        <f>B240*(A241+$B$7-1)*(1-$B$5)/A241</f>
        <v/>
      </c>
      <c r="C241" s="15">
        <f>C240+B241</f>
        <v/>
      </c>
      <c r="D241" s="6">
        <f>D240-(1-C240)</f>
        <v/>
      </c>
      <c r="E241" s="22">
        <f>C241&gt;=Fit!$B$32</f>
        <v/>
      </c>
    </row>
    <row r="242">
      <c r="A242" s="12" t="n">
        <v>224</v>
      </c>
      <c r="B242" s="21">
        <f>B241*(A242+$B$7-1)*(1-$B$5)/A242</f>
        <v/>
      </c>
      <c r="C242" s="15">
        <f>C241+B242</f>
        <v/>
      </c>
      <c r="D242" s="6">
        <f>D241-(1-C241)</f>
        <v/>
      </c>
      <c r="E242" s="22">
        <f>C242&gt;=Fit!$B$32</f>
        <v/>
      </c>
    </row>
    <row r="243">
      <c r="A243" s="12" t="n">
        <v>225</v>
      </c>
      <c r="B243" s="21">
        <f>B242*(A243+$B$7-1)*(1-$B$5)/A243</f>
        <v/>
      </c>
      <c r="C243" s="15">
        <f>C242+B243</f>
        <v/>
      </c>
      <c r="D243" s="6">
        <f>D242-(1-C242)</f>
        <v/>
      </c>
      <c r="E243" s="22">
        <f>C243&gt;=Fit!$B$32</f>
        <v/>
      </c>
    </row>
    <row r="244">
      <c r="A244" s="12" t="n">
        <v>226</v>
      </c>
      <c r="B244" s="21">
        <f>B243*(A244+$B$7-1)*(1-$B$5)/A244</f>
        <v/>
      </c>
      <c r="C244" s="15">
        <f>C243+B244</f>
        <v/>
      </c>
      <c r="D244" s="6">
        <f>D243-(1-C243)</f>
        <v/>
      </c>
      <c r="E244" s="22">
        <f>C244&gt;=Fit!$B$32</f>
        <v/>
      </c>
    </row>
    <row r="245">
      <c r="A245" s="12" t="n">
        <v>227</v>
      </c>
      <c r="B245" s="21">
        <f>B244*(A245+$B$7-1)*(1-$B$5)/A245</f>
        <v/>
      </c>
      <c r="C245" s="15">
        <f>C244+B245</f>
        <v/>
      </c>
      <c r="D245" s="6">
        <f>D244-(1-C244)</f>
        <v/>
      </c>
      <c r="E245" s="22">
        <f>C245&gt;=Fit!$B$32</f>
        <v/>
      </c>
    </row>
    <row r="246">
      <c r="A246" s="12" t="n">
        <v>228</v>
      </c>
      <c r="B246" s="21">
        <f>B245*(A246+$B$7-1)*(1-$B$5)/A246</f>
        <v/>
      </c>
      <c r="C246" s="15">
        <f>C245+B246</f>
        <v/>
      </c>
      <c r="D246" s="6">
        <f>D245-(1-C245)</f>
        <v/>
      </c>
      <c r="E246" s="22">
        <f>C246&gt;=Fit!$B$32</f>
        <v/>
      </c>
    </row>
    <row r="247">
      <c r="A247" s="12" t="n">
        <v>229</v>
      </c>
      <c r="B247" s="21">
        <f>B246*(A247+$B$7-1)*(1-$B$5)/A247</f>
        <v/>
      </c>
      <c r="C247" s="15">
        <f>C246+B247</f>
        <v/>
      </c>
      <c r="D247" s="6">
        <f>D246-(1-C246)</f>
        <v/>
      </c>
      <c r="E247" s="22">
        <f>C247&gt;=Fit!$B$32</f>
        <v/>
      </c>
    </row>
    <row r="248">
      <c r="A248" s="12" t="n">
        <v>230</v>
      </c>
      <c r="B248" s="21">
        <f>B247*(A248+$B$7-1)*(1-$B$5)/A248</f>
        <v/>
      </c>
      <c r="C248" s="15">
        <f>C247+B248</f>
        <v/>
      </c>
      <c r="D248" s="6">
        <f>D247-(1-C247)</f>
        <v/>
      </c>
      <c r="E248" s="22">
        <f>C248&gt;=Fit!$B$32</f>
        <v/>
      </c>
    </row>
    <row r="249">
      <c r="A249" s="12" t="n">
        <v>231</v>
      </c>
      <c r="B249" s="21">
        <f>B248*(A249+$B$7-1)*(1-$B$5)/A249</f>
        <v/>
      </c>
      <c r="C249" s="15">
        <f>C248+B249</f>
        <v/>
      </c>
      <c r="D249" s="6">
        <f>D248-(1-C248)</f>
        <v/>
      </c>
      <c r="E249" s="22">
        <f>C249&gt;=Fit!$B$32</f>
        <v/>
      </c>
    </row>
    <row r="250">
      <c r="A250" s="12" t="n">
        <v>232</v>
      </c>
      <c r="B250" s="21">
        <f>B249*(A250+$B$7-1)*(1-$B$5)/A250</f>
        <v/>
      </c>
      <c r="C250" s="15">
        <f>C249+B250</f>
        <v/>
      </c>
      <c r="D250" s="6">
        <f>D249-(1-C249)</f>
        <v/>
      </c>
      <c r="E250" s="22">
        <f>C250&gt;=Fit!$B$32</f>
        <v/>
      </c>
    </row>
    <row r="251">
      <c r="A251" s="12" t="n">
        <v>233</v>
      </c>
      <c r="B251" s="21">
        <f>B250*(A251+$B$7-1)*(1-$B$5)/A251</f>
        <v/>
      </c>
      <c r="C251" s="15">
        <f>C250+B251</f>
        <v/>
      </c>
      <c r="D251" s="6">
        <f>D250-(1-C250)</f>
        <v/>
      </c>
      <c r="E251" s="22">
        <f>C251&gt;=Fit!$B$32</f>
        <v/>
      </c>
    </row>
    <row r="252">
      <c r="A252" s="12" t="n">
        <v>234</v>
      </c>
      <c r="B252" s="21">
        <f>B251*(A252+$B$7-1)*(1-$B$5)/A252</f>
        <v/>
      </c>
      <c r="C252" s="15">
        <f>C251+B252</f>
        <v/>
      </c>
      <c r="D252" s="6">
        <f>D251-(1-C251)</f>
        <v/>
      </c>
      <c r="E252" s="22">
        <f>C252&gt;=Fit!$B$32</f>
        <v/>
      </c>
    </row>
    <row r="253">
      <c r="A253" s="12" t="n">
        <v>235</v>
      </c>
      <c r="B253" s="21">
        <f>B252*(A253+$B$7-1)*(1-$B$5)/A253</f>
        <v/>
      </c>
      <c r="C253" s="15">
        <f>C252+B253</f>
        <v/>
      </c>
      <c r="D253" s="6">
        <f>D252-(1-C252)</f>
        <v/>
      </c>
      <c r="E253" s="22">
        <f>C253&gt;=Fit!$B$32</f>
        <v/>
      </c>
    </row>
    <row r="254">
      <c r="A254" s="12" t="n">
        <v>236</v>
      </c>
      <c r="B254" s="21">
        <f>B253*(A254+$B$7-1)*(1-$B$5)/A254</f>
        <v/>
      </c>
      <c r="C254" s="15">
        <f>C253+B254</f>
        <v/>
      </c>
      <c r="D254" s="6">
        <f>D253-(1-C253)</f>
        <v/>
      </c>
      <c r="E254" s="22">
        <f>C254&gt;=Fit!$B$32</f>
        <v/>
      </c>
    </row>
    <row r="255">
      <c r="A255" s="12" t="n">
        <v>237</v>
      </c>
      <c r="B255" s="21">
        <f>B254*(A255+$B$7-1)*(1-$B$5)/A255</f>
        <v/>
      </c>
      <c r="C255" s="15">
        <f>C254+B255</f>
        <v/>
      </c>
      <c r="D255" s="6">
        <f>D254-(1-C254)</f>
        <v/>
      </c>
      <c r="E255" s="22">
        <f>C255&gt;=Fit!$B$32</f>
        <v/>
      </c>
    </row>
    <row r="256">
      <c r="A256" s="12" t="n">
        <v>238</v>
      </c>
      <c r="B256" s="21">
        <f>B255*(A256+$B$7-1)*(1-$B$5)/A256</f>
        <v/>
      </c>
      <c r="C256" s="15">
        <f>C255+B256</f>
        <v/>
      </c>
      <c r="D256" s="6">
        <f>D255-(1-C255)</f>
        <v/>
      </c>
      <c r="E256" s="22">
        <f>C256&gt;=Fit!$B$32</f>
        <v/>
      </c>
    </row>
    <row r="257">
      <c r="A257" s="12" t="n">
        <v>239</v>
      </c>
      <c r="B257" s="21">
        <f>B256*(A257+$B$7-1)*(1-$B$5)/A257</f>
        <v/>
      </c>
      <c r="C257" s="15">
        <f>C256+B257</f>
        <v/>
      </c>
      <c r="D257" s="6">
        <f>D256-(1-C256)</f>
        <v/>
      </c>
      <c r="E257" s="22">
        <f>C257&gt;=Fit!$B$32</f>
        <v/>
      </c>
    </row>
    <row r="258">
      <c r="A258" s="12" t="n">
        <v>240</v>
      </c>
      <c r="B258" s="21">
        <f>B257*(A258+$B$7-1)*(1-$B$5)/A258</f>
        <v/>
      </c>
      <c r="C258" s="15">
        <f>C257+B258</f>
        <v/>
      </c>
      <c r="D258" s="6">
        <f>D257-(1-C257)</f>
        <v/>
      </c>
      <c r="E258" s="22">
        <f>C258&gt;=Fit!$B$32</f>
        <v/>
      </c>
    </row>
    <row r="259">
      <c r="A259" s="12" t="n">
        <v>241</v>
      </c>
      <c r="B259" s="21">
        <f>B258*(A259+$B$7-1)*(1-$B$5)/A259</f>
        <v/>
      </c>
      <c r="C259" s="15">
        <f>C258+B259</f>
        <v/>
      </c>
      <c r="D259" s="6">
        <f>D258-(1-C258)</f>
        <v/>
      </c>
      <c r="E259" s="22">
        <f>C259&gt;=Fit!$B$32</f>
        <v/>
      </c>
    </row>
    <row r="260">
      <c r="A260" s="12" t="n">
        <v>242</v>
      </c>
      <c r="B260" s="21">
        <f>B259*(A260+$B$7-1)*(1-$B$5)/A260</f>
        <v/>
      </c>
      <c r="C260" s="15">
        <f>C259+B260</f>
        <v/>
      </c>
      <c r="D260" s="6">
        <f>D259-(1-C259)</f>
        <v/>
      </c>
      <c r="E260" s="22">
        <f>C260&gt;=Fit!$B$32</f>
        <v/>
      </c>
    </row>
    <row r="261">
      <c r="A261" s="12" t="n">
        <v>243</v>
      </c>
      <c r="B261" s="21">
        <f>B260*(A261+$B$7-1)*(1-$B$5)/A261</f>
        <v/>
      </c>
      <c r="C261" s="15">
        <f>C260+B261</f>
        <v/>
      </c>
      <c r="D261" s="6">
        <f>D260-(1-C260)</f>
        <v/>
      </c>
      <c r="E261" s="22">
        <f>C261&gt;=Fit!$B$32</f>
        <v/>
      </c>
    </row>
    <row r="262">
      <c r="A262" s="12" t="n">
        <v>244</v>
      </c>
      <c r="B262" s="21">
        <f>B261*(A262+$B$7-1)*(1-$B$5)/A262</f>
        <v/>
      </c>
      <c r="C262" s="15">
        <f>C261+B262</f>
        <v/>
      </c>
      <c r="D262" s="6">
        <f>D261-(1-C261)</f>
        <v/>
      </c>
      <c r="E262" s="22">
        <f>C262&gt;=Fit!$B$32</f>
        <v/>
      </c>
    </row>
    <row r="263">
      <c r="A263" s="12" t="n">
        <v>245</v>
      </c>
      <c r="B263" s="21">
        <f>B262*(A263+$B$7-1)*(1-$B$5)/A263</f>
        <v/>
      </c>
      <c r="C263" s="15">
        <f>C262+B263</f>
        <v/>
      </c>
      <c r="D263" s="6">
        <f>D262-(1-C262)</f>
        <v/>
      </c>
      <c r="E263" s="22">
        <f>C263&gt;=Fit!$B$32</f>
        <v/>
      </c>
    </row>
    <row r="264">
      <c r="A264" s="12" t="n">
        <v>246</v>
      </c>
      <c r="B264" s="21">
        <f>B263*(A264+$B$7-1)*(1-$B$5)/A264</f>
        <v/>
      </c>
      <c r="C264" s="15">
        <f>C263+B264</f>
        <v/>
      </c>
      <c r="D264" s="6">
        <f>D263-(1-C263)</f>
        <v/>
      </c>
      <c r="E264" s="22">
        <f>C264&gt;=Fit!$B$32</f>
        <v/>
      </c>
    </row>
    <row r="265">
      <c r="A265" s="12" t="n">
        <v>247</v>
      </c>
      <c r="B265" s="21">
        <f>B264*(A265+$B$7-1)*(1-$B$5)/A265</f>
        <v/>
      </c>
      <c r="C265" s="15">
        <f>C264+B265</f>
        <v/>
      </c>
      <c r="D265" s="6">
        <f>D264-(1-C264)</f>
        <v/>
      </c>
      <c r="E265" s="22">
        <f>C265&gt;=Fit!$B$32</f>
        <v/>
      </c>
    </row>
    <row r="266">
      <c r="A266" s="12" t="n">
        <v>248</v>
      </c>
      <c r="B266" s="21">
        <f>B265*(A266+$B$7-1)*(1-$B$5)/A266</f>
        <v/>
      </c>
      <c r="C266" s="15">
        <f>C265+B266</f>
        <v/>
      </c>
      <c r="D266" s="6">
        <f>D265-(1-C265)</f>
        <v/>
      </c>
      <c r="E266" s="22">
        <f>C266&gt;=Fit!$B$32</f>
        <v/>
      </c>
    </row>
    <row r="267">
      <c r="A267" s="12" t="n">
        <v>249</v>
      </c>
      <c r="B267" s="21">
        <f>B266*(A267+$B$7-1)*(1-$B$5)/A267</f>
        <v/>
      </c>
      <c r="C267" s="15">
        <f>C266+B267</f>
        <v/>
      </c>
      <c r="D267" s="6">
        <f>D266-(1-C266)</f>
        <v/>
      </c>
      <c r="E267" s="22">
        <f>C267&gt;=Fit!$B$32</f>
        <v/>
      </c>
    </row>
    <row r="268">
      <c r="A268" s="12" t="n">
        <v>250</v>
      </c>
      <c r="B268" s="21">
        <f>B267*(A268+$B$7-1)*(1-$B$5)/A268</f>
        <v/>
      </c>
      <c r="C268" s="15">
        <f>C267+B268</f>
        <v/>
      </c>
      <c r="D268" s="6">
        <f>D267-(1-C267)</f>
        <v/>
      </c>
      <c r="E268" s="22">
        <f>C268&gt;=Fit!$B$32</f>
        <v/>
      </c>
    </row>
    <row r="269">
      <c r="A269" s="12" t="n">
        <v>251</v>
      </c>
      <c r="B269" s="21">
        <f>B268*(A269+$B$7-1)*(1-$B$5)/A269</f>
        <v/>
      </c>
      <c r="C269" s="15">
        <f>C268+B269</f>
        <v/>
      </c>
      <c r="D269" s="6">
        <f>D268-(1-C268)</f>
        <v/>
      </c>
      <c r="E269" s="22">
        <f>C269&gt;=Fit!$B$32</f>
        <v/>
      </c>
    </row>
    <row r="270">
      <c r="A270" s="12" t="n">
        <v>252</v>
      </c>
      <c r="B270" s="21">
        <f>B269*(A270+$B$7-1)*(1-$B$5)/A270</f>
        <v/>
      </c>
      <c r="C270" s="15">
        <f>C269+B270</f>
        <v/>
      </c>
      <c r="D270" s="6">
        <f>D269-(1-C269)</f>
        <v/>
      </c>
      <c r="E270" s="22">
        <f>C270&gt;=Fit!$B$32</f>
        <v/>
      </c>
    </row>
    <row r="271">
      <c r="A271" s="12" t="n">
        <v>253</v>
      </c>
      <c r="B271" s="21">
        <f>B270*(A271+$B$7-1)*(1-$B$5)/A271</f>
        <v/>
      </c>
      <c r="C271" s="15">
        <f>C270+B271</f>
        <v/>
      </c>
      <c r="D271" s="6">
        <f>D270-(1-C270)</f>
        <v/>
      </c>
      <c r="E271" s="22">
        <f>C271&gt;=Fit!$B$32</f>
        <v/>
      </c>
    </row>
    <row r="272">
      <c r="A272" s="12" t="n">
        <v>254</v>
      </c>
      <c r="B272" s="21">
        <f>B271*(A272+$B$7-1)*(1-$B$5)/A272</f>
        <v/>
      </c>
      <c r="C272" s="15">
        <f>C271+B272</f>
        <v/>
      </c>
      <c r="D272" s="6">
        <f>D271-(1-C271)</f>
        <v/>
      </c>
      <c r="E272" s="22">
        <f>C272&gt;=Fit!$B$32</f>
        <v/>
      </c>
    </row>
    <row r="273">
      <c r="A273" s="12" t="n">
        <v>255</v>
      </c>
      <c r="B273" s="21">
        <f>B272*(A273+$B$7-1)*(1-$B$5)/A273</f>
        <v/>
      </c>
      <c r="C273" s="15">
        <f>C272+B273</f>
        <v/>
      </c>
      <c r="D273" s="6">
        <f>D272-(1-C272)</f>
        <v/>
      </c>
      <c r="E273" s="22">
        <f>C273&gt;=Fit!$B$32</f>
        <v/>
      </c>
    </row>
    <row r="274">
      <c r="A274" s="12" t="n">
        <v>256</v>
      </c>
      <c r="B274" s="21">
        <f>B273*(A274+$B$7-1)*(1-$B$5)/A274</f>
        <v/>
      </c>
      <c r="C274" s="15">
        <f>C273+B274</f>
        <v/>
      </c>
      <c r="D274" s="6">
        <f>D273-(1-C273)</f>
        <v/>
      </c>
      <c r="E274" s="22">
        <f>C274&gt;=Fit!$B$32</f>
        <v/>
      </c>
    </row>
    <row r="275">
      <c r="A275" s="12" t="n">
        <v>257</v>
      </c>
      <c r="B275" s="21">
        <f>B274*(A275+$B$7-1)*(1-$B$5)/A275</f>
        <v/>
      </c>
      <c r="C275" s="15">
        <f>C274+B275</f>
        <v/>
      </c>
      <c r="D275" s="6">
        <f>D274-(1-C274)</f>
        <v/>
      </c>
      <c r="E275" s="22">
        <f>C275&gt;=Fit!$B$32</f>
        <v/>
      </c>
    </row>
    <row r="276">
      <c r="A276" s="12" t="n">
        <v>258</v>
      </c>
      <c r="B276" s="21">
        <f>B275*(A276+$B$7-1)*(1-$B$5)/A276</f>
        <v/>
      </c>
      <c r="C276" s="15">
        <f>C275+B276</f>
        <v/>
      </c>
      <c r="D276" s="6">
        <f>D275-(1-C275)</f>
        <v/>
      </c>
      <c r="E276" s="22">
        <f>C276&gt;=Fit!$B$32</f>
        <v/>
      </c>
    </row>
    <row r="277">
      <c r="A277" s="12" t="n">
        <v>259</v>
      </c>
      <c r="B277" s="21">
        <f>B276*(A277+$B$7-1)*(1-$B$5)/A277</f>
        <v/>
      </c>
      <c r="C277" s="15">
        <f>C276+B277</f>
        <v/>
      </c>
      <c r="D277" s="6">
        <f>D276-(1-C276)</f>
        <v/>
      </c>
      <c r="E277" s="22">
        <f>C277&gt;=Fit!$B$32</f>
        <v/>
      </c>
    </row>
    <row r="278">
      <c r="A278" s="12" t="n">
        <v>260</v>
      </c>
      <c r="B278" s="21">
        <f>B277*(A278+$B$7-1)*(1-$B$5)/A278</f>
        <v/>
      </c>
      <c r="C278" s="15">
        <f>C277+B278</f>
        <v/>
      </c>
      <c r="D278" s="6">
        <f>D277-(1-C277)</f>
        <v/>
      </c>
      <c r="E278" s="22">
        <f>C278&gt;=Fit!$B$32</f>
        <v/>
      </c>
    </row>
    <row r="279">
      <c r="A279" s="12" t="n">
        <v>261</v>
      </c>
      <c r="B279" s="21">
        <f>B278*(A279+$B$7-1)*(1-$B$5)/A279</f>
        <v/>
      </c>
      <c r="C279" s="15">
        <f>C278+B279</f>
        <v/>
      </c>
      <c r="D279" s="6">
        <f>D278-(1-C278)</f>
        <v/>
      </c>
      <c r="E279" s="22">
        <f>C279&gt;=Fit!$B$32</f>
        <v/>
      </c>
    </row>
    <row r="280">
      <c r="A280" s="12" t="n">
        <v>262</v>
      </c>
      <c r="B280" s="21">
        <f>B279*(A280+$B$7-1)*(1-$B$5)/A280</f>
        <v/>
      </c>
      <c r="C280" s="15">
        <f>C279+B280</f>
        <v/>
      </c>
      <c r="D280" s="6">
        <f>D279-(1-C279)</f>
        <v/>
      </c>
      <c r="E280" s="22">
        <f>C280&gt;=Fit!$B$32</f>
        <v/>
      </c>
    </row>
    <row r="281">
      <c r="A281" s="12" t="n">
        <v>263</v>
      </c>
      <c r="B281" s="21">
        <f>B280*(A281+$B$7-1)*(1-$B$5)/A281</f>
        <v/>
      </c>
      <c r="C281" s="15">
        <f>C280+B281</f>
        <v/>
      </c>
      <c r="D281" s="6">
        <f>D280-(1-C280)</f>
        <v/>
      </c>
      <c r="E281" s="22">
        <f>C281&gt;=Fit!$B$32</f>
        <v/>
      </c>
    </row>
    <row r="282">
      <c r="A282" s="12" t="n">
        <v>264</v>
      </c>
      <c r="B282" s="21">
        <f>B281*(A282+$B$7-1)*(1-$B$5)/A282</f>
        <v/>
      </c>
      <c r="C282" s="15">
        <f>C281+B282</f>
        <v/>
      </c>
      <c r="D282" s="6">
        <f>D281-(1-C281)</f>
        <v/>
      </c>
      <c r="E282" s="22">
        <f>C282&gt;=Fit!$B$32</f>
        <v/>
      </c>
    </row>
    <row r="283">
      <c r="A283" s="12" t="n">
        <v>265</v>
      </c>
      <c r="B283" s="21">
        <f>B282*(A283+$B$7-1)*(1-$B$5)/A283</f>
        <v/>
      </c>
      <c r="C283" s="15">
        <f>C282+B283</f>
        <v/>
      </c>
      <c r="D283" s="6">
        <f>D282-(1-C282)</f>
        <v/>
      </c>
      <c r="E283" s="22">
        <f>C283&gt;=Fit!$B$32</f>
        <v/>
      </c>
    </row>
    <row r="284">
      <c r="A284" s="12" t="n">
        <v>266</v>
      </c>
      <c r="B284" s="21">
        <f>B283*(A284+$B$7-1)*(1-$B$5)/A284</f>
        <v/>
      </c>
      <c r="C284" s="15">
        <f>C283+B284</f>
        <v/>
      </c>
      <c r="D284" s="6">
        <f>D283-(1-C283)</f>
        <v/>
      </c>
      <c r="E284" s="22">
        <f>C284&gt;=Fit!$B$32</f>
        <v/>
      </c>
    </row>
    <row r="285">
      <c r="A285" s="12" t="n">
        <v>267</v>
      </c>
      <c r="B285" s="21">
        <f>B284*(A285+$B$7-1)*(1-$B$5)/A285</f>
        <v/>
      </c>
      <c r="C285" s="15">
        <f>C284+B285</f>
        <v/>
      </c>
      <c r="D285" s="6">
        <f>D284-(1-C284)</f>
        <v/>
      </c>
      <c r="E285" s="22">
        <f>C285&gt;=Fit!$B$32</f>
        <v/>
      </c>
    </row>
    <row r="286">
      <c r="A286" s="12" t="n">
        <v>268</v>
      </c>
      <c r="B286" s="21">
        <f>B285*(A286+$B$7-1)*(1-$B$5)/A286</f>
        <v/>
      </c>
      <c r="C286" s="15">
        <f>C285+B286</f>
        <v/>
      </c>
      <c r="D286" s="6">
        <f>D285-(1-C285)</f>
        <v/>
      </c>
      <c r="E286" s="22">
        <f>C286&gt;=Fit!$B$32</f>
        <v/>
      </c>
    </row>
    <row r="287">
      <c r="A287" s="12" t="n">
        <v>269</v>
      </c>
      <c r="B287" s="21">
        <f>B286*(A287+$B$7-1)*(1-$B$5)/A287</f>
        <v/>
      </c>
      <c r="C287" s="15">
        <f>C286+B287</f>
        <v/>
      </c>
      <c r="D287" s="6">
        <f>D286-(1-C286)</f>
        <v/>
      </c>
      <c r="E287" s="22">
        <f>C287&gt;=Fit!$B$32</f>
        <v/>
      </c>
    </row>
    <row r="288">
      <c r="A288" s="12" t="n">
        <v>270</v>
      </c>
      <c r="B288" s="21">
        <f>B287*(A288+$B$7-1)*(1-$B$5)/A288</f>
        <v/>
      </c>
      <c r="C288" s="15">
        <f>C287+B288</f>
        <v/>
      </c>
      <c r="D288" s="6">
        <f>D287-(1-C287)</f>
        <v/>
      </c>
      <c r="E288" s="22">
        <f>C288&gt;=Fit!$B$32</f>
        <v/>
      </c>
    </row>
    <row r="289">
      <c r="A289" s="12" t="n">
        <v>271</v>
      </c>
      <c r="B289" s="21">
        <f>B288*(A289+$B$7-1)*(1-$B$5)/A289</f>
        <v/>
      </c>
      <c r="C289" s="15">
        <f>C288+B289</f>
        <v/>
      </c>
      <c r="D289" s="6">
        <f>D288-(1-C288)</f>
        <v/>
      </c>
      <c r="E289" s="22">
        <f>C289&gt;=Fit!$B$32</f>
        <v/>
      </c>
    </row>
    <row r="290">
      <c r="A290" s="12" t="n">
        <v>272</v>
      </c>
      <c r="B290" s="21">
        <f>B289*(A290+$B$7-1)*(1-$B$5)/A290</f>
        <v/>
      </c>
      <c r="C290" s="15">
        <f>C289+B290</f>
        <v/>
      </c>
      <c r="D290" s="6">
        <f>D289-(1-C289)</f>
        <v/>
      </c>
      <c r="E290" s="22">
        <f>C290&gt;=Fit!$B$32</f>
        <v/>
      </c>
    </row>
    <row r="291">
      <c r="A291" s="12" t="n">
        <v>273</v>
      </c>
      <c r="B291" s="21">
        <f>B290*(A291+$B$7-1)*(1-$B$5)/A291</f>
        <v/>
      </c>
      <c r="C291" s="15">
        <f>C290+B291</f>
        <v/>
      </c>
      <c r="D291" s="6">
        <f>D290-(1-C290)</f>
        <v/>
      </c>
      <c r="E291" s="22">
        <f>C291&gt;=Fit!$B$32</f>
        <v/>
      </c>
    </row>
    <row r="292">
      <c r="A292" s="12" t="n">
        <v>274</v>
      </c>
      <c r="B292" s="21">
        <f>B291*(A292+$B$7-1)*(1-$B$5)/A292</f>
        <v/>
      </c>
      <c r="C292" s="15">
        <f>C291+B292</f>
        <v/>
      </c>
      <c r="D292" s="6">
        <f>D291-(1-C291)</f>
        <v/>
      </c>
      <c r="E292" s="22">
        <f>C292&gt;=Fit!$B$32</f>
        <v/>
      </c>
    </row>
    <row r="293">
      <c r="A293" s="12" t="n">
        <v>275</v>
      </c>
      <c r="B293" s="21">
        <f>B292*(A293+$B$7-1)*(1-$B$5)/A293</f>
        <v/>
      </c>
      <c r="C293" s="15">
        <f>C292+B293</f>
        <v/>
      </c>
      <c r="D293" s="6">
        <f>D292-(1-C292)</f>
        <v/>
      </c>
      <c r="E293" s="22">
        <f>C293&gt;=Fit!$B$32</f>
        <v/>
      </c>
    </row>
    <row r="294">
      <c r="A294" s="12" t="n">
        <v>276</v>
      </c>
      <c r="B294" s="21">
        <f>B293*(A294+$B$7-1)*(1-$B$5)/A294</f>
        <v/>
      </c>
      <c r="C294" s="15">
        <f>C293+B294</f>
        <v/>
      </c>
      <c r="D294" s="6">
        <f>D293-(1-C293)</f>
        <v/>
      </c>
      <c r="E294" s="22">
        <f>C294&gt;=Fit!$B$32</f>
        <v/>
      </c>
    </row>
    <row r="295">
      <c r="A295" s="12" t="n">
        <v>277</v>
      </c>
      <c r="B295" s="21">
        <f>B294*(A295+$B$7-1)*(1-$B$5)/A295</f>
        <v/>
      </c>
      <c r="C295" s="15">
        <f>C294+B295</f>
        <v/>
      </c>
      <c r="D295" s="6">
        <f>D294-(1-C294)</f>
        <v/>
      </c>
      <c r="E295" s="22">
        <f>C295&gt;=Fit!$B$32</f>
        <v/>
      </c>
    </row>
    <row r="296">
      <c r="A296" s="12" t="n">
        <v>278</v>
      </c>
      <c r="B296" s="21">
        <f>B295*(A296+$B$7-1)*(1-$B$5)/A296</f>
        <v/>
      </c>
      <c r="C296" s="15">
        <f>C295+B296</f>
        <v/>
      </c>
      <c r="D296" s="6">
        <f>D295-(1-C295)</f>
        <v/>
      </c>
      <c r="E296" s="22">
        <f>C296&gt;=Fit!$B$32</f>
        <v/>
      </c>
    </row>
    <row r="297">
      <c r="A297" s="12" t="n">
        <v>279</v>
      </c>
      <c r="B297" s="21">
        <f>B296*(A297+$B$7-1)*(1-$B$5)/A297</f>
        <v/>
      </c>
      <c r="C297" s="15">
        <f>C296+B297</f>
        <v/>
      </c>
      <c r="D297" s="6">
        <f>D296-(1-C296)</f>
        <v/>
      </c>
      <c r="E297" s="22">
        <f>C297&gt;=Fit!$B$32</f>
        <v/>
      </c>
    </row>
    <row r="298">
      <c r="A298" s="12" t="n">
        <v>280</v>
      </c>
      <c r="B298" s="21">
        <f>B297*(A298+$B$7-1)*(1-$B$5)/A298</f>
        <v/>
      </c>
      <c r="C298" s="15">
        <f>C297+B298</f>
        <v/>
      </c>
      <c r="D298" s="6">
        <f>D297-(1-C297)</f>
        <v/>
      </c>
      <c r="E298" s="22">
        <f>C298&gt;=Fit!$B$32</f>
        <v/>
      </c>
    </row>
    <row r="299">
      <c r="A299" s="12" t="n">
        <v>281</v>
      </c>
      <c r="B299" s="21">
        <f>B298*(A299+$B$7-1)*(1-$B$5)/A299</f>
        <v/>
      </c>
      <c r="C299" s="15">
        <f>C298+B299</f>
        <v/>
      </c>
      <c r="D299" s="6">
        <f>D298-(1-C298)</f>
        <v/>
      </c>
      <c r="E299" s="22">
        <f>C299&gt;=Fit!$B$32</f>
        <v/>
      </c>
    </row>
    <row r="300">
      <c r="A300" s="12" t="n">
        <v>282</v>
      </c>
      <c r="B300" s="21">
        <f>B299*(A300+$B$7-1)*(1-$B$5)/A300</f>
        <v/>
      </c>
      <c r="C300" s="15">
        <f>C299+B300</f>
        <v/>
      </c>
      <c r="D300" s="6">
        <f>D299-(1-C299)</f>
        <v/>
      </c>
      <c r="E300" s="22">
        <f>C300&gt;=Fit!$B$32</f>
        <v/>
      </c>
    </row>
    <row r="301">
      <c r="A301" s="12" t="n">
        <v>283</v>
      </c>
      <c r="B301" s="21">
        <f>B300*(A301+$B$7-1)*(1-$B$5)/A301</f>
        <v/>
      </c>
      <c r="C301" s="15">
        <f>C300+B301</f>
        <v/>
      </c>
      <c r="D301" s="6">
        <f>D300-(1-C300)</f>
        <v/>
      </c>
      <c r="E301" s="22">
        <f>C301&gt;=Fit!$B$32</f>
        <v/>
      </c>
    </row>
    <row r="302">
      <c r="A302" s="12" t="n">
        <v>284</v>
      </c>
      <c r="B302" s="21">
        <f>B301*(A302+$B$7-1)*(1-$B$5)/A302</f>
        <v/>
      </c>
      <c r="C302" s="15">
        <f>C301+B302</f>
        <v/>
      </c>
      <c r="D302" s="6">
        <f>D301-(1-C301)</f>
        <v/>
      </c>
      <c r="E302" s="22">
        <f>C302&gt;=Fit!$B$32</f>
        <v/>
      </c>
    </row>
    <row r="303">
      <c r="A303" s="12" t="n">
        <v>285</v>
      </c>
      <c r="B303" s="21">
        <f>B302*(A303+$B$7-1)*(1-$B$5)/A303</f>
        <v/>
      </c>
      <c r="C303" s="15">
        <f>C302+B303</f>
        <v/>
      </c>
      <c r="D303" s="6">
        <f>D302-(1-C302)</f>
        <v/>
      </c>
      <c r="E303" s="22">
        <f>C303&gt;=Fit!$B$32</f>
        <v/>
      </c>
    </row>
    <row r="304">
      <c r="A304" s="12" t="n">
        <v>286</v>
      </c>
      <c r="B304" s="21">
        <f>B303*(A304+$B$7-1)*(1-$B$5)/A304</f>
        <v/>
      </c>
      <c r="C304" s="15">
        <f>C303+B304</f>
        <v/>
      </c>
      <c r="D304" s="6">
        <f>D303-(1-C303)</f>
        <v/>
      </c>
      <c r="E304" s="22">
        <f>C304&gt;=Fit!$B$32</f>
        <v/>
      </c>
    </row>
    <row r="305">
      <c r="A305" s="12" t="n">
        <v>287</v>
      </c>
      <c r="B305" s="21">
        <f>B304*(A305+$B$7-1)*(1-$B$5)/A305</f>
        <v/>
      </c>
      <c r="C305" s="15">
        <f>C304+B305</f>
        <v/>
      </c>
      <c r="D305" s="6">
        <f>D304-(1-C304)</f>
        <v/>
      </c>
      <c r="E305" s="22">
        <f>C305&gt;=Fit!$B$32</f>
        <v/>
      </c>
    </row>
    <row r="306">
      <c r="A306" s="12" t="n">
        <v>288</v>
      </c>
      <c r="B306" s="21">
        <f>B305*(A306+$B$7-1)*(1-$B$5)/A306</f>
        <v/>
      </c>
      <c r="C306" s="15">
        <f>C305+B306</f>
        <v/>
      </c>
      <c r="D306" s="6">
        <f>D305-(1-C305)</f>
        <v/>
      </c>
      <c r="E306" s="22">
        <f>C306&gt;=Fit!$B$32</f>
        <v/>
      </c>
    </row>
    <row r="307">
      <c r="A307" s="12" t="n">
        <v>289</v>
      </c>
      <c r="B307" s="21">
        <f>B306*(A307+$B$7-1)*(1-$B$5)/A307</f>
        <v/>
      </c>
      <c r="C307" s="15">
        <f>C306+B307</f>
        <v/>
      </c>
      <c r="D307" s="6">
        <f>D306-(1-C306)</f>
        <v/>
      </c>
      <c r="E307" s="22">
        <f>C307&gt;=Fit!$B$32</f>
        <v/>
      </c>
    </row>
    <row r="308">
      <c r="A308" s="12" t="n">
        <v>290</v>
      </c>
      <c r="B308" s="21">
        <f>B307*(A308+$B$7-1)*(1-$B$5)/A308</f>
        <v/>
      </c>
      <c r="C308" s="15">
        <f>C307+B308</f>
        <v/>
      </c>
      <c r="D308" s="6">
        <f>D307-(1-C307)</f>
        <v/>
      </c>
      <c r="E308" s="22">
        <f>C308&gt;=Fit!$B$32</f>
        <v/>
      </c>
    </row>
    <row r="309">
      <c r="A309" s="12" t="n">
        <v>291</v>
      </c>
      <c r="B309" s="21">
        <f>B308*(A309+$B$7-1)*(1-$B$5)/A309</f>
        <v/>
      </c>
      <c r="C309" s="15">
        <f>C308+B309</f>
        <v/>
      </c>
      <c r="D309" s="6">
        <f>D308-(1-C308)</f>
        <v/>
      </c>
      <c r="E309" s="22">
        <f>C309&gt;=Fit!$B$32</f>
        <v/>
      </c>
    </row>
    <row r="310">
      <c r="A310" s="12" t="n">
        <v>292</v>
      </c>
      <c r="B310" s="21">
        <f>B309*(A310+$B$7-1)*(1-$B$5)/A310</f>
        <v/>
      </c>
      <c r="C310" s="15">
        <f>C309+B310</f>
        <v/>
      </c>
      <c r="D310" s="6">
        <f>D309-(1-C309)</f>
        <v/>
      </c>
      <c r="E310" s="22">
        <f>C310&gt;=Fit!$B$32</f>
        <v/>
      </c>
    </row>
    <row r="311">
      <c r="A311" s="12" t="n">
        <v>293</v>
      </c>
      <c r="B311" s="21">
        <f>B310*(A311+$B$7-1)*(1-$B$5)/A311</f>
        <v/>
      </c>
      <c r="C311" s="15">
        <f>C310+B311</f>
        <v/>
      </c>
      <c r="D311" s="6">
        <f>D310-(1-C310)</f>
        <v/>
      </c>
      <c r="E311" s="22">
        <f>C311&gt;=Fit!$B$32</f>
        <v/>
      </c>
    </row>
    <row r="312">
      <c r="A312" s="12" t="n">
        <v>294</v>
      </c>
      <c r="B312" s="21">
        <f>B311*(A312+$B$7-1)*(1-$B$5)/A312</f>
        <v/>
      </c>
      <c r="C312" s="15">
        <f>C311+B312</f>
        <v/>
      </c>
      <c r="D312" s="6">
        <f>D311-(1-C311)</f>
        <v/>
      </c>
      <c r="E312" s="22">
        <f>C312&gt;=Fit!$B$32</f>
        <v/>
      </c>
    </row>
    <row r="313">
      <c r="A313" s="12" t="n">
        <v>295</v>
      </c>
      <c r="B313" s="21">
        <f>B312*(A313+$B$7-1)*(1-$B$5)/A313</f>
        <v/>
      </c>
      <c r="C313" s="15">
        <f>C312+B313</f>
        <v/>
      </c>
      <c r="D313" s="6">
        <f>D312-(1-C312)</f>
        <v/>
      </c>
      <c r="E313" s="22">
        <f>C313&gt;=Fit!$B$32</f>
        <v/>
      </c>
    </row>
    <row r="314">
      <c r="A314" s="12" t="n">
        <v>296</v>
      </c>
      <c r="B314" s="21">
        <f>B313*(A314+$B$7-1)*(1-$B$5)/A314</f>
        <v/>
      </c>
      <c r="C314" s="15">
        <f>C313+B314</f>
        <v/>
      </c>
      <c r="D314" s="6">
        <f>D313-(1-C313)</f>
        <v/>
      </c>
      <c r="E314" s="22">
        <f>C314&gt;=Fit!$B$32</f>
        <v/>
      </c>
    </row>
    <row r="315">
      <c r="A315" s="12" t="n">
        <v>297</v>
      </c>
      <c r="B315" s="21">
        <f>B314*(A315+$B$7-1)*(1-$B$5)/A315</f>
        <v/>
      </c>
      <c r="C315" s="15">
        <f>C314+B315</f>
        <v/>
      </c>
      <c r="D315" s="6">
        <f>D314-(1-C314)</f>
        <v/>
      </c>
      <c r="E315" s="22">
        <f>C315&gt;=Fit!$B$32</f>
        <v/>
      </c>
    </row>
    <row r="316">
      <c r="A316" s="12" t="n">
        <v>298</v>
      </c>
      <c r="B316" s="21">
        <f>B315*(A316+$B$7-1)*(1-$B$5)/A316</f>
        <v/>
      </c>
      <c r="C316" s="15">
        <f>C315+B316</f>
        <v/>
      </c>
      <c r="D316" s="6">
        <f>D315-(1-C315)</f>
        <v/>
      </c>
      <c r="E316" s="22">
        <f>C316&gt;=Fit!$B$32</f>
        <v/>
      </c>
    </row>
    <row r="317">
      <c r="A317" s="12" t="n">
        <v>299</v>
      </c>
      <c r="B317" s="21">
        <f>B316*(A317+$B$7-1)*(1-$B$5)/A317</f>
        <v/>
      </c>
      <c r="C317" s="15">
        <f>C316+B317</f>
        <v/>
      </c>
      <c r="D317" s="6">
        <f>D316-(1-C316)</f>
        <v/>
      </c>
      <c r="E317" s="22">
        <f>C317&gt;=Fit!$B$32</f>
        <v/>
      </c>
    </row>
    <row r="318">
      <c r="A318" s="12" t="n">
        <v>300</v>
      </c>
      <c r="B318" s="21">
        <f>B317*(A318+$B$7-1)*(1-$B$5)/A318</f>
        <v/>
      </c>
      <c r="C318" s="15">
        <f>C317+B318</f>
        <v/>
      </c>
      <c r="D318" s="6">
        <f>D317-(1-C317)</f>
        <v/>
      </c>
      <c r="E318" s="22">
        <f>C318&gt;=Fit!$B$32</f>
        <v/>
      </c>
    </row>
    <row r="319">
      <c r="A319" s="12" t="n">
        <v>301</v>
      </c>
      <c r="B319" s="21">
        <f>B318*(A319+$B$7-1)*(1-$B$5)/A319</f>
        <v/>
      </c>
      <c r="C319" s="15">
        <f>C318+B319</f>
        <v/>
      </c>
      <c r="D319" s="6">
        <f>D318-(1-C318)</f>
        <v/>
      </c>
      <c r="E319" s="22">
        <f>C319&gt;=Fit!$B$32</f>
        <v/>
      </c>
    </row>
    <row r="320">
      <c r="A320" s="12" t="n">
        <v>302</v>
      </c>
      <c r="B320" s="21">
        <f>B319*(A320+$B$7-1)*(1-$B$5)/A320</f>
        <v/>
      </c>
      <c r="C320" s="15">
        <f>C319+B320</f>
        <v/>
      </c>
      <c r="D320" s="6">
        <f>D319-(1-C319)</f>
        <v/>
      </c>
      <c r="E320" s="22">
        <f>C320&gt;=Fit!$B$32</f>
        <v/>
      </c>
    </row>
    <row r="321">
      <c r="A321" s="12" t="n">
        <v>303</v>
      </c>
      <c r="B321" s="21">
        <f>B320*(A321+$B$7-1)*(1-$B$5)/A321</f>
        <v/>
      </c>
      <c r="C321" s="15">
        <f>C320+B321</f>
        <v/>
      </c>
      <c r="D321" s="6">
        <f>D320-(1-C320)</f>
        <v/>
      </c>
      <c r="E321" s="22">
        <f>C321&gt;=Fit!$B$32</f>
        <v/>
      </c>
    </row>
    <row r="322">
      <c r="A322" s="12" t="n">
        <v>304</v>
      </c>
      <c r="B322" s="21">
        <f>B321*(A322+$B$7-1)*(1-$B$5)/A322</f>
        <v/>
      </c>
      <c r="C322" s="15">
        <f>C321+B322</f>
        <v/>
      </c>
      <c r="D322" s="6">
        <f>D321-(1-C321)</f>
        <v/>
      </c>
      <c r="E322" s="22">
        <f>C322&gt;=Fit!$B$32</f>
        <v/>
      </c>
    </row>
    <row r="323">
      <c r="A323" s="12" t="n">
        <v>305</v>
      </c>
      <c r="B323" s="21">
        <f>B322*(A323+$B$7-1)*(1-$B$5)/A323</f>
        <v/>
      </c>
      <c r="C323" s="15">
        <f>C322+B323</f>
        <v/>
      </c>
      <c r="D323" s="6">
        <f>D322-(1-C322)</f>
        <v/>
      </c>
      <c r="E323" s="22">
        <f>C323&gt;=Fit!$B$32</f>
        <v/>
      </c>
    </row>
    <row r="324">
      <c r="A324" s="12" t="n">
        <v>306</v>
      </c>
      <c r="B324" s="21">
        <f>B323*(A324+$B$7-1)*(1-$B$5)/A324</f>
        <v/>
      </c>
      <c r="C324" s="15">
        <f>C323+B324</f>
        <v/>
      </c>
      <c r="D324" s="6">
        <f>D323-(1-C323)</f>
        <v/>
      </c>
      <c r="E324" s="22">
        <f>C324&gt;=Fit!$B$32</f>
        <v/>
      </c>
    </row>
    <row r="325">
      <c r="A325" s="12" t="n">
        <v>307</v>
      </c>
      <c r="B325" s="21">
        <f>B324*(A325+$B$7-1)*(1-$B$5)/A325</f>
        <v/>
      </c>
      <c r="C325" s="15">
        <f>C324+B325</f>
        <v/>
      </c>
      <c r="D325" s="6">
        <f>D324-(1-C324)</f>
        <v/>
      </c>
      <c r="E325" s="22">
        <f>C325&gt;=Fit!$B$32</f>
        <v/>
      </c>
    </row>
    <row r="326">
      <c r="A326" s="12" t="n">
        <v>308</v>
      </c>
      <c r="B326" s="21">
        <f>B325*(A326+$B$7-1)*(1-$B$5)/A326</f>
        <v/>
      </c>
      <c r="C326" s="15">
        <f>C325+B326</f>
        <v/>
      </c>
      <c r="D326" s="6">
        <f>D325-(1-C325)</f>
        <v/>
      </c>
      <c r="E326" s="22">
        <f>C326&gt;=Fit!$B$32</f>
        <v/>
      </c>
    </row>
    <row r="327">
      <c r="A327" s="12" t="n">
        <v>309</v>
      </c>
      <c r="B327" s="21">
        <f>B326*(A327+$B$7-1)*(1-$B$5)/A327</f>
        <v/>
      </c>
      <c r="C327" s="15">
        <f>C326+B327</f>
        <v/>
      </c>
      <c r="D327" s="6">
        <f>D326-(1-C326)</f>
        <v/>
      </c>
      <c r="E327" s="22">
        <f>C327&gt;=Fit!$B$32</f>
        <v/>
      </c>
    </row>
    <row r="328">
      <c r="A328" s="12" t="n">
        <v>310</v>
      </c>
      <c r="B328" s="21">
        <f>B327*(A328+$B$7-1)*(1-$B$5)/A328</f>
        <v/>
      </c>
      <c r="C328" s="15">
        <f>C327+B328</f>
        <v/>
      </c>
      <c r="D328" s="6">
        <f>D327-(1-C327)</f>
        <v/>
      </c>
      <c r="E328" s="22">
        <f>C328&gt;=Fit!$B$32</f>
        <v/>
      </c>
    </row>
    <row r="329">
      <c r="A329" s="12" t="n">
        <v>311</v>
      </c>
      <c r="B329" s="21">
        <f>B328*(A329+$B$7-1)*(1-$B$5)/A329</f>
        <v/>
      </c>
      <c r="C329" s="15">
        <f>C328+B329</f>
        <v/>
      </c>
      <c r="D329" s="6">
        <f>D328-(1-C328)</f>
        <v/>
      </c>
      <c r="E329" s="22">
        <f>C329&gt;=Fit!$B$32</f>
        <v/>
      </c>
    </row>
    <row r="330">
      <c r="A330" s="12" t="n">
        <v>312</v>
      </c>
      <c r="B330" s="21">
        <f>B329*(A330+$B$7-1)*(1-$B$5)/A330</f>
        <v/>
      </c>
      <c r="C330" s="15">
        <f>C329+B330</f>
        <v/>
      </c>
      <c r="D330" s="6">
        <f>D329-(1-C329)</f>
        <v/>
      </c>
      <c r="E330" s="22">
        <f>C330&gt;=Fit!$B$32</f>
        <v/>
      </c>
    </row>
    <row r="331">
      <c r="A331" s="12" t="n">
        <v>313</v>
      </c>
      <c r="B331" s="21">
        <f>B330*(A331+$B$7-1)*(1-$B$5)/A331</f>
        <v/>
      </c>
      <c r="C331" s="15">
        <f>C330+B331</f>
        <v/>
      </c>
      <c r="D331" s="6">
        <f>D330-(1-C330)</f>
        <v/>
      </c>
      <c r="E331" s="22">
        <f>C331&gt;=Fit!$B$32</f>
        <v/>
      </c>
    </row>
    <row r="332">
      <c r="A332" s="12" t="n">
        <v>314</v>
      </c>
      <c r="B332" s="21">
        <f>B331*(A332+$B$7-1)*(1-$B$5)/A332</f>
        <v/>
      </c>
      <c r="C332" s="15">
        <f>C331+B332</f>
        <v/>
      </c>
      <c r="D332" s="6">
        <f>D331-(1-C331)</f>
        <v/>
      </c>
      <c r="E332" s="22">
        <f>C332&gt;=Fit!$B$32</f>
        <v/>
      </c>
    </row>
    <row r="333">
      <c r="A333" s="12" t="n">
        <v>315</v>
      </c>
      <c r="B333" s="21">
        <f>B332*(A333+$B$7-1)*(1-$B$5)/A333</f>
        <v/>
      </c>
      <c r="C333" s="15">
        <f>C332+B333</f>
        <v/>
      </c>
      <c r="D333" s="6">
        <f>D332-(1-C332)</f>
        <v/>
      </c>
      <c r="E333" s="22">
        <f>C333&gt;=Fit!$B$32</f>
        <v/>
      </c>
    </row>
    <row r="334">
      <c r="A334" s="12" t="n">
        <v>316</v>
      </c>
      <c r="B334" s="21">
        <f>B333*(A334+$B$7-1)*(1-$B$5)/A334</f>
        <v/>
      </c>
      <c r="C334" s="15">
        <f>C333+B334</f>
        <v/>
      </c>
      <c r="D334" s="6">
        <f>D333-(1-C333)</f>
        <v/>
      </c>
      <c r="E334" s="22">
        <f>C334&gt;=Fit!$B$32</f>
        <v/>
      </c>
    </row>
    <row r="335">
      <c r="A335" s="12" t="n">
        <v>317</v>
      </c>
      <c r="B335" s="21">
        <f>B334*(A335+$B$7-1)*(1-$B$5)/A335</f>
        <v/>
      </c>
      <c r="C335" s="15">
        <f>C334+B335</f>
        <v/>
      </c>
      <c r="D335" s="6">
        <f>D334-(1-C334)</f>
        <v/>
      </c>
      <c r="E335" s="22">
        <f>C335&gt;=Fit!$B$32</f>
        <v/>
      </c>
    </row>
    <row r="336">
      <c r="A336" s="12" t="n">
        <v>318</v>
      </c>
      <c r="B336" s="21">
        <f>B335*(A336+$B$7-1)*(1-$B$5)/A336</f>
        <v/>
      </c>
      <c r="C336" s="15">
        <f>C335+B336</f>
        <v/>
      </c>
      <c r="D336" s="6">
        <f>D335-(1-C335)</f>
        <v/>
      </c>
      <c r="E336" s="22">
        <f>C336&gt;=Fit!$B$32</f>
        <v/>
      </c>
    </row>
    <row r="337">
      <c r="A337" s="12" t="n">
        <v>319</v>
      </c>
      <c r="B337" s="21">
        <f>B336*(A337+$B$7-1)*(1-$B$5)/A337</f>
        <v/>
      </c>
      <c r="C337" s="15">
        <f>C336+B337</f>
        <v/>
      </c>
      <c r="D337" s="6">
        <f>D336-(1-C336)</f>
        <v/>
      </c>
      <c r="E337" s="22">
        <f>C337&gt;=Fit!$B$32</f>
        <v/>
      </c>
    </row>
    <row r="338">
      <c r="A338" s="12" t="n">
        <v>320</v>
      </c>
      <c r="B338" s="21">
        <f>B337*(A338+$B$7-1)*(1-$B$5)/A338</f>
        <v/>
      </c>
      <c r="C338" s="15">
        <f>C337+B338</f>
        <v/>
      </c>
      <c r="D338" s="6">
        <f>D337-(1-C337)</f>
        <v/>
      </c>
      <c r="E338" s="22">
        <f>C338&gt;=Fit!$B$32</f>
        <v/>
      </c>
    </row>
    <row r="339">
      <c r="A339" s="12" t="n">
        <v>321</v>
      </c>
      <c r="B339" s="21">
        <f>B338*(A339+$B$7-1)*(1-$B$5)/A339</f>
        <v/>
      </c>
      <c r="C339" s="15">
        <f>C338+B339</f>
        <v/>
      </c>
      <c r="D339" s="6">
        <f>D338-(1-C338)</f>
        <v/>
      </c>
      <c r="E339" s="22">
        <f>C339&gt;=Fit!$B$32</f>
        <v/>
      </c>
    </row>
    <row r="340">
      <c r="A340" s="12" t="n">
        <v>322</v>
      </c>
      <c r="B340" s="21">
        <f>B339*(A340+$B$7-1)*(1-$B$5)/A340</f>
        <v/>
      </c>
      <c r="C340" s="15">
        <f>C339+B340</f>
        <v/>
      </c>
      <c r="D340" s="6">
        <f>D339-(1-C339)</f>
        <v/>
      </c>
      <c r="E340" s="22">
        <f>C340&gt;=Fit!$B$32</f>
        <v/>
      </c>
    </row>
    <row r="341">
      <c r="A341" s="12" t="n">
        <v>323</v>
      </c>
      <c r="B341" s="21">
        <f>B340*(A341+$B$7-1)*(1-$B$5)/A341</f>
        <v/>
      </c>
      <c r="C341" s="15">
        <f>C340+B341</f>
        <v/>
      </c>
      <c r="D341" s="6">
        <f>D340-(1-C340)</f>
        <v/>
      </c>
      <c r="E341" s="22">
        <f>C341&gt;=Fit!$B$32</f>
        <v/>
      </c>
    </row>
    <row r="342">
      <c r="A342" s="12" t="n">
        <v>324</v>
      </c>
      <c r="B342" s="21">
        <f>B341*(A342+$B$7-1)*(1-$B$5)/A342</f>
        <v/>
      </c>
      <c r="C342" s="15">
        <f>C341+B342</f>
        <v/>
      </c>
      <c r="D342" s="6">
        <f>D341-(1-C341)</f>
        <v/>
      </c>
      <c r="E342" s="22">
        <f>C342&gt;=Fit!$B$32</f>
        <v/>
      </c>
    </row>
    <row r="343">
      <c r="A343" s="12" t="n">
        <v>325</v>
      </c>
      <c r="B343" s="21">
        <f>B342*(A343+$B$7-1)*(1-$B$5)/A343</f>
        <v/>
      </c>
      <c r="C343" s="15">
        <f>C342+B343</f>
        <v/>
      </c>
      <c r="D343" s="6">
        <f>D342-(1-C342)</f>
        <v/>
      </c>
      <c r="E343" s="22">
        <f>C343&gt;=Fit!$B$32</f>
        <v/>
      </c>
    </row>
    <row r="344">
      <c r="A344" s="12" t="n">
        <v>326</v>
      </c>
      <c r="B344" s="21">
        <f>B343*(A344+$B$7-1)*(1-$B$5)/A344</f>
        <v/>
      </c>
      <c r="C344" s="15">
        <f>C343+B344</f>
        <v/>
      </c>
      <c r="D344" s="6">
        <f>D343-(1-C343)</f>
        <v/>
      </c>
      <c r="E344" s="22">
        <f>C344&gt;=Fit!$B$32</f>
        <v/>
      </c>
    </row>
    <row r="345">
      <c r="A345" s="12" t="n">
        <v>327</v>
      </c>
      <c r="B345" s="21">
        <f>B344*(A345+$B$7-1)*(1-$B$5)/A345</f>
        <v/>
      </c>
      <c r="C345" s="15">
        <f>C344+B345</f>
        <v/>
      </c>
      <c r="D345" s="6">
        <f>D344-(1-C344)</f>
        <v/>
      </c>
      <c r="E345" s="22">
        <f>C345&gt;=Fit!$B$32</f>
        <v/>
      </c>
    </row>
    <row r="346">
      <c r="A346" s="12" t="n">
        <v>328</v>
      </c>
      <c r="B346" s="21">
        <f>B345*(A346+$B$7-1)*(1-$B$5)/A346</f>
        <v/>
      </c>
      <c r="C346" s="15">
        <f>C345+B346</f>
        <v/>
      </c>
      <c r="D346" s="6">
        <f>D345-(1-C345)</f>
        <v/>
      </c>
      <c r="E346" s="22">
        <f>C346&gt;=Fit!$B$32</f>
        <v/>
      </c>
    </row>
    <row r="347">
      <c r="A347" s="12" t="n">
        <v>329</v>
      </c>
      <c r="B347" s="21">
        <f>B346*(A347+$B$7-1)*(1-$B$5)/A347</f>
        <v/>
      </c>
      <c r="C347" s="15">
        <f>C346+B347</f>
        <v/>
      </c>
      <c r="D347" s="6">
        <f>D346-(1-C346)</f>
        <v/>
      </c>
      <c r="E347" s="22">
        <f>C347&gt;=Fit!$B$32</f>
        <v/>
      </c>
    </row>
    <row r="348">
      <c r="A348" s="12" t="n">
        <v>330</v>
      </c>
      <c r="B348" s="21">
        <f>B347*(A348+$B$7-1)*(1-$B$5)/A348</f>
        <v/>
      </c>
      <c r="C348" s="15">
        <f>C347+B348</f>
        <v/>
      </c>
      <c r="D348" s="6">
        <f>D347-(1-C347)</f>
        <v/>
      </c>
      <c r="E348" s="22">
        <f>C348&gt;=Fit!$B$32</f>
        <v/>
      </c>
    </row>
    <row r="349">
      <c r="A349" s="12" t="n">
        <v>331</v>
      </c>
      <c r="B349" s="21">
        <f>B348*(A349+$B$7-1)*(1-$B$5)/A349</f>
        <v/>
      </c>
      <c r="C349" s="15">
        <f>C348+B349</f>
        <v/>
      </c>
      <c r="D349" s="6">
        <f>D348-(1-C348)</f>
        <v/>
      </c>
      <c r="E349" s="22">
        <f>C349&gt;=Fit!$B$32</f>
        <v/>
      </c>
    </row>
    <row r="350">
      <c r="A350" s="12" t="n">
        <v>332</v>
      </c>
      <c r="B350" s="21">
        <f>B349*(A350+$B$7-1)*(1-$B$5)/A350</f>
        <v/>
      </c>
      <c r="C350" s="15">
        <f>C349+B350</f>
        <v/>
      </c>
      <c r="D350" s="6">
        <f>D349-(1-C349)</f>
        <v/>
      </c>
      <c r="E350" s="22">
        <f>C350&gt;=Fit!$B$32</f>
        <v/>
      </c>
    </row>
    <row r="351">
      <c r="A351" s="12" t="n">
        <v>333</v>
      </c>
      <c r="B351" s="21">
        <f>B350*(A351+$B$7-1)*(1-$B$5)/A351</f>
        <v/>
      </c>
      <c r="C351" s="15">
        <f>C350+B351</f>
        <v/>
      </c>
      <c r="D351" s="6">
        <f>D350-(1-C350)</f>
        <v/>
      </c>
      <c r="E351" s="22">
        <f>C351&gt;=Fit!$B$32</f>
        <v/>
      </c>
    </row>
    <row r="352">
      <c r="A352" s="12" t="n">
        <v>334</v>
      </c>
      <c r="B352" s="21">
        <f>B351*(A352+$B$7-1)*(1-$B$5)/A352</f>
        <v/>
      </c>
      <c r="C352" s="15">
        <f>C351+B352</f>
        <v/>
      </c>
      <c r="D352" s="6">
        <f>D351-(1-C351)</f>
        <v/>
      </c>
      <c r="E352" s="22">
        <f>C352&gt;=Fit!$B$32</f>
        <v/>
      </c>
    </row>
    <row r="353">
      <c r="A353" s="12" t="n">
        <v>335</v>
      </c>
      <c r="B353" s="21">
        <f>B352*(A353+$B$7-1)*(1-$B$5)/A353</f>
        <v/>
      </c>
      <c r="C353" s="15">
        <f>C352+B353</f>
        <v/>
      </c>
      <c r="D353" s="6">
        <f>D352-(1-C352)</f>
        <v/>
      </c>
      <c r="E353" s="22">
        <f>C353&gt;=Fit!$B$32</f>
        <v/>
      </c>
    </row>
    <row r="354">
      <c r="A354" s="12" t="n">
        <v>336</v>
      </c>
      <c r="B354" s="21">
        <f>B353*(A354+$B$7-1)*(1-$B$5)/A354</f>
        <v/>
      </c>
      <c r="C354" s="15">
        <f>C353+B354</f>
        <v/>
      </c>
      <c r="D354" s="6">
        <f>D353-(1-C353)</f>
        <v/>
      </c>
      <c r="E354" s="22">
        <f>C354&gt;=Fit!$B$32</f>
        <v/>
      </c>
    </row>
    <row r="355">
      <c r="A355" s="12" t="n">
        <v>337</v>
      </c>
      <c r="B355" s="21">
        <f>B354*(A355+$B$7-1)*(1-$B$5)/A355</f>
        <v/>
      </c>
      <c r="C355" s="15">
        <f>C354+B355</f>
        <v/>
      </c>
      <c r="D355" s="6">
        <f>D354-(1-C354)</f>
        <v/>
      </c>
      <c r="E355" s="22">
        <f>C355&gt;=Fit!$B$32</f>
        <v/>
      </c>
    </row>
    <row r="356">
      <c r="A356" s="12" t="n">
        <v>338</v>
      </c>
      <c r="B356" s="21">
        <f>B355*(A356+$B$7-1)*(1-$B$5)/A356</f>
        <v/>
      </c>
      <c r="C356" s="15">
        <f>C355+B356</f>
        <v/>
      </c>
      <c r="D356" s="6">
        <f>D355-(1-C355)</f>
        <v/>
      </c>
      <c r="E356" s="22">
        <f>C356&gt;=Fit!$B$32</f>
        <v/>
      </c>
    </row>
    <row r="357">
      <c r="A357" s="12" t="n">
        <v>339</v>
      </c>
      <c r="B357" s="21">
        <f>B356*(A357+$B$7-1)*(1-$B$5)/A357</f>
        <v/>
      </c>
      <c r="C357" s="15">
        <f>C356+B357</f>
        <v/>
      </c>
      <c r="D357" s="6">
        <f>D356-(1-C356)</f>
        <v/>
      </c>
      <c r="E357" s="22">
        <f>C357&gt;=Fit!$B$32</f>
        <v/>
      </c>
    </row>
    <row r="358">
      <c r="A358" s="12" t="n">
        <v>340</v>
      </c>
      <c r="B358" s="21">
        <f>B357*(A358+$B$7-1)*(1-$B$5)/A358</f>
        <v/>
      </c>
      <c r="C358" s="15">
        <f>C357+B358</f>
        <v/>
      </c>
      <c r="D358" s="6">
        <f>D357-(1-C357)</f>
        <v/>
      </c>
      <c r="E358" s="22">
        <f>C358&gt;=Fit!$B$32</f>
        <v/>
      </c>
    </row>
    <row r="359">
      <c r="A359" s="12" t="n">
        <v>341</v>
      </c>
      <c r="B359" s="21">
        <f>B358*(A359+$B$7-1)*(1-$B$5)/A359</f>
        <v/>
      </c>
      <c r="C359" s="15">
        <f>C358+B359</f>
        <v/>
      </c>
      <c r="D359" s="6">
        <f>D358-(1-C358)</f>
        <v/>
      </c>
      <c r="E359" s="22">
        <f>C359&gt;=Fit!$B$32</f>
        <v/>
      </c>
    </row>
    <row r="360">
      <c r="A360" s="12" t="n">
        <v>342</v>
      </c>
      <c r="B360" s="21">
        <f>B359*(A360+$B$7-1)*(1-$B$5)/A360</f>
        <v/>
      </c>
      <c r="C360" s="15">
        <f>C359+B360</f>
        <v/>
      </c>
      <c r="D360" s="6">
        <f>D359-(1-C359)</f>
        <v/>
      </c>
      <c r="E360" s="22">
        <f>C360&gt;=Fit!$B$32</f>
        <v/>
      </c>
    </row>
    <row r="361">
      <c r="A361" s="12" t="n">
        <v>343</v>
      </c>
      <c r="B361" s="21">
        <f>B360*(A361+$B$7-1)*(1-$B$5)/A361</f>
        <v/>
      </c>
      <c r="C361" s="15">
        <f>C360+B361</f>
        <v/>
      </c>
      <c r="D361" s="6">
        <f>D360-(1-C360)</f>
        <v/>
      </c>
      <c r="E361" s="22">
        <f>C361&gt;=Fit!$B$32</f>
        <v/>
      </c>
    </row>
    <row r="362">
      <c r="A362" s="12" t="n">
        <v>344</v>
      </c>
      <c r="B362" s="21">
        <f>B361*(A362+$B$7-1)*(1-$B$5)/A362</f>
        <v/>
      </c>
      <c r="C362" s="15">
        <f>C361+B362</f>
        <v/>
      </c>
      <c r="D362" s="6">
        <f>D361-(1-C361)</f>
        <v/>
      </c>
      <c r="E362" s="22">
        <f>C362&gt;=Fit!$B$32</f>
        <v/>
      </c>
    </row>
    <row r="363">
      <c r="A363" s="12" t="n">
        <v>345</v>
      </c>
      <c r="B363" s="21">
        <f>B362*(A363+$B$7-1)*(1-$B$5)/A363</f>
        <v/>
      </c>
      <c r="C363" s="15">
        <f>C362+B363</f>
        <v/>
      </c>
      <c r="D363" s="6">
        <f>D362-(1-C362)</f>
        <v/>
      </c>
      <c r="E363" s="22">
        <f>C363&gt;=Fit!$B$32</f>
        <v/>
      </c>
    </row>
    <row r="364">
      <c r="A364" s="12" t="n">
        <v>346</v>
      </c>
      <c r="B364" s="21">
        <f>B363*(A364+$B$7-1)*(1-$B$5)/A364</f>
        <v/>
      </c>
      <c r="C364" s="15">
        <f>C363+B364</f>
        <v/>
      </c>
      <c r="D364" s="6">
        <f>D363-(1-C363)</f>
        <v/>
      </c>
      <c r="E364" s="22">
        <f>C364&gt;=Fit!$B$32</f>
        <v/>
      </c>
    </row>
    <row r="365">
      <c r="A365" s="12" t="n">
        <v>347</v>
      </c>
      <c r="B365" s="21">
        <f>B364*(A365+$B$7-1)*(1-$B$5)/A365</f>
        <v/>
      </c>
      <c r="C365" s="15">
        <f>C364+B365</f>
        <v/>
      </c>
      <c r="D365" s="6">
        <f>D364-(1-C364)</f>
        <v/>
      </c>
      <c r="E365" s="22">
        <f>C365&gt;=Fit!$B$32</f>
        <v/>
      </c>
    </row>
    <row r="366">
      <c r="A366" s="12" t="n">
        <v>348</v>
      </c>
      <c r="B366" s="21">
        <f>B365*(A366+$B$7-1)*(1-$B$5)/A366</f>
        <v/>
      </c>
      <c r="C366" s="15">
        <f>C365+B366</f>
        <v/>
      </c>
      <c r="D366" s="6">
        <f>D365-(1-C365)</f>
        <v/>
      </c>
      <c r="E366" s="22">
        <f>C366&gt;=Fit!$B$32</f>
        <v/>
      </c>
    </row>
    <row r="367">
      <c r="A367" s="12" t="n">
        <v>349</v>
      </c>
      <c r="B367" s="21">
        <f>B366*(A367+$B$7-1)*(1-$B$5)/A367</f>
        <v/>
      </c>
      <c r="C367" s="15">
        <f>C366+B367</f>
        <v/>
      </c>
      <c r="D367" s="6">
        <f>D366-(1-C366)</f>
        <v/>
      </c>
      <c r="E367" s="22">
        <f>C367&gt;=Fit!$B$32</f>
        <v/>
      </c>
    </row>
    <row r="368">
      <c r="A368" s="12" t="n">
        <v>350</v>
      </c>
      <c r="B368" s="21">
        <f>B367*(A368+$B$7-1)*(1-$B$5)/A368</f>
        <v/>
      </c>
      <c r="C368" s="15">
        <f>C367+B368</f>
        <v/>
      </c>
      <c r="D368" s="6">
        <f>D367-(1-C367)</f>
        <v/>
      </c>
      <c r="E368" s="22">
        <f>C368&gt;=Fit!$B$32</f>
        <v/>
      </c>
    </row>
    <row r="369">
      <c r="A369" s="12" t="n">
        <v>351</v>
      </c>
      <c r="B369" s="21">
        <f>B368*(A369+$B$7-1)*(1-$B$5)/A369</f>
        <v/>
      </c>
      <c r="C369" s="15">
        <f>C368+B369</f>
        <v/>
      </c>
      <c r="D369" s="6">
        <f>D368-(1-C368)</f>
        <v/>
      </c>
      <c r="E369" s="22">
        <f>C369&gt;=Fit!$B$32</f>
        <v/>
      </c>
    </row>
    <row r="370">
      <c r="A370" s="12" t="n">
        <v>352</v>
      </c>
      <c r="B370" s="21">
        <f>B369*(A370+$B$7-1)*(1-$B$5)/A370</f>
        <v/>
      </c>
      <c r="C370" s="15">
        <f>C369+B370</f>
        <v/>
      </c>
      <c r="D370" s="6">
        <f>D369-(1-C369)</f>
        <v/>
      </c>
      <c r="E370" s="22">
        <f>C370&gt;=Fit!$B$32</f>
        <v/>
      </c>
    </row>
    <row r="371">
      <c r="A371" s="12" t="n">
        <v>353</v>
      </c>
      <c r="B371" s="21">
        <f>B370*(A371+$B$7-1)*(1-$B$5)/A371</f>
        <v/>
      </c>
      <c r="C371" s="15">
        <f>C370+B371</f>
        <v/>
      </c>
      <c r="D371" s="6">
        <f>D370-(1-C370)</f>
        <v/>
      </c>
      <c r="E371" s="22">
        <f>C371&gt;=Fit!$B$32</f>
        <v/>
      </c>
    </row>
    <row r="372">
      <c r="A372" s="12" t="n">
        <v>354</v>
      </c>
      <c r="B372" s="21">
        <f>B371*(A372+$B$7-1)*(1-$B$5)/A372</f>
        <v/>
      </c>
      <c r="C372" s="15">
        <f>C371+B372</f>
        <v/>
      </c>
      <c r="D372" s="6">
        <f>D371-(1-C371)</f>
        <v/>
      </c>
      <c r="E372" s="22">
        <f>C372&gt;=Fit!$B$32</f>
        <v/>
      </c>
    </row>
    <row r="373">
      <c r="A373" s="12" t="n">
        <v>355</v>
      </c>
      <c r="B373" s="21">
        <f>B372*(A373+$B$7-1)*(1-$B$5)/A373</f>
        <v/>
      </c>
      <c r="C373" s="15">
        <f>C372+B373</f>
        <v/>
      </c>
      <c r="D373" s="6">
        <f>D372-(1-C372)</f>
        <v/>
      </c>
      <c r="E373" s="22">
        <f>C373&gt;=Fit!$B$32</f>
        <v/>
      </c>
    </row>
    <row r="374">
      <c r="A374" s="12" t="n">
        <v>356</v>
      </c>
      <c r="B374" s="21">
        <f>B373*(A374+$B$7-1)*(1-$B$5)/A374</f>
        <v/>
      </c>
      <c r="C374" s="15">
        <f>C373+B374</f>
        <v/>
      </c>
      <c r="D374" s="6">
        <f>D373-(1-C373)</f>
        <v/>
      </c>
      <c r="E374" s="22">
        <f>C374&gt;=Fit!$B$32</f>
        <v/>
      </c>
    </row>
    <row r="375">
      <c r="A375" s="12" t="n">
        <v>357</v>
      </c>
      <c r="B375" s="21">
        <f>B374*(A375+$B$7-1)*(1-$B$5)/A375</f>
        <v/>
      </c>
      <c r="C375" s="15">
        <f>C374+B375</f>
        <v/>
      </c>
      <c r="D375" s="6">
        <f>D374-(1-C374)</f>
        <v/>
      </c>
      <c r="E375" s="22">
        <f>C375&gt;=Fit!$B$32</f>
        <v/>
      </c>
    </row>
    <row r="376">
      <c r="A376" s="12" t="n">
        <v>358</v>
      </c>
      <c r="B376" s="21">
        <f>B375*(A376+$B$7-1)*(1-$B$5)/A376</f>
        <v/>
      </c>
      <c r="C376" s="15">
        <f>C375+B376</f>
        <v/>
      </c>
      <c r="D376" s="6">
        <f>D375-(1-C375)</f>
        <v/>
      </c>
      <c r="E376" s="22">
        <f>C376&gt;=Fit!$B$32</f>
        <v/>
      </c>
    </row>
    <row r="377">
      <c r="A377" s="12" t="n">
        <v>359</v>
      </c>
      <c r="B377" s="21">
        <f>B376*(A377+$B$7-1)*(1-$B$5)/A377</f>
        <v/>
      </c>
      <c r="C377" s="15">
        <f>C376+B377</f>
        <v/>
      </c>
      <c r="D377" s="6">
        <f>D376-(1-C376)</f>
        <v/>
      </c>
      <c r="E377" s="22">
        <f>C377&gt;=Fit!$B$32</f>
        <v/>
      </c>
    </row>
    <row r="378">
      <c r="A378" s="12" t="n">
        <v>360</v>
      </c>
      <c r="B378" s="21">
        <f>B377*(A378+$B$7-1)*(1-$B$5)/A378</f>
        <v/>
      </c>
      <c r="C378" s="15">
        <f>C377+B378</f>
        <v/>
      </c>
      <c r="D378" s="6">
        <f>D377-(1-C377)</f>
        <v/>
      </c>
      <c r="E378" s="22">
        <f>C378&gt;=Fit!$B$32</f>
        <v/>
      </c>
    </row>
    <row r="379">
      <c r="A379" s="12" t="n">
        <v>361</v>
      </c>
      <c r="B379" s="21">
        <f>B378*(A379+$B$7-1)*(1-$B$5)/A379</f>
        <v/>
      </c>
      <c r="C379" s="15">
        <f>C378+B379</f>
        <v/>
      </c>
      <c r="D379" s="6">
        <f>D378-(1-C378)</f>
        <v/>
      </c>
      <c r="E379" s="22">
        <f>C379&gt;=Fit!$B$32</f>
        <v/>
      </c>
    </row>
    <row r="380">
      <c r="A380" s="12" t="n">
        <v>362</v>
      </c>
      <c r="B380" s="21">
        <f>B379*(A380+$B$7-1)*(1-$B$5)/A380</f>
        <v/>
      </c>
      <c r="C380" s="15">
        <f>C379+B380</f>
        <v/>
      </c>
      <c r="D380" s="6">
        <f>D379-(1-C379)</f>
        <v/>
      </c>
      <c r="E380" s="22">
        <f>C380&gt;=Fit!$B$32</f>
        <v/>
      </c>
    </row>
    <row r="381">
      <c r="A381" s="12" t="n">
        <v>363</v>
      </c>
      <c r="B381" s="21">
        <f>B380*(A381+$B$7-1)*(1-$B$5)/A381</f>
        <v/>
      </c>
      <c r="C381" s="15">
        <f>C380+B381</f>
        <v/>
      </c>
      <c r="D381" s="6">
        <f>D380-(1-C380)</f>
        <v/>
      </c>
      <c r="E381" s="22">
        <f>C381&gt;=Fit!$B$32</f>
        <v/>
      </c>
    </row>
    <row r="382">
      <c r="A382" s="12" t="n">
        <v>364</v>
      </c>
      <c r="B382" s="21">
        <f>B381*(A382+$B$7-1)*(1-$B$5)/A382</f>
        <v/>
      </c>
      <c r="C382" s="15">
        <f>C381+B382</f>
        <v/>
      </c>
      <c r="D382" s="6">
        <f>D381-(1-C381)</f>
        <v/>
      </c>
      <c r="E382" s="22">
        <f>C382&gt;=Fit!$B$32</f>
        <v/>
      </c>
    </row>
    <row r="383">
      <c r="A383" s="12" t="n">
        <v>365</v>
      </c>
      <c r="B383" s="21">
        <f>B382*(A383+$B$7-1)*(1-$B$5)/A383</f>
        <v/>
      </c>
      <c r="C383" s="15">
        <f>C382+B383</f>
        <v/>
      </c>
      <c r="D383" s="6">
        <f>D382-(1-C382)</f>
        <v/>
      </c>
      <c r="E383" s="22">
        <f>C383&gt;=Fit!$B$32</f>
        <v/>
      </c>
    </row>
    <row r="384">
      <c r="A384" s="12" t="n">
        <v>366</v>
      </c>
      <c r="B384" s="21">
        <f>B383*(A384+$B$7-1)*(1-$B$5)/A384</f>
        <v/>
      </c>
      <c r="C384" s="15">
        <f>C383+B384</f>
        <v/>
      </c>
      <c r="D384" s="6">
        <f>D383-(1-C383)</f>
        <v/>
      </c>
      <c r="E384" s="22">
        <f>C384&gt;=Fit!$B$32</f>
        <v/>
      </c>
    </row>
    <row r="385">
      <c r="A385" s="12" t="n">
        <v>367</v>
      </c>
      <c r="B385" s="21">
        <f>B384*(A385+$B$7-1)*(1-$B$5)/A385</f>
        <v/>
      </c>
      <c r="C385" s="15">
        <f>C384+B385</f>
        <v/>
      </c>
      <c r="D385" s="6">
        <f>D384-(1-C384)</f>
        <v/>
      </c>
      <c r="E385" s="22">
        <f>C385&gt;=Fit!$B$32</f>
        <v/>
      </c>
    </row>
    <row r="386">
      <c r="A386" s="12" t="n">
        <v>368</v>
      </c>
      <c r="B386" s="21">
        <f>B385*(A386+$B$7-1)*(1-$B$5)/A386</f>
        <v/>
      </c>
      <c r="C386" s="15">
        <f>C385+B386</f>
        <v/>
      </c>
      <c r="D386" s="6">
        <f>D385-(1-C385)</f>
        <v/>
      </c>
      <c r="E386" s="22">
        <f>C386&gt;=Fit!$B$32</f>
        <v/>
      </c>
    </row>
    <row r="387">
      <c r="A387" s="12" t="n">
        <v>369</v>
      </c>
      <c r="B387" s="21">
        <f>B386*(A387+$B$7-1)*(1-$B$5)/A387</f>
        <v/>
      </c>
      <c r="C387" s="15">
        <f>C386+B387</f>
        <v/>
      </c>
      <c r="D387" s="6">
        <f>D386-(1-C386)</f>
        <v/>
      </c>
      <c r="E387" s="22">
        <f>C387&gt;=Fit!$B$32</f>
        <v/>
      </c>
    </row>
    <row r="388">
      <c r="A388" s="12" t="n">
        <v>370</v>
      </c>
      <c r="B388" s="21">
        <f>B387*(A388+$B$7-1)*(1-$B$5)/A388</f>
        <v/>
      </c>
      <c r="C388" s="15">
        <f>C387+B388</f>
        <v/>
      </c>
      <c r="D388" s="6">
        <f>D387-(1-C387)</f>
        <v/>
      </c>
      <c r="E388" s="22">
        <f>C388&gt;=Fit!$B$32</f>
        <v/>
      </c>
    </row>
    <row r="389">
      <c r="A389" s="12" t="n">
        <v>371</v>
      </c>
      <c r="B389" s="21">
        <f>B388*(A389+$B$7-1)*(1-$B$5)/A389</f>
        <v/>
      </c>
      <c r="C389" s="15">
        <f>C388+B389</f>
        <v/>
      </c>
      <c r="D389" s="6">
        <f>D388-(1-C388)</f>
        <v/>
      </c>
      <c r="E389" s="22">
        <f>C389&gt;=Fit!$B$32</f>
        <v/>
      </c>
    </row>
    <row r="390">
      <c r="A390" s="12" t="n">
        <v>372</v>
      </c>
      <c r="B390" s="21">
        <f>B389*(A390+$B$7-1)*(1-$B$5)/A390</f>
        <v/>
      </c>
      <c r="C390" s="15">
        <f>C389+B390</f>
        <v/>
      </c>
      <c r="D390" s="6">
        <f>D389-(1-C389)</f>
        <v/>
      </c>
      <c r="E390" s="22">
        <f>C390&gt;=Fit!$B$32</f>
        <v/>
      </c>
    </row>
    <row r="391">
      <c r="A391" s="12" t="n">
        <v>373</v>
      </c>
      <c r="B391" s="21">
        <f>B390*(A391+$B$7-1)*(1-$B$5)/A391</f>
        <v/>
      </c>
      <c r="C391" s="15">
        <f>C390+B391</f>
        <v/>
      </c>
      <c r="D391" s="6">
        <f>D390-(1-C390)</f>
        <v/>
      </c>
      <c r="E391" s="22">
        <f>C391&gt;=Fit!$B$32</f>
        <v/>
      </c>
    </row>
    <row r="392">
      <c r="A392" s="12" t="n">
        <v>374</v>
      </c>
      <c r="B392" s="21">
        <f>B391*(A392+$B$7-1)*(1-$B$5)/A392</f>
        <v/>
      </c>
      <c r="C392" s="15">
        <f>C391+B392</f>
        <v/>
      </c>
      <c r="D392" s="6">
        <f>D391-(1-C391)</f>
        <v/>
      </c>
      <c r="E392" s="22">
        <f>C392&gt;=Fit!$B$32</f>
        <v/>
      </c>
    </row>
    <row r="393">
      <c r="A393" s="12" t="n">
        <v>375</v>
      </c>
      <c r="B393" s="21">
        <f>B392*(A393+$B$7-1)*(1-$B$5)/A393</f>
        <v/>
      </c>
      <c r="C393" s="15">
        <f>C392+B393</f>
        <v/>
      </c>
      <c r="D393" s="6">
        <f>D392-(1-C392)</f>
        <v/>
      </c>
      <c r="E393" s="22">
        <f>C393&gt;=Fit!$B$32</f>
        <v/>
      </c>
    </row>
    <row r="394">
      <c r="A394" s="12" t="n">
        <v>376</v>
      </c>
      <c r="B394" s="21">
        <f>B393*(A394+$B$7-1)*(1-$B$5)/A394</f>
        <v/>
      </c>
      <c r="C394" s="15">
        <f>C393+B394</f>
        <v/>
      </c>
      <c r="D394" s="6">
        <f>D393-(1-C393)</f>
        <v/>
      </c>
      <c r="E394" s="22">
        <f>C394&gt;=Fit!$B$32</f>
        <v/>
      </c>
    </row>
    <row r="395">
      <c r="A395" s="12" t="n">
        <v>377</v>
      </c>
      <c r="B395" s="21">
        <f>B394*(A395+$B$7-1)*(1-$B$5)/A395</f>
        <v/>
      </c>
      <c r="C395" s="15">
        <f>C394+B395</f>
        <v/>
      </c>
      <c r="D395" s="6">
        <f>D394-(1-C394)</f>
        <v/>
      </c>
      <c r="E395" s="22">
        <f>C395&gt;=Fit!$B$32</f>
        <v/>
      </c>
    </row>
    <row r="396">
      <c r="A396" s="12" t="n">
        <v>378</v>
      </c>
      <c r="B396" s="21">
        <f>B395*(A396+$B$7-1)*(1-$B$5)/A396</f>
        <v/>
      </c>
      <c r="C396" s="15">
        <f>C395+B396</f>
        <v/>
      </c>
      <c r="D396" s="6">
        <f>D395-(1-C395)</f>
        <v/>
      </c>
      <c r="E396" s="22">
        <f>C396&gt;=Fit!$B$32</f>
        <v/>
      </c>
    </row>
    <row r="397">
      <c r="A397" s="12" t="n">
        <v>379</v>
      </c>
      <c r="B397" s="21">
        <f>B396*(A397+$B$7-1)*(1-$B$5)/A397</f>
        <v/>
      </c>
      <c r="C397" s="15">
        <f>C396+B397</f>
        <v/>
      </c>
      <c r="D397" s="6">
        <f>D396-(1-C396)</f>
        <v/>
      </c>
      <c r="E397" s="22">
        <f>C397&gt;=Fit!$B$32</f>
        <v/>
      </c>
    </row>
    <row r="398">
      <c r="A398" s="12" t="n">
        <v>380</v>
      </c>
      <c r="B398" s="21">
        <f>B397*(A398+$B$7-1)*(1-$B$5)/A398</f>
        <v/>
      </c>
      <c r="C398" s="15">
        <f>C397+B398</f>
        <v/>
      </c>
      <c r="D398" s="6">
        <f>D397-(1-C397)</f>
        <v/>
      </c>
      <c r="E398" s="22">
        <f>C398&gt;=Fit!$B$32</f>
        <v/>
      </c>
    </row>
    <row r="399">
      <c r="A399" s="12" t="n">
        <v>381</v>
      </c>
      <c r="B399" s="21">
        <f>B398*(A399+$B$7-1)*(1-$B$5)/A399</f>
        <v/>
      </c>
      <c r="C399" s="15">
        <f>C398+B399</f>
        <v/>
      </c>
      <c r="D399" s="6">
        <f>D398-(1-C398)</f>
        <v/>
      </c>
      <c r="E399" s="22">
        <f>C399&gt;=Fit!$B$32</f>
        <v/>
      </c>
    </row>
    <row r="400">
      <c r="A400" s="12" t="n">
        <v>382</v>
      </c>
      <c r="B400" s="21">
        <f>B399*(A400+$B$7-1)*(1-$B$5)/A400</f>
        <v/>
      </c>
      <c r="C400" s="15">
        <f>C399+B400</f>
        <v/>
      </c>
      <c r="D400" s="6">
        <f>D399-(1-C399)</f>
        <v/>
      </c>
      <c r="E400" s="22">
        <f>C400&gt;=Fit!$B$32</f>
        <v/>
      </c>
    </row>
    <row r="401">
      <c r="A401" s="12" t="n">
        <v>383</v>
      </c>
      <c r="B401" s="21">
        <f>B400*(A401+$B$7-1)*(1-$B$5)/A401</f>
        <v/>
      </c>
      <c r="C401" s="15">
        <f>C400+B401</f>
        <v/>
      </c>
      <c r="D401" s="6">
        <f>D400-(1-C400)</f>
        <v/>
      </c>
      <c r="E401" s="22">
        <f>C401&gt;=Fit!$B$32</f>
        <v/>
      </c>
    </row>
    <row r="402">
      <c r="A402" s="12" t="n">
        <v>384</v>
      </c>
      <c r="B402" s="21">
        <f>B401*(A402+$B$7-1)*(1-$B$5)/A402</f>
        <v/>
      </c>
      <c r="C402" s="15">
        <f>C401+B402</f>
        <v/>
      </c>
      <c r="D402" s="6">
        <f>D401-(1-C401)</f>
        <v/>
      </c>
      <c r="E402" s="22">
        <f>C402&gt;=Fit!$B$32</f>
        <v/>
      </c>
    </row>
    <row r="403">
      <c r="A403" s="12" t="n">
        <v>385</v>
      </c>
      <c r="B403" s="21">
        <f>B402*(A403+$B$7-1)*(1-$B$5)/A403</f>
        <v/>
      </c>
      <c r="C403" s="15">
        <f>C402+B403</f>
        <v/>
      </c>
      <c r="D403" s="6">
        <f>D402-(1-C402)</f>
        <v/>
      </c>
      <c r="E403" s="22">
        <f>C403&gt;=Fit!$B$32</f>
        <v/>
      </c>
    </row>
    <row r="404">
      <c r="A404" s="12" t="n">
        <v>386</v>
      </c>
      <c r="B404" s="21">
        <f>B403*(A404+$B$7-1)*(1-$B$5)/A404</f>
        <v/>
      </c>
      <c r="C404" s="15">
        <f>C403+B404</f>
        <v/>
      </c>
      <c r="D404" s="6">
        <f>D403-(1-C403)</f>
        <v/>
      </c>
      <c r="E404" s="22">
        <f>C404&gt;=Fit!$B$32</f>
        <v/>
      </c>
    </row>
    <row r="405">
      <c r="A405" s="12" t="n">
        <v>387</v>
      </c>
      <c r="B405" s="21">
        <f>B404*(A405+$B$7-1)*(1-$B$5)/A405</f>
        <v/>
      </c>
      <c r="C405" s="15">
        <f>C404+B405</f>
        <v/>
      </c>
      <c r="D405" s="6">
        <f>D404-(1-C404)</f>
        <v/>
      </c>
      <c r="E405" s="22">
        <f>C405&gt;=Fit!$B$32</f>
        <v/>
      </c>
    </row>
    <row r="406">
      <c r="A406" s="12" t="n">
        <v>388</v>
      </c>
      <c r="B406" s="21">
        <f>B405*(A406+$B$7-1)*(1-$B$5)/A406</f>
        <v/>
      </c>
      <c r="C406" s="15">
        <f>C405+B406</f>
        <v/>
      </c>
      <c r="D406" s="6">
        <f>D405-(1-C405)</f>
        <v/>
      </c>
      <c r="E406" s="22">
        <f>C406&gt;=Fit!$B$32</f>
        <v/>
      </c>
    </row>
    <row r="407">
      <c r="A407" s="12" t="n">
        <v>389</v>
      </c>
      <c r="B407" s="21">
        <f>B406*(A407+$B$7-1)*(1-$B$5)/A407</f>
        <v/>
      </c>
      <c r="C407" s="15">
        <f>C406+B407</f>
        <v/>
      </c>
      <c r="D407" s="6">
        <f>D406-(1-C406)</f>
        <v/>
      </c>
      <c r="E407" s="22">
        <f>C407&gt;=Fit!$B$32</f>
        <v/>
      </c>
    </row>
    <row r="408">
      <c r="A408" s="12" t="n">
        <v>390</v>
      </c>
      <c r="B408" s="21">
        <f>B407*(A408+$B$7-1)*(1-$B$5)/A408</f>
        <v/>
      </c>
      <c r="C408" s="15">
        <f>C407+B408</f>
        <v/>
      </c>
      <c r="D408" s="6">
        <f>D407-(1-C407)</f>
        <v/>
      </c>
      <c r="E408" s="22">
        <f>C408&gt;=Fit!$B$32</f>
        <v/>
      </c>
    </row>
    <row r="409">
      <c r="A409" s="12" t="n">
        <v>391</v>
      </c>
      <c r="B409" s="21">
        <f>B408*(A409+$B$7-1)*(1-$B$5)/A409</f>
        <v/>
      </c>
      <c r="C409" s="15">
        <f>C408+B409</f>
        <v/>
      </c>
      <c r="D409" s="6">
        <f>D408-(1-C408)</f>
        <v/>
      </c>
      <c r="E409" s="22">
        <f>C409&gt;=Fit!$B$32</f>
        <v/>
      </c>
    </row>
    <row r="410">
      <c r="A410" s="12" t="n">
        <v>392</v>
      </c>
      <c r="B410" s="21">
        <f>B409*(A410+$B$7-1)*(1-$B$5)/A410</f>
        <v/>
      </c>
      <c r="C410" s="15">
        <f>C409+B410</f>
        <v/>
      </c>
      <c r="D410" s="6">
        <f>D409-(1-C409)</f>
        <v/>
      </c>
      <c r="E410" s="22">
        <f>C410&gt;=Fit!$B$32</f>
        <v/>
      </c>
    </row>
    <row r="411">
      <c r="A411" s="12" t="n">
        <v>393</v>
      </c>
      <c r="B411" s="21">
        <f>B410*(A411+$B$7-1)*(1-$B$5)/A411</f>
        <v/>
      </c>
      <c r="C411" s="15">
        <f>C410+B411</f>
        <v/>
      </c>
      <c r="D411" s="6">
        <f>D410-(1-C410)</f>
        <v/>
      </c>
      <c r="E411" s="22">
        <f>C411&gt;=Fit!$B$32</f>
        <v/>
      </c>
    </row>
    <row r="412">
      <c r="A412" s="12" t="n">
        <v>394</v>
      </c>
      <c r="B412" s="21">
        <f>B411*(A412+$B$7-1)*(1-$B$5)/A412</f>
        <v/>
      </c>
      <c r="C412" s="15">
        <f>C411+B412</f>
        <v/>
      </c>
      <c r="D412" s="6">
        <f>D411-(1-C411)</f>
        <v/>
      </c>
      <c r="E412" s="22">
        <f>C412&gt;=Fit!$B$32</f>
        <v/>
      </c>
    </row>
    <row r="413">
      <c r="A413" s="12" t="n">
        <v>395</v>
      </c>
      <c r="B413" s="21">
        <f>B412*(A413+$B$7-1)*(1-$B$5)/A413</f>
        <v/>
      </c>
      <c r="C413" s="15">
        <f>C412+B413</f>
        <v/>
      </c>
      <c r="D413" s="6">
        <f>D412-(1-C412)</f>
        <v/>
      </c>
      <c r="E413" s="22">
        <f>C413&gt;=Fit!$B$32</f>
        <v/>
      </c>
    </row>
    <row r="414">
      <c r="A414" s="12" t="n">
        <v>396</v>
      </c>
      <c r="B414" s="21">
        <f>B413*(A414+$B$7-1)*(1-$B$5)/A414</f>
        <v/>
      </c>
      <c r="C414" s="15">
        <f>C413+B414</f>
        <v/>
      </c>
      <c r="D414" s="6">
        <f>D413-(1-C413)</f>
        <v/>
      </c>
      <c r="E414" s="22">
        <f>C414&gt;=Fit!$B$32</f>
        <v/>
      </c>
    </row>
    <row r="415">
      <c r="A415" s="12" t="n">
        <v>397</v>
      </c>
      <c r="B415" s="21">
        <f>B414*(A415+$B$7-1)*(1-$B$5)/A415</f>
        <v/>
      </c>
      <c r="C415" s="15">
        <f>C414+B415</f>
        <v/>
      </c>
      <c r="D415" s="6">
        <f>D414-(1-C414)</f>
        <v/>
      </c>
      <c r="E415" s="22">
        <f>C415&gt;=Fit!$B$32</f>
        <v/>
      </c>
    </row>
    <row r="416">
      <c r="A416" s="12" t="n">
        <v>398</v>
      </c>
      <c r="B416" s="21">
        <f>B415*(A416+$B$7-1)*(1-$B$5)/A416</f>
        <v/>
      </c>
      <c r="C416" s="15">
        <f>C415+B416</f>
        <v/>
      </c>
      <c r="D416" s="6">
        <f>D415-(1-C415)</f>
        <v/>
      </c>
      <c r="E416" s="22">
        <f>C416&gt;=Fit!$B$32</f>
        <v/>
      </c>
    </row>
    <row r="417">
      <c r="A417" s="12" t="n">
        <v>399</v>
      </c>
      <c r="B417" s="21">
        <f>B416*(A417+$B$7-1)*(1-$B$5)/A417</f>
        <v/>
      </c>
      <c r="C417" s="15">
        <f>C416+B417</f>
        <v/>
      </c>
      <c r="D417" s="6">
        <f>D416-(1-C416)</f>
        <v/>
      </c>
      <c r="E417" s="22">
        <f>C417&gt;=Fit!$B$32</f>
        <v/>
      </c>
    </row>
    <row r="418">
      <c r="A418" s="12" t="n">
        <v>400</v>
      </c>
      <c r="B418" s="21">
        <f>B417*(A418+$B$7-1)*(1-$B$5)/A418</f>
        <v/>
      </c>
      <c r="C418" s="15">
        <f>C417+B418</f>
        <v/>
      </c>
      <c r="D418" s="6">
        <f>D417-(1-C417)</f>
        <v/>
      </c>
      <c r="E418" s="22">
        <f>C418&gt;=Fit!$B$32</f>
        <v/>
      </c>
    </row>
    <row r="419">
      <c r="A419" s="12" t="n">
        <v>401</v>
      </c>
      <c r="B419" s="21">
        <f>B418*(A419+$B$7-1)*(1-$B$5)/A419</f>
        <v/>
      </c>
      <c r="C419" s="15">
        <f>C418+B419</f>
        <v/>
      </c>
      <c r="D419" s="6">
        <f>D418-(1-C418)</f>
        <v/>
      </c>
      <c r="E419" s="22">
        <f>C419&gt;=Fit!$B$32</f>
        <v/>
      </c>
    </row>
    <row r="420">
      <c r="A420" s="12" t="n">
        <v>402</v>
      </c>
      <c r="B420" s="21">
        <f>B419*(A420+$B$7-1)*(1-$B$5)/A420</f>
        <v/>
      </c>
      <c r="C420" s="15">
        <f>C419+B420</f>
        <v/>
      </c>
      <c r="D420" s="6">
        <f>D419-(1-C419)</f>
        <v/>
      </c>
      <c r="E420" s="22">
        <f>C420&gt;=Fit!$B$32</f>
        <v/>
      </c>
    </row>
    <row r="421">
      <c r="A421" s="12" t="n">
        <v>403</v>
      </c>
      <c r="B421" s="21">
        <f>B420*(A421+$B$7-1)*(1-$B$5)/A421</f>
        <v/>
      </c>
      <c r="C421" s="15">
        <f>C420+B421</f>
        <v/>
      </c>
      <c r="D421" s="6">
        <f>D420-(1-C420)</f>
        <v/>
      </c>
      <c r="E421" s="22">
        <f>C421&gt;=Fit!$B$32</f>
        <v/>
      </c>
    </row>
    <row r="422">
      <c r="A422" s="12" t="n">
        <v>404</v>
      </c>
      <c r="B422" s="21">
        <f>B421*(A422+$B$7-1)*(1-$B$5)/A422</f>
        <v/>
      </c>
      <c r="C422" s="15">
        <f>C421+B422</f>
        <v/>
      </c>
      <c r="D422" s="6">
        <f>D421-(1-C421)</f>
        <v/>
      </c>
      <c r="E422" s="22">
        <f>C422&gt;=Fit!$B$32</f>
        <v/>
      </c>
    </row>
    <row r="423">
      <c r="A423" s="12" t="n">
        <v>405</v>
      </c>
      <c r="B423" s="21">
        <f>B422*(A423+$B$7-1)*(1-$B$5)/A423</f>
        <v/>
      </c>
      <c r="C423" s="15">
        <f>C422+B423</f>
        <v/>
      </c>
      <c r="D423" s="6">
        <f>D422-(1-C422)</f>
        <v/>
      </c>
      <c r="E423" s="22">
        <f>C423&gt;=Fit!$B$32</f>
        <v/>
      </c>
    </row>
    <row r="424">
      <c r="A424" s="12" t="n">
        <v>406</v>
      </c>
      <c r="B424" s="21">
        <f>B423*(A424+$B$7-1)*(1-$B$5)/A424</f>
        <v/>
      </c>
      <c r="C424" s="15">
        <f>C423+B424</f>
        <v/>
      </c>
      <c r="D424" s="6">
        <f>D423-(1-C423)</f>
        <v/>
      </c>
      <c r="E424" s="22">
        <f>C424&gt;=Fit!$B$32</f>
        <v/>
      </c>
    </row>
    <row r="425">
      <c r="A425" s="12" t="n">
        <v>407</v>
      </c>
      <c r="B425" s="21">
        <f>B424*(A425+$B$7-1)*(1-$B$5)/A425</f>
        <v/>
      </c>
      <c r="C425" s="15">
        <f>C424+B425</f>
        <v/>
      </c>
      <c r="D425" s="6">
        <f>D424-(1-C424)</f>
        <v/>
      </c>
      <c r="E425" s="22">
        <f>C425&gt;=Fit!$B$32</f>
        <v/>
      </c>
    </row>
    <row r="426">
      <c r="A426" s="12" t="n">
        <v>408</v>
      </c>
      <c r="B426" s="21">
        <f>B425*(A426+$B$7-1)*(1-$B$5)/A426</f>
        <v/>
      </c>
      <c r="C426" s="15">
        <f>C425+B426</f>
        <v/>
      </c>
      <c r="D426" s="6">
        <f>D425-(1-C425)</f>
        <v/>
      </c>
      <c r="E426" s="22">
        <f>C426&gt;=Fit!$B$32</f>
        <v/>
      </c>
    </row>
    <row r="427">
      <c r="A427" s="12" t="n">
        <v>409</v>
      </c>
      <c r="B427" s="21">
        <f>B426*(A427+$B$7-1)*(1-$B$5)/A427</f>
        <v/>
      </c>
      <c r="C427" s="15">
        <f>C426+B427</f>
        <v/>
      </c>
      <c r="D427" s="6">
        <f>D426-(1-C426)</f>
        <v/>
      </c>
      <c r="E427" s="22">
        <f>C427&gt;=Fit!$B$32</f>
        <v/>
      </c>
    </row>
    <row r="428">
      <c r="A428" s="12" t="n">
        <v>410</v>
      </c>
      <c r="B428" s="21">
        <f>B427*(A428+$B$7-1)*(1-$B$5)/A428</f>
        <v/>
      </c>
      <c r="C428" s="15">
        <f>C427+B428</f>
        <v/>
      </c>
      <c r="D428" s="6">
        <f>D427-(1-C427)</f>
        <v/>
      </c>
      <c r="E428" s="22">
        <f>C428&gt;=Fit!$B$32</f>
        <v/>
      </c>
    </row>
    <row r="429">
      <c r="A429" s="12" t="n">
        <v>411</v>
      </c>
      <c r="B429" s="21">
        <f>B428*(A429+$B$7-1)*(1-$B$5)/A429</f>
        <v/>
      </c>
      <c r="C429" s="15">
        <f>C428+B429</f>
        <v/>
      </c>
      <c r="D429" s="6">
        <f>D428-(1-C428)</f>
        <v/>
      </c>
      <c r="E429" s="22">
        <f>C429&gt;=Fit!$B$32</f>
        <v/>
      </c>
    </row>
    <row r="430">
      <c r="A430" s="12" t="n">
        <v>412</v>
      </c>
      <c r="B430" s="21">
        <f>B429*(A430+$B$7-1)*(1-$B$5)/A430</f>
        <v/>
      </c>
      <c r="C430" s="15">
        <f>C429+B430</f>
        <v/>
      </c>
      <c r="D430" s="6">
        <f>D429-(1-C429)</f>
        <v/>
      </c>
      <c r="E430" s="22">
        <f>C430&gt;=Fit!$B$32</f>
        <v/>
      </c>
    </row>
    <row r="431">
      <c r="A431" s="12" t="n">
        <v>413</v>
      </c>
      <c r="B431" s="21">
        <f>B430*(A431+$B$7-1)*(1-$B$5)/A431</f>
        <v/>
      </c>
      <c r="C431" s="15">
        <f>C430+B431</f>
        <v/>
      </c>
      <c r="D431" s="6">
        <f>D430-(1-C430)</f>
        <v/>
      </c>
      <c r="E431" s="22">
        <f>C431&gt;=Fit!$B$32</f>
        <v/>
      </c>
    </row>
    <row r="432">
      <c r="A432" s="12" t="n">
        <v>414</v>
      </c>
      <c r="B432" s="21">
        <f>B431*(A432+$B$7-1)*(1-$B$5)/A432</f>
        <v/>
      </c>
      <c r="C432" s="15">
        <f>C431+B432</f>
        <v/>
      </c>
      <c r="D432" s="6">
        <f>D431-(1-C431)</f>
        <v/>
      </c>
      <c r="E432" s="22">
        <f>C432&gt;=Fit!$B$32</f>
        <v/>
      </c>
    </row>
    <row r="433">
      <c r="A433" s="12" t="n">
        <v>415</v>
      </c>
      <c r="B433" s="21">
        <f>B432*(A433+$B$7-1)*(1-$B$5)/A433</f>
        <v/>
      </c>
      <c r="C433" s="15">
        <f>C432+B433</f>
        <v/>
      </c>
      <c r="D433" s="6">
        <f>D432-(1-C432)</f>
        <v/>
      </c>
      <c r="E433" s="22">
        <f>C433&gt;=Fit!$B$32</f>
        <v/>
      </c>
    </row>
    <row r="434">
      <c r="A434" s="12" t="n">
        <v>416</v>
      </c>
      <c r="B434" s="21">
        <f>B433*(A434+$B$7-1)*(1-$B$5)/A434</f>
        <v/>
      </c>
      <c r="C434" s="15">
        <f>C433+B434</f>
        <v/>
      </c>
      <c r="D434" s="6">
        <f>D433-(1-C433)</f>
        <v/>
      </c>
      <c r="E434" s="22">
        <f>C434&gt;=Fit!$B$32</f>
        <v/>
      </c>
    </row>
    <row r="435">
      <c r="A435" s="12" t="n">
        <v>417</v>
      </c>
      <c r="B435" s="21">
        <f>B434*(A435+$B$7-1)*(1-$B$5)/A435</f>
        <v/>
      </c>
      <c r="C435" s="15">
        <f>C434+B435</f>
        <v/>
      </c>
      <c r="D435" s="6">
        <f>D434-(1-C434)</f>
        <v/>
      </c>
      <c r="E435" s="22">
        <f>C435&gt;=Fit!$B$32</f>
        <v/>
      </c>
    </row>
    <row r="436">
      <c r="A436" s="12" t="n">
        <v>418</v>
      </c>
      <c r="B436" s="21">
        <f>B435*(A436+$B$7-1)*(1-$B$5)/A436</f>
        <v/>
      </c>
      <c r="C436" s="15">
        <f>C435+B436</f>
        <v/>
      </c>
      <c r="D436" s="6">
        <f>D435-(1-C435)</f>
        <v/>
      </c>
      <c r="E436" s="22">
        <f>C436&gt;=Fit!$B$32</f>
        <v/>
      </c>
    </row>
    <row r="437">
      <c r="A437" s="12" t="n">
        <v>419</v>
      </c>
      <c r="B437" s="21">
        <f>B436*(A437+$B$7-1)*(1-$B$5)/A437</f>
        <v/>
      </c>
      <c r="C437" s="15">
        <f>C436+B437</f>
        <v/>
      </c>
      <c r="D437" s="6">
        <f>D436-(1-C436)</f>
        <v/>
      </c>
      <c r="E437" s="22">
        <f>C437&gt;=Fit!$B$32</f>
        <v/>
      </c>
    </row>
    <row r="438">
      <c r="A438" s="12" t="n">
        <v>420</v>
      </c>
      <c r="B438" s="21">
        <f>B437*(A438+$B$7-1)*(1-$B$5)/A438</f>
        <v/>
      </c>
      <c r="C438" s="15">
        <f>C437+B438</f>
        <v/>
      </c>
      <c r="D438" s="6">
        <f>D437-(1-C437)</f>
        <v/>
      </c>
      <c r="E438" s="22">
        <f>C438&gt;=Fit!$B$32</f>
        <v/>
      </c>
    </row>
    <row r="439">
      <c r="A439" s="12" t="n">
        <v>421</v>
      </c>
      <c r="B439" s="21">
        <f>B438*(A439+$B$7-1)*(1-$B$5)/A439</f>
        <v/>
      </c>
      <c r="C439" s="15">
        <f>C438+B439</f>
        <v/>
      </c>
      <c r="D439" s="6">
        <f>D438-(1-C438)</f>
        <v/>
      </c>
      <c r="E439" s="22">
        <f>C439&gt;=Fit!$B$32</f>
        <v/>
      </c>
    </row>
    <row r="440">
      <c r="A440" s="12" t="n">
        <v>422</v>
      </c>
      <c r="B440" s="21">
        <f>B439*(A440+$B$7-1)*(1-$B$5)/A440</f>
        <v/>
      </c>
      <c r="C440" s="15">
        <f>C439+B440</f>
        <v/>
      </c>
      <c r="D440" s="6">
        <f>D439-(1-C439)</f>
        <v/>
      </c>
      <c r="E440" s="22">
        <f>C440&gt;=Fit!$B$32</f>
        <v/>
      </c>
    </row>
    <row r="441">
      <c r="A441" s="12" t="n">
        <v>423</v>
      </c>
      <c r="B441" s="21">
        <f>B440*(A441+$B$7-1)*(1-$B$5)/A441</f>
        <v/>
      </c>
      <c r="C441" s="15">
        <f>C440+B441</f>
        <v/>
      </c>
      <c r="D441" s="6">
        <f>D440-(1-C440)</f>
        <v/>
      </c>
      <c r="E441" s="22">
        <f>C441&gt;=Fit!$B$32</f>
        <v/>
      </c>
    </row>
    <row r="442">
      <c r="A442" s="12" t="n">
        <v>424</v>
      </c>
      <c r="B442" s="21">
        <f>B441*(A442+$B$7-1)*(1-$B$5)/A442</f>
        <v/>
      </c>
      <c r="C442" s="15">
        <f>C441+B442</f>
        <v/>
      </c>
      <c r="D442" s="6">
        <f>D441-(1-C441)</f>
        <v/>
      </c>
      <c r="E442" s="22">
        <f>C442&gt;=Fit!$B$32</f>
        <v/>
      </c>
    </row>
    <row r="443">
      <c r="A443" s="12" t="n">
        <v>425</v>
      </c>
      <c r="B443" s="21">
        <f>B442*(A443+$B$7-1)*(1-$B$5)/A443</f>
        <v/>
      </c>
      <c r="C443" s="15">
        <f>C442+B443</f>
        <v/>
      </c>
      <c r="D443" s="6">
        <f>D442-(1-C442)</f>
        <v/>
      </c>
      <c r="E443" s="22">
        <f>C443&gt;=Fit!$B$32</f>
        <v/>
      </c>
    </row>
    <row r="444">
      <c r="A444" s="12" t="n">
        <v>426</v>
      </c>
      <c r="B444" s="21">
        <f>B443*(A444+$B$7-1)*(1-$B$5)/A444</f>
        <v/>
      </c>
      <c r="C444" s="15">
        <f>C443+B444</f>
        <v/>
      </c>
      <c r="D444" s="6">
        <f>D443-(1-C443)</f>
        <v/>
      </c>
      <c r="E444" s="22">
        <f>C444&gt;=Fit!$B$32</f>
        <v/>
      </c>
    </row>
    <row r="445">
      <c r="A445" s="12" t="n">
        <v>427</v>
      </c>
      <c r="B445" s="21">
        <f>B444*(A445+$B$7-1)*(1-$B$5)/A445</f>
        <v/>
      </c>
      <c r="C445" s="15">
        <f>C444+B445</f>
        <v/>
      </c>
      <c r="D445" s="6">
        <f>D444-(1-C444)</f>
        <v/>
      </c>
      <c r="E445" s="22">
        <f>C445&gt;=Fit!$B$32</f>
        <v/>
      </c>
    </row>
    <row r="446">
      <c r="A446" s="12" t="n">
        <v>428</v>
      </c>
      <c r="B446" s="21">
        <f>B445*(A446+$B$7-1)*(1-$B$5)/A446</f>
        <v/>
      </c>
      <c r="C446" s="15">
        <f>C445+B446</f>
        <v/>
      </c>
      <c r="D446" s="6">
        <f>D445-(1-C445)</f>
        <v/>
      </c>
      <c r="E446" s="22">
        <f>C446&gt;=Fit!$B$32</f>
        <v/>
      </c>
    </row>
    <row r="447">
      <c r="A447" s="12" t="n">
        <v>429</v>
      </c>
      <c r="B447" s="21">
        <f>B446*(A447+$B$7-1)*(1-$B$5)/A447</f>
        <v/>
      </c>
      <c r="C447" s="15">
        <f>C446+B447</f>
        <v/>
      </c>
      <c r="D447" s="6">
        <f>D446-(1-C446)</f>
        <v/>
      </c>
      <c r="E447" s="22">
        <f>C447&gt;=Fit!$B$32</f>
        <v/>
      </c>
    </row>
    <row r="448">
      <c r="A448" s="12" t="n">
        <v>430</v>
      </c>
      <c r="B448" s="21">
        <f>B447*(A448+$B$7-1)*(1-$B$5)/A448</f>
        <v/>
      </c>
      <c r="C448" s="15">
        <f>C447+B448</f>
        <v/>
      </c>
      <c r="D448" s="6">
        <f>D447-(1-C447)</f>
        <v/>
      </c>
      <c r="E448" s="22">
        <f>C448&gt;=Fit!$B$32</f>
        <v/>
      </c>
    </row>
    <row r="449">
      <c r="A449" s="12" t="n">
        <v>431</v>
      </c>
      <c r="B449" s="21">
        <f>B448*(A449+$B$7-1)*(1-$B$5)/A449</f>
        <v/>
      </c>
      <c r="C449" s="15">
        <f>C448+B449</f>
        <v/>
      </c>
      <c r="D449" s="6">
        <f>D448-(1-C448)</f>
        <v/>
      </c>
      <c r="E449" s="22">
        <f>C449&gt;=Fit!$B$32</f>
        <v/>
      </c>
    </row>
    <row r="450">
      <c r="A450" s="12" t="n">
        <v>432</v>
      </c>
      <c r="B450" s="21">
        <f>B449*(A450+$B$7-1)*(1-$B$5)/A450</f>
        <v/>
      </c>
      <c r="C450" s="15">
        <f>C449+B450</f>
        <v/>
      </c>
      <c r="D450" s="6">
        <f>D449-(1-C449)</f>
        <v/>
      </c>
      <c r="E450" s="22">
        <f>C450&gt;=Fit!$B$32</f>
        <v/>
      </c>
    </row>
    <row r="451">
      <c r="A451" s="12" t="n">
        <v>433</v>
      </c>
      <c r="B451" s="21">
        <f>B450*(A451+$B$7-1)*(1-$B$5)/A451</f>
        <v/>
      </c>
      <c r="C451" s="15">
        <f>C450+B451</f>
        <v/>
      </c>
      <c r="D451" s="6">
        <f>D450-(1-C450)</f>
        <v/>
      </c>
      <c r="E451" s="22">
        <f>C451&gt;=Fit!$B$32</f>
        <v/>
      </c>
    </row>
    <row r="452">
      <c r="A452" s="12" t="n">
        <v>434</v>
      </c>
      <c r="B452" s="21">
        <f>B451*(A452+$B$7-1)*(1-$B$5)/A452</f>
        <v/>
      </c>
      <c r="C452" s="15">
        <f>C451+B452</f>
        <v/>
      </c>
      <c r="D452" s="6">
        <f>D451-(1-C451)</f>
        <v/>
      </c>
      <c r="E452" s="22">
        <f>C452&gt;=Fit!$B$32</f>
        <v/>
      </c>
    </row>
    <row r="453">
      <c r="A453" s="12" t="n">
        <v>435</v>
      </c>
      <c r="B453" s="21">
        <f>B452*(A453+$B$7-1)*(1-$B$5)/A453</f>
        <v/>
      </c>
      <c r="C453" s="15">
        <f>C452+B453</f>
        <v/>
      </c>
      <c r="D453" s="6">
        <f>D452-(1-C452)</f>
        <v/>
      </c>
      <c r="E453" s="22">
        <f>C453&gt;=Fit!$B$32</f>
        <v/>
      </c>
    </row>
    <row r="454">
      <c r="A454" s="12" t="n">
        <v>436</v>
      </c>
      <c r="B454" s="21">
        <f>B453*(A454+$B$7-1)*(1-$B$5)/A454</f>
        <v/>
      </c>
      <c r="C454" s="15">
        <f>C453+B454</f>
        <v/>
      </c>
      <c r="D454" s="6">
        <f>D453-(1-C453)</f>
        <v/>
      </c>
      <c r="E454" s="22">
        <f>C454&gt;=Fit!$B$32</f>
        <v/>
      </c>
    </row>
    <row r="455">
      <c r="A455" s="12" t="n">
        <v>437</v>
      </c>
      <c r="B455" s="21">
        <f>B454*(A455+$B$7-1)*(1-$B$5)/A455</f>
        <v/>
      </c>
      <c r="C455" s="15">
        <f>C454+B455</f>
        <v/>
      </c>
      <c r="D455" s="6">
        <f>D454-(1-C454)</f>
        <v/>
      </c>
      <c r="E455" s="22">
        <f>C455&gt;=Fit!$B$32</f>
        <v/>
      </c>
    </row>
    <row r="456">
      <c r="A456" s="12" t="n">
        <v>438</v>
      </c>
      <c r="B456" s="21">
        <f>B455*(A456+$B$7-1)*(1-$B$5)/A456</f>
        <v/>
      </c>
      <c r="C456" s="15">
        <f>C455+B456</f>
        <v/>
      </c>
      <c r="D456" s="6">
        <f>D455-(1-C455)</f>
        <v/>
      </c>
      <c r="E456" s="22">
        <f>C456&gt;=Fit!$B$32</f>
        <v/>
      </c>
    </row>
    <row r="457">
      <c r="A457" s="12" t="n">
        <v>439</v>
      </c>
      <c r="B457" s="21">
        <f>B456*(A457+$B$7-1)*(1-$B$5)/A457</f>
        <v/>
      </c>
      <c r="C457" s="15">
        <f>C456+B457</f>
        <v/>
      </c>
      <c r="D457" s="6">
        <f>D456-(1-C456)</f>
        <v/>
      </c>
      <c r="E457" s="22">
        <f>C457&gt;=Fit!$B$32</f>
        <v/>
      </c>
    </row>
    <row r="458">
      <c r="A458" s="12" t="n">
        <v>440</v>
      </c>
      <c r="B458" s="21">
        <f>B457*(A458+$B$7-1)*(1-$B$5)/A458</f>
        <v/>
      </c>
      <c r="C458" s="15">
        <f>C457+B458</f>
        <v/>
      </c>
      <c r="D458" s="6">
        <f>D457-(1-C457)</f>
        <v/>
      </c>
      <c r="E458" s="22">
        <f>C458&gt;=Fit!$B$32</f>
        <v/>
      </c>
    </row>
    <row r="459">
      <c r="A459" s="12" t="n">
        <v>441</v>
      </c>
      <c r="B459" s="21">
        <f>B458*(A459+$B$7-1)*(1-$B$5)/A459</f>
        <v/>
      </c>
      <c r="C459" s="15">
        <f>C458+B459</f>
        <v/>
      </c>
      <c r="D459" s="6">
        <f>D458-(1-C458)</f>
        <v/>
      </c>
      <c r="E459" s="22">
        <f>C459&gt;=Fit!$B$32</f>
        <v/>
      </c>
    </row>
    <row r="460">
      <c r="A460" s="12" t="n">
        <v>442</v>
      </c>
      <c r="B460" s="21">
        <f>B459*(A460+$B$7-1)*(1-$B$5)/A460</f>
        <v/>
      </c>
      <c r="C460" s="15">
        <f>C459+B460</f>
        <v/>
      </c>
      <c r="D460" s="6">
        <f>D459-(1-C459)</f>
        <v/>
      </c>
      <c r="E460" s="22">
        <f>C460&gt;=Fit!$B$32</f>
        <v/>
      </c>
    </row>
    <row r="461">
      <c r="A461" s="12" t="n">
        <v>443</v>
      </c>
      <c r="B461" s="21">
        <f>B460*(A461+$B$7-1)*(1-$B$5)/A461</f>
        <v/>
      </c>
      <c r="C461" s="15">
        <f>C460+B461</f>
        <v/>
      </c>
      <c r="D461" s="6">
        <f>D460-(1-C460)</f>
        <v/>
      </c>
      <c r="E461" s="22">
        <f>C461&gt;=Fit!$B$32</f>
        <v/>
      </c>
    </row>
    <row r="462">
      <c r="A462" s="12" t="n">
        <v>444</v>
      </c>
      <c r="B462" s="21">
        <f>B461*(A462+$B$7-1)*(1-$B$5)/A462</f>
        <v/>
      </c>
      <c r="C462" s="15">
        <f>C461+B462</f>
        <v/>
      </c>
      <c r="D462" s="6">
        <f>D461-(1-C461)</f>
        <v/>
      </c>
      <c r="E462" s="22">
        <f>C462&gt;=Fit!$B$32</f>
        <v/>
      </c>
    </row>
    <row r="463">
      <c r="A463" s="12" t="n">
        <v>445</v>
      </c>
      <c r="B463" s="21">
        <f>B462*(A463+$B$7-1)*(1-$B$5)/A463</f>
        <v/>
      </c>
      <c r="C463" s="15">
        <f>C462+B463</f>
        <v/>
      </c>
      <c r="D463" s="6">
        <f>D462-(1-C462)</f>
        <v/>
      </c>
      <c r="E463" s="22">
        <f>C463&gt;=Fit!$B$32</f>
        <v/>
      </c>
    </row>
    <row r="464">
      <c r="A464" s="12" t="n">
        <v>446</v>
      </c>
      <c r="B464" s="21">
        <f>B463*(A464+$B$7-1)*(1-$B$5)/A464</f>
        <v/>
      </c>
      <c r="C464" s="15">
        <f>C463+B464</f>
        <v/>
      </c>
      <c r="D464" s="6">
        <f>D463-(1-C463)</f>
        <v/>
      </c>
      <c r="E464" s="22">
        <f>C464&gt;=Fit!$B$32</f>
        <v/>
      </c>
    </row>
    <row r="465">
      <c r="A465" s="12" t="n">
        <v>447</v>
      </c>
      <c r="B465" s="21">
        <f>B464*(A465+$B$7-1)*(1-$B$5)/A465</f>
        <v/>
      </c>
      <c r="C465" s="15">
        <f>C464+B465</f>
        <v/>
      </c>
      <c r="D465" s="6">
        <f>D464-(1-C464)</f>
        <v/>
      </c>
      <c r="E465" s="22">
        <f>C465&gt;=Fit!$B$32</f>
        <v/>
      </c>
    </row>
    <row r="466">
      <c r="A466" s="12" t="n">
        <v>448</v>
      </c>
      <c r="B466" s="21">
        <f>B465*(A466+$B$7-1)*(1-$B$5)/A466</f>
        <v/>
      </c>
      <c r="C466" s="15">
        <f>C465+B466</f>
        <v/>
      </c>
      <c r="D466" s="6">
        <f>D465-(1-C465)</f>
        <v/>
      </c>
      <c r="E466" s="22">
        <f>C466&gt;=Fit!$B$32</f>
        <v/>
      </c>
    </row>
    <row r="467">
      <c r="A467" s="12" t="n">
        <v>449</v>
      </c>
      <c r="B467" s="21">
        <f>B466*(A467+$B$7-1)*(1-$B$5)/A467</f>
        <v/>
      </c>
      <c r="C467" s="15">
        <f>C466+B467</f>
        <v/>
      </c>
      <c r="D467" s="6">
        <f>D466-(1-C466)</f>
        <v/>
      </c>
      <c r="E467" s="22">
        <f>C467&gt;=Fit!$B$32</f>
        <v/>
      </c>
    </row>
    <row r="468">
      <c r="A468" s="12" t="n">
        <v>450</v>
      </c>
      <c r="B468" s="21">
        <f>B467*(A468+$B$7-1)*(1-$B$5)/A468</f>
        <v/>
      </c>
      <c r="C468" s="15">
        <f>C467+B468</f>
        <v/>
      </c>
      <c r="D468" s="6">
        <f>D467-(1-C467)</f>
        <v/>
      </c>
      <c r="E468" s="22">
        <f>C468&gt;=Fit!$B$32</f>
        <v/>
      </c>
    </row>
    <row r="469">
      <c r="A469" s="12" t="n">
        <v>451</v>
      </c>
      <c r="B469" s="21">
        <f>B468*(A469+$B$7-1)*(1-$B$5)/A469</f>
        <v/>
      </c>
      <c r="C469" s="15">
        <f>C468+B469</f>
        <v/>
      </c>
      <c r="D469" s="6">
        <f>D468-(1-C468)</f>
        <v/>
      </c>
      <c r="E469" s="22">
        <f>C469&gt;=Fit!$B$32</f>
        <v/>
      </c>
    </row>
    <row r="470">
      <c r="A470" s="12" t="n">
        <v>452</v>
      </c>
      <c r="B470" s="21">
        <f>B469*(A470+$B$7-1)*(1-$B$5)/A470</f>
        <v/>
      </c>
      <c r="C470" s="15">
        <f>C469+B470</f>
        <v/>
      </c>
      <c r="D470" s="6">
        <f>D469-(1-C469)</f>
        <v/>
      </c>
      <c r="E470" s="22">
        <f>C470&gt;=Fit!$B$32</f>
        <v/>
      </c>
    </row>
    <row r="471">
      <c r="A471" s="12" t="n">
        <v>453</v>
      </c>
      <c r="B471" s="21">
        <f>B470*(A471+$B$7-1)*(1-$B$5)/A471</f>
        <v/>
      </c>
      <c r="C471" s="15">
        <f>C470+B471</f>
        <v/>
      </c>
      <c r="D471" s="6">
        <f>D470-(1-C470)</f>
        <v/>
      </c>
      <c r="E471" s="22">
        <f>C471&gt;=Fit!$B$32</f>
        <v/>
      </c>
    </row>
    <row r="472">
      <c r="A472" s="12" t="n">
        <v>454</v>
      </c>
      <c r="B472" s="21">
        <f>B471*(A472+$B$7-1)*(1-$B$5)/A472</f>
        <v/>
      </c>
      <c r="C472" s="15">
        <f>C471+B472</f>
        <v/>
      </c>
      <c r="D472" s="6">
        <f>D471-(1-C471)</f>
        <v/>
      </c>
      <c r="E472" s="22">
        <f>C472&gt;=Fit!$B$32</f>
        <v/>
      </c>
    </row>
    <row r="473">
      <c r="A473" s="12" t="n">
        <v>455</v>
      </c>
      <c r="B473" s="21">
        <f>B472*(A473+$B$7-1)*(1-$B$5)/A473</f>
        <v/>
      </c>
      <c r="C473" s="15">
        <f>C472+B473</f>
        <v/>
      </c>
      <c r="D473" s="6">
        <f>D472-(1-C472)</f>
        <v/>
      </c>
      <c r="E473" s="22">
        <f>C473&gt;=Fit!$B$32</f>
        <v/>
      </c>
    </row>
    <row r="474">
      <c r="A474" s="12" t="n">
        <v>456</v>
      </c>
      <c r="B474" s="21">
        <f>B473*(A474+$B$7-1)*(1-$B$5)/A474</f>
        <v/>
      </c>
      <c r="C474" s="15">
        <f>C473+B474</f>
        <v/>
      </c>
      <c r="D474" s="6">
        <f>D473-(1-C473)</f>
        <v/>
      </c>
      <c r="E474" s="22">
        <f>C474&gt;=Fit!$B$32</f>
        <v/>
      </c>
    </row>
    <row r="475">
      <c r="A475" s="12" t="n">
        <v>457</v>
      </c>
      <c r="B475" s="21">
        <f>B474*(A475+$B$7-1)*(1-$B$5)/A475</f>
        <v/>
      </c>
      <c r="C475" s="15">
        <f>C474+B475</f>
        <v/>
      </c>
      <c r="D475" s="6">
        <f>D474-(1-C474)</f>
        <v/>
      </c>
      <c r="E475" s="22">
        <f>C475&gt;=Fit!$B$32</f>
        <v/>
      </c>
    </row>
    <row r="476">
      <c r="A476" s="12" t="n">
        <v>458</v>
      </c>
      <c r="B476" s="21">
        <f>B475*(A476+$B$7-1)*(1-$B$5)/A476</f>
        <v/>
      </c>
      <c r="C476" s="15">
        <f>C475+B476</f>
        <v/>
      </c>
      <c r="D476" s="6">
        <f>D475-(1-C475)</f>
        <v/>
      </c>
      <c r="E476" s="22">
        <f>C476&gt;=Fit!$B$32</f>
        <v/>
      </c>
    </row>
    <row r="477">
      <c r="A477" s="12" t="n">
        <v>459</v>
      </c>
      <c r="B477" s="21">
        <f>B476*(A477+$B$7-1)*(1-$B$5)/A477</f>
        <v/>
      </c>
      <c r="C477" s="15">
        <f>C476+B477</f>
        <v/>
      </c>
      <c r="D477" s="6">
        <f>D476-(1-C476)</f>
        <v/>
      </c>
      <c r="E477" s="22">
        <f>C477&gt;=Fit!$B$32</f>
        <v/>
      </c>
    </row>
    <row r="478">
      <c r="A478" s="12" t="n">
        <v>460</v>
      </c>
      <c r="B478" s="21">
        <f>B477*(A478+$B$7-1)*(1-$B$5)/A478</f>
        <v/>
      </c>
      <c r="C478" s="15">
        <f>C477+B478</f>
        <v/>
      </c>
      <c r="D478" s="6">
        <f>D477-(1-C477)</f>
        <v/>
      </c>
      <c r="E478" s="22">
        <f>C478&gt;=Fit!$B$32</f>
        <v/>
      </c>
    </row>
    <row r="479">
      <c r="A479" s="12" t="n">
        <v>461</v>
      </c>
      <c r="B479" s="21">
        <f>B478*(A479+$B$7-1)*(1-$B$5)/A479</f>
        <v/>
      </c>
      <c r="C479" s="15">
        <f>C478+B479</f>
        <v/>
      </c>
      <c r="D479" s="6">
        <f>D478-(1-C478)</f>
        <v/>
      </c>
      <c r="E479" s="22">
        <f>C479&gt;=Fit!$B$32</f>
        <v/>
      </c>
    </row>
    <row r="480">
      <c r="A480" s="12" t="n">
        <v>462</v>
      </c>
      <c r="B480" s="21">
        <f>B479*(A480+$B$7-1)*(1-$B$5)/A480</f>
        <v/>
      </c>
      <c r="C480" s="15">
        <f>C479+B480</f>
        <v/>
      </c>
      <c r="D480" s="6">
        <f>D479-(1-C479)</f>
        <v/>
      </c>
      <c r="E480" s="22">
        <f>C480&gt;=Fit!$B$32</f>
        <v/>
      </c>
    </row>
    <row r="481">
      <c r="A481" s="12" t="n">
        <v>463</v>
      </c>
      <c r="B481" s="21">
        <f>B480*(A481+$B$7-1)*(1-$B$5)/A481</f>
        <v/>
      </c>
      <c r="C481" s="15">
        <f>C480+B481</f>
        <v/>
      </c>
      <c r="D481" s="6">
        <f>D480-(1-C480)</f>
        <v/>
      </c>
      <c r="E481" s="22">
        <f>C481&gt;=Fit!$B$32</f>
        <v/>
      </c>
    </row>
    <row r="482">
      <c r="A482" s="12" t="n">
        <v>464</v>
      </c>
      <c r="B482" s="21">
        <f>B481*(A482+$B$7-1)*(1-$B$5)/A482</f>
        <v/>
      </c>
      <c r="C482" s="15">
        <f>C481+B482</f>
        <v/>
      </c>
      <c r="D482" s="6">
        <f>D481-(1-C481)</f>
        <v/>
      </c>
      <c r="E482" s="22">
        <f>C482&gt;=Fit!$B$32</f>
        <v/>
      </c>
    </row>
    <row r="483">
      <c r="A483" s="12" t="n">
        <v>465</v>
      </c>
      <c r="B483" s="21">
        <f>B482*(A483+$B$7-1)*(1-$B$5)/A483</f>
        <v/>
      </c>
      <c r="C483" s="15">
        <f>C482+B483</f>
        <v/>
      </c>
      <c r="D483" s="6">
        <f>D482-(1-C482)</f>
        <v/>
      </c>
      <c r="E483" s="22">
        <f>C483&gt;=Fit!$B$32</f>
        <v/>
      </c>
    </row>
    <row r="484">
      <c r="A484" s="12" t="n">
        <v>466</v>
      </c>
      <c r="B484" s="21">
        <f>B483*(A484+$B$7-1)*(1-$B$5)/A484</f>
        <v/>
      </c>
      <c r="C484" s="15">
        <f>C483+B484</f>
        <v/>
      </c>
      <c r="D484" s="6">
        <f>D483-(1-C483)</f>
        <v/>
      </c>
      <c r="E484" s="22">
        <f>C484&gt;=Fit!$B$32</f>
        <v/>
      </c>
    </row>
    <row r="485">
      <c r="A485" s="12" t="n">
        <v>467</v>
      </c>
      <c r="B485" s="21">
        <f>B484*(A485+$B$7-1)*(1-$B$5)/A485</f>
        <v/>
      </c>
      <c r="C485" s="15">
        <f>C484+B485</f>
        <v/>
      </c>
      <c r="D485" s="6">
        <f>D484-(1-C484)</f>
        <v/>
      </c>
      <c r="E485" s="22">
        <f>C485&gt;=Fit!$B$32</f>
        <v/>
      </c>
    </row>
    <row r="486">
      <c r="A486" s="12" t="n">
        <v>468</v>
      </c>
      <c r="B486" s="21">
        <f>B485*(A486+$B$7-1)*(1-$B$5)/A486</f>
        <v/>
      </c>
      <c r="C486" s="15">
        <f>C485+B486</f>
        <v/>
      </c>
      <c r="D486" s="6">
        <f>D485-(1-C485)</f>
        <v/>
      </c>
      <c r="E486" s="22">
        <f>C486&gt;=Fit!$B$32</f>
        <v/>
      </c>
    </row>
    <row r="487">
      <c r="A487" s="12" t="n">
        <v>469</v>
      </c>
      <c r="B487" s="21">
        <f>B486*(A487+$B$7-1)*(1-$B$5)/A487</f>
        <v/>
      </c>
      <c r="C487" s="15">
        <f>C486+B487</f>
        <v/>
      </c>
      <c r="D487" s="6">
        <f>D486-(1-C486)</f>
        <v/>
      </c>
      <c r="E487" s="22">
        <f>C487&gt;=Fit!$B$32</f>
        <v/>
      </c>
    </row>
    <row r="488">
      <c r="A488" s="12" t="n">
        <v>470</v>
      </c>
      <c r="B488" s="21">
        <f>B487*(A488+$B$7-1)*(1-$B$5)/A488</f>
        <v/>
      </c>
      <c r="C488" s="15">
        <f>C487+B488</f>
        <v/>
      </c>
      <c r="D488" s="6">
        <f>D487-(1-C487)</f>
        <v/>
      </c>
      <c r="E488" s="22">
        <f>C488&gt;=Fit!$B$32</f>
        <v/>
      </c>
    </row>
    <row r="489">
      <c r="A489" s="12" t="n">
        <v>471</v>
      </c>
      <c r="B489" s="21">
        <f>B488*(A489+$B$7-1)*(1-$B$5)/A489</f>
        <v/>
      </c>
      <c r="C489" s="15">
        <f>C488+B489</f>
        <v/>
      </c>
      <c r="D489" s="6">
        <f>D488-(1-C488)</f>
        <v/>
      </c>
      <c r="E489" s="22">
        <f>C489&gt;=Fit!$B$32</f>
        <v/>
      </c>
    </row>
    <row r="490">
      <c r="A490" s="12" t="n">
        <v>472</v>
      </c>
      <c r="B490" s="21">
        <f>B489*(A490+$B$7-1)*(1-$B$5)/A490</f>
        <v/>
      </c>
      <c r="C490" s="15">
        <f>C489+B490</f>
        <v/>
      </c>
      <c r="D490" s="6">
        <f>D489-(1-C489)</f>
        <v/>
      </c>
      <c r="E490" s="22">
        <f>C490&gt;=Fit!$B$32</f>
        <v/>
      </c>
    </row>
    <row r="491">
      <c r="A491" s="12" t="n">
        <v>473</v>
      </c>
      <c r="B491" s="21">
        <f>B490*(A491+$B$7-1)*(1-$B$5)/A491</f>
        <v/>
      </c>
      <c r="C491" s="15">
        <f>C490+B491</f>
        <v/>
      </c>
      <c r="D491" s="6">
        <f>D490-(1-C490)</f>
        <v/>
      </c>
      <c r="E491" s="22">
        <f>C491&gt;=Fit!$B$32</f>
        <v/>
      </c>
    </row>
    <row r="492">
      <c r="A492" s="12" t="n">
        <v>474</v>
      </c>
      <c r="B492" s="21">
        <f>B491*(A492+$B$7-1)*(1-$B$5)/A492</f>
        <v/>
      </c>
      <c r="C492" s="15">
        <f>C491+B492</f>
        <v/>
      </c>
      <c r="D492" s="6">
        <f>D491-(1-C491)</f>
        <v/>
      </c>
      <c r="E492" s="22">
        <f>C492&gt;=Fit!$B$32</f>
        <v/>
      </c>
    </row>
    <row r="493">
      <c r="A493" s="12" t="n">
        <v>475</v>
      </c>
      <c r="B493" s="21">
        <f>B492*(A493+$B$7-1)*(1-$B$5)/A493</f>
        <v/>
      </c>
      <c r="C493" s="15">
        <f>C492+B493</f>
        <v/>
      </c>
      <c r="D493" s="6">
        <f>D492-(1-C492)</f>
        <v/>
      </c>
      <c r="E493" s="22">
        <f>C493&gt;=Fit!$B$32</f>
        <v/>
      </c>
    </row>
    <row r="494">
      <c r="A494" s="12" t="n">
        <v>476</v>
      </c>
      <c r="B494" s="21">
        <f>B493*(A494+$B$7-1)*(1-$B$5)/A494</f>
        <v/>
      </c>
      <c r="C494" s="15">
        <f>C493+B494</f>
        <v/>
      </c>
      <c r="D494" s="6">
        <f>D493-(1-C493)</f>
        <v/>
      </c>
      <c r="E494" s="22">
        <f>C494&gt;=Fit!$B$32</f>
        <v/>
      </c>
    </row>
    <row r="495">
      <c r="A495" s="12" t="n">
        <v>477</v>
      </c>
      <c r="B495" s="21">
        <f>B494*(A495+$B$7-1)*(1-$B$5)/A495</f>
        <v/>
      </c>
      <c r="C495" s="15">
        <f>C494+B495</f>
        <v/>
      </c>
      <c r="D495" s="6">
        <f>D494-(1-C494)</f>
        <v/>
      </c>
      <c r="E495" s="22">
        <f>C495&gt;=Fit!$B$32</f>
        <v/>
      </c>
    </row>
    <row r="496">
      <c r="A496" s="12" t="n">
        <v>478</v>
      </c>
      <c r="B496" s="21">
        <f>B495*(A496+$B$7-1)*(1-$B$5)/A496</f>
        <v/>
      </c>
      <c r="C496" s="15">
        <f>C495+B496</f>
        <v/>
      </c>
      <c r="D496" s="6">
        <f>D495-(1-C495)</f>
        <v/>
      </c>
      <c r="E496" s="22">
        <f>C496&gt;=Fit!$B$32</f>
        <v/>
      </c>
    </row>
    <row r="497">
      <c r="A497" s="12" t="n">
        <v>479</v>
      </c>
      <c r="B497" s="21">
        <f>B496*(A497+$B$7-1)*(1-$B$5)/A497</f>
        <v/>
      </c>
      <c r="C497" s="15">
        <f>C496+B497</f>
        <v/>
      </c>
      <c r="D497" s="6">
        <f>D496-(1-C496)</f>
        <v/>
      </c>
      <c r="E497" s="22">
        <f>C497&gt;=Fit!$B$32</f>
        <v/>
      </c>
    </row>
    <row r="498">
      <c r="A498" s="12" t="n">
        <v>480</v>
      </c>
      <c r="B498" s="21">
        <f>B497*(A498+$B$7-1)*(1-$B$5)/A498</f>
        <v/>
      </c>
      <c r="C498" s="15">
        <f>C497+B498</f>
        <v/>
      </c>
      <c r="D498" s="6">
        <f>D497-(1-C497)</f>
        <v/>
      </c>
      <c r="E498" s="22">
        <f>C498&gt;=Fit!$B$32</f>
        <v/>
      </c>
    </row>
    <row r="499">
      <c r="A499" s="12" t="n">
        <v>481</v>
      </c>
      <c r="B499" s="21">
        <f>B498*(A499+$B$7-1)*(1-$B$5)/A499</f>
        <v/>
      </c>
      <c r="C499" s="15">
        <f>C498+B499</f>
        <v/>
      </c>
      <c r="D499" s="6">
        <f>D498-(1-C498)</f>
        <v/>
      </c>
      <c r="E499" s="22">
        <f>C499&gt;=Fit!$B$32</f>
        <v/>
      </c>
    </row>
    <row r="500">
      <c r="A500" s="12" t="n">
        <v>482</v>
      </c>
      <c r="B500" s="21">
        <f>B499*(A500+$B$7-1)*(1-$B$5)/A500</f>
        <v/>
      </c>
      <c r="C500" s="15">
        <f>C499+B500</f>
        <v/>
      </c>
      <c r="D500" s="6">
        <f>D499-(1-C499)</f>
        <v/>
      </c>
      <c r="E500" s="22">
        <f>C500&gt;=Fit!$B$32</f>
        <v/>
      </c>
    </row>
    <row r="501">
      <c r="A501" s="12" t="n">
        <v>483</v>
      </c>
      <c r="B501" s="21">
        <f>B500*(A501+$B$7-1)*(1-$B$5)/A501</f>
        <v/>
      </c>
      <c r="C501" s="15">
        <f>C500+B501</f>
        <v/>
      </c>
      <c r="D501" s="6">
        <f>D500-(1-C500)</f>
        <v/>
      </c>
      <c r="E501" s="22">
        <f>C501&gt;=Fit!$B$32</f>
        <v/>
      </c>
    </row>
    <row r="502">
      <c r="A502" s="12" t="n">
        <v>484</v>
      </c>
      <c r="B502" s="21">
        <f>B501*(A502+$B$7-1)*(1-$B$5)/A502</f>
        <v/>
      </c>
      <c r="C502" s="15">
        <f>C501+B502</f>
        <v/>
      </c>
      <c r="D502" s="6">
        <f>D501-(1-C501)</f>
        <v/>
      </c>
      <c r="E502" s="22">
        <f>C502&gt;=Fit!$B$32</f>
        <v/>
      </c>
    </row>
    <row r="503">
      <c r="A503" s="12" t="n">
        <v>485</v>
      </c>
      <c r="B503" s="21">
        <f>B502*(A503+$B$7-1)*(1-$B$5)/A503</f>
        <v/>
      </c>
      <c r="C503" s="15">
        <f>C502+B503</f>
        <v/>
      </c>
      <c r="D503" s="6">
        <f>D502-(1-C502)</f>
        <v/>
      </c>
      <c r="E503" s="22">
        <f>C503&gt;=Fit!$B$32</f>
        <v/>
      </c>
    </row>
    <row r="504">
      <c r="A504" s="12" t="n">
        <v>486</v>
      </c>
      <c r="B504" s="21">
        <f>B503*(A504+$B$7-1)*(1-$B$5)/A504</f>
        <v/>
      </c>
      <c r="C504" s="15">
        <f>C503+B504</f>
        <v/>
      </c>
      <c r="D504" s="6">
        <f>D503-(1-C503)</f>
        <v/>
      </c>
      <c r="E504" s="22">
        <f>C504&gt;=Fit!$B$32</f>
        <v/>
      </c>
    </row>
    <row r="505">
      <c r="A505" s="12" t="n">
        <v>487</v>
      </c>
      <c r="B505" s="21">
        <f>B504*(A505+$B$7-1)*(1-$B$5)/A505</f>
        <v/>
      </c>
      <c r="C505" s="15">
        <f>C504+B505</f>
        <v/>
      </c>
      <c r="D505" s="6">
        <f>D504-(1-C504)</f>
        <v/>
      </c>
      <c r="E505" s="22">
        <f>C505&gt;=Fit!$B$32</f>
        <v/>
      </c>
    </row>
    <row r="506">
      <c r="A506" s="12" t="n">
        <v>488</v>
      </c>
      <c r="B506" s="21">
        <f>B505*(A506+$B$7-1)*(1-$B$5)/A506</f>
        <v/>
      </c>
      <c r="C506" s="15">
        <f>C505+B506</f>
        <v/>
      </c>
      <c r="D506" s="6">
        <f>D505-(1-C505)</f>
        <v/>
      </c>
      <c r="E506" s="22">
        <f>C506&gt;=Fit!$B$32</f>
        <v/>
      </c>
    </row>
    <row r="507">
      <c r="A507" s="12" t="n">
        <v>489</v>
      </c>
      <c r="B507" s="21">
        <f>B506*(A507+$B$7-1)*(1-$B$5)/A507</f>
        <v/>
      </c>
      <c r="C507" s="15">
        <f>C506+B507</f>
        <v/>
      </c>
      <c r="D507" s="6">
        <f>D506-(1-C506)</f>
        <v/>
      </c>
      <c r="E507" s="22">
        <f>C507&gt;=Fit!$B$32</f>
        <v/>
      </c>
    </row>
    <row r="508">
      <c r="A508" s="12" t="n">
        <v>490</v>
      </c>
      <c r="B508" s="21">
        <f>B507*(A508+$B$7-1)*(1-$B$5)/A508</f>
        <v/>
      </c>
      <c r="C508" s="15">
        <f>C507+B508</f>
        <v/>
      </c>
      <c r="D508" s="6">
        <f>D507-(1-C507)</f>
        <v/>
      </c>
      <c r="E508" s="22">
        <f>C508&gt;=Fit!$B$32</f>
        <v/>
      </c>
    </row>
    <row r="509">
      <c r="A509" s="12" t="n">
        <v>491</v>
      </c>
      <c r="B509" s="21">
        <f>B508*(A509+$B$7-1)*(1-$B$5)/A509</f>
        <v/>
      </c>
      <c r="C509" s="15">
        <f>C508+B509</f>
        <v/>
      </c>
      <c r="D509" s="6">
        <f>D508-(1-C508)</f>
        <v/>
      </c>
      <c r="E509" s="22">
        <f>C509&gt;=Fit!$B$32</f>
        <v/>
      </c>
    </row>
    <row r="510">
      <c r="A510" s="12" t="n">
        <v>492</v>
      </c>
      <c r="B510" s="21">
        <f>B509*(A510+$B$7-1)*(1-$B$5)/A510</f>
        <v/>
      </c>
      <c r="C510" s="15">
        <f>C509+B510</f>
        <v/>
      </c>
      <c r="D510" s="6">
        <f>D509-(1-C509)</f>
        <v/>
      </c>
      <c r="E510" s="22">
        <f>C510&gt;=Fit!$B$32</f>
        <v/>
      </c>
    </row>
    <row r="511">
      <c r="A511" s="12" t="n">
        <v>493</v>
      </c>
      <c r="B511" s="21">
        <f>B510*(A511+$B$7-1)*(1-$B$5)/A511</f>
        <v/>
      </c>
      <c r="C511" s="15">
        <f>C510+B511</f>
        <v/>
      </c>
      <c r="D511" s="6">
        <f>D510-(1-C510)</f>
        <v/>
      </c>
      <c r="E511" s="22">
        <f>C511&gt;=Fit!$B$32</f>
        <v/>
      </c>
    </row>
    <row r="512">
      <c r="A512" s="12" t="n">
        <v>494</v>
      </c>
      <c r="B512" s="21">
        <f>B511*(A512+$B$7-1)*(1-$B$5)/A512</f>
        <v/>
      </c>
      <c r="C512" s="15">
        <f>C511+B512</f>
        <v/>
      </c>
      <c r="D512" s="6">
        <f>D511-(1-C511)</f>
        <v/>
      </c>
      <c r="E512" s="22">
        <f>C512&gt;=Fit!$B$32</f>
        <v/>
      </c>
    </row>
    <row r="513">
      <c r="A513" s="12" t="n">
        <v>495</v>
      </c>
      <c r="B513" s="21">
        <f>B512*(A513+$B$7-1)*(1-$B$5)/A513</f>
        <v/>
      </c>
      <c r="C513" s="15">
        <f>C512+B513</f>
        <v/>
      </c>
      <c r="D513" s="6">
        <f>D512-(1-C512)</f>
        <v/>
      </c>
      <c r="E513" s="22">
        <f>C513&gt;=Fit!$B$32</f>
        <v/>
      </c>
    </row>
    <row r="514">
      <c r="A514" s="12" t="n">
        <v>496</v>
      </c>
      <c r="B514" s="21">
        <f>B513*(A514+$B$7-1)*(1-$B$5)/A514</f>
        <v/>
      </c>
      <c r="C514" s="15">
        <f>C513+B514</f>
        <v/>
      </c>
      <c r="D514" s="6">
        <f>D513-(1-C513)</f>
        <v/>
      </c>
      <c r="E514" s="22">
        <f>C514&gt;=Fit!$B$32</f>
        <v/>
      </c>
    </row>
    <row r="515">
      <c r="A515" s="12" t="n">
        <v>497</v>
      </c>
      <c r="B515" s="21">
        <f>B514*(A515+$B$7-1)*(1-$B$5)/A515</f>
        <v/>
      </c>
      <c r="C515" s="15">
        <f>C514+B515</f>
        <v/>
      </c>
      <c r="D515" s="6">
        <f>D514-(1-C514)</f>
        <v/>
      </c>
      <c r="E515" s="22">
        <f>C515&gt;=Fit!$B$32</f>
        <v/>
      </c>
    </row>
    <row r="516">
      <c r="A516" s="12" t="n">
        <v>498</v>
      </c>
      <c r="B516" s="21">
        <f>B515*(A516+$B$7-1)*(1-$B$5)/A516</f>
        <v/>
      </c>
      <c r="C516" s="15">
        <f>C515+B516</f>
        <v/>
      </c>
      <c r="D516" s="6">
        <f>D515-(1-C515)</f>
        <v/>
      </c>
      <c r="E516" s="22">
        <f>C516&gt;=Fit!$B$32</f>
        <v/>
      </c>
    </row>
    <row r="517">
      <c r="A517" s="12" t="n">
        <v>499</v>
      </c>
      <c r="B517" s="21">
        <f>B516*(A517+$B$7-1)*(1-$B$5)/A517</f>
        <v/>
      </c>
      <c r="C517" s="15">
        <f>C516+B517</f>
        <v/>
      </c>
      <c r="D517" s="6">
        <f>D516-(1-C516)</f>
        <v/>
      </c>
      <c r="E517" s="22">
        <f>C517&gt;=Fit!$B$32</f>
        <v/>
      </c>
    </row>
    <row r="518">
      <c r="A518" s="12" t="n">
        <v>500</v>
      </c>
      <c r="B518" s="21">
        <f>B517*(A518+$B$7-1)*(1-$B$5)/A518</f>
        <v/>
      </c>
      <c r="C518" s="15">
        <f>C517+B518</f>
        <v/>
      </c>
      <c r="D518" s="6">
        <f>D517-(1-C517)</f>
        <v/>
      </c>
      <c r="E518" s="22">
        <f>C518&gt;=Fit!$B$32</f>
        <v/>
      </c>
    </row>
    <row r="519">
      <c r="A519" s="12" t="n">
        <v>501</v>
      </c>
      <c r="B519" s="21">
        <f>B518*(A519+$B$7-1)*(1-$B$5)/A519</f>
        <v/>
      </c>
      <c r="C519" s="15">
        <f>C518+B519</f>
        <v/>
      </c>
      <c r="D519" s="6">
        <f>D518-(1-C518)</f>
        <v/>
      </c>
      <c r="E519" s="22">
        <f>C519&gt;=Fit!$B$32</f>
        <v/>
      </c>
    </row>
    <row r="520">
      <c r="A520" s="12" t="n">
        <v>502</v>
      </c>
      <c r="B520" s="21">
        <f>B519*(A520+$B$7-1)*(1-$B$5)/A520</f>
        <v/>
      </c>
      <c r="C520" s="15">
        <f>C519+B520</f>
        <v/>
      </c>
      <c r="D520" s="6">
        <f>D519-(1-C519)</f>
        <v/>
      </c>
      <c r="E520" s="22">
        <f>C520&gt;=Fit!$B$32</f>
        <v/>
      </c>
    </row>
    <row r="521">
      <c r="A521" s="12" t="n">
        <v>503</v>
      </c>
      <c r="B521" s="21">
        <f>B520*(A521+$B$7-1)*(1-$B$5)/A521</f>
        <v/>
      </c>
      <c r="C521" s="15">
        <f>C520+B521</f>
        <v/>
      </c>
      <c r="D521" s="6">
        <f>D520-(1-C520)</f>
        <v/>
      </c>
      <c r="E521" s="22">
        <f>C521&gt;=Fit!$B$32</f>
        <v/>
      </c>
    </row>
    <row r="522">
      <c r="A522" s="12" t="n">
        <v>504</v>
      </c>
      <c r="B522" s="21">
        <f>B521*(A522+$B$7-1)*(1-$B$5)/A522</f>
        <v/>
      </c>
      <c r="C522" s="15">
        <f>C521+B522</f>
        <v/>
      </c>
      <c r="D522" s="6">
        <f>D521-(1-C521)</f>
        <v/>
      </c>
      <c r="E522" s="22">
        <f>C522&gt;=Fit!$B$32</f>
        <v/>
      </c>
    </row>
    <row r="523">
      <c r="A523" s="12" t="n">
        <v>505</v>
      </c>
      <c r="B523" s="21">
        <f>B522*(A523+$B$7-1)*(1-$B$5)/A523</f>
        <v/>
      </c>
      <c r="C523" s="15">
        <f>C522+B523</f>
        <v/>
      </c>
      <c r="D523" s="6">
        <f>D522-(1-C522)</f>
        <v/>
      </c>
      <c r="E523" s="22">
        <f>C523&gt;=Fit!$B$32</f>
        <v/>
      </c>
    </row>
    <row r="524">
      <c r="A524" s="12" t="n">
        <v>506</v>
      </c>
      <c r="B524" s="21">
        <f>B523*(A524+$B$7-1)*(1-$B$5)/A524</f>
        <v/>
      </c>
      <c r="C524" s="15">
        <f>C523+B524</f>
        <v/>
      </c>
      <c r="D524" s="6">
        <f>D523-(1-C523)</f>
        <v/>
      </c>
      <c r="E524" s="22">
        <f>C524&gt;=Fit!$B$32</f>
        <v/>
      </c>
    </row>
    <row r="525">
      <c r="A525" s="12" t="n">
        <v>507</v>
      </c>
      <c r="B525" s="21">
        <f>B524*(A525+$B$7-1)*(1-$B$5)/A525</f>
        <v/>
      </c>
      <c r="C525" s="15">
        <f>C524+B525</f>
        <v/>
      </c>
      <c r="D525" s="6">
        <f>D524-(1-C524)</f>
        <v/>
      </c>
      <c r="E525" s="22">
        <f>C525&gt;=Fit!$B$32</f>
        <v/>
      </c>
    </row>
    <row r="526">
      <c r="A526" s="12" t="n">
        <v>508</v>
      </c>
      <c r="B526" s="21">
        <f>B525*(A526+$B$7-1)*(1-$B$5)/A526</f>
        <v/>
      </c>
      <c r="C526" s="15">
        <f>C525+B526</f>
        <v/>
      </c>
      <c r="D526" s="6">
        <f>D525-(1-C525)</f>
        <v/>
      </c>
      <c r="E526" s="22">
        <f>C526&gt;=Fit!$B$32</f>
        <v/>
      </c>
    </row>
    <row r="527">
      <c r="A527" s="12" t="n">
        <v>509</v>
      </c>
      <c r="B527" s="21">
        <f>B526*(A527+$B$7-1)*(1-$B$5)/A527</f>
        <v/>
      </c>
      <c r="C527" s="15">
        <f>C526+B527</f>
        <v/>
      </c>
      <c r="D527" s="6">
        <f>D526-(1-C526)</f>
        <v/>
      </c>
      <c r="E527" s="22">
        <f>C527&gt;=Fit!$B$32</f>
        <v/>
      </c>
    </row>
    <row r="528">
      <c r="A528" s="12" t="n">
        <v>510</v>
      </c>
      <c r="B528" s="21">
        <f>B527*(A528+$B$7-1)*(1-$B$5)/A528</f>
        <v/>
      </c>
      <c r="C528" s="15">
        <f>C527+B528</f>
        <v/>
      </c>
      <c r="D528" s="6">
        <f>D527-(1-C527)</f>
        <v/>
      </c>
      <c r="E528" s="22">
        <f>C528&gt;=Fit!$B$32</f>
        <v/>
      </c>
    </row>
    <row r="529">
      <c r="A529" s="12" t="n">
        <v>511</v>
      </c>
      <c r="B529" s="21">
        <f>B528*(A529+$B$7-1)*(1-$B$5)/A529</f>
        <v/>
      </c>
      <c r="C529" s="15">
        <f>C528+B529</f>
        <v/>
      </c>
      <c r="D529" s="6">
        <f>D528-(1-C528)</f>
        <v/>
      </c>
      <c r="E529" s="22">
        <f>C529&gt;=Fit!$B$32</f>
        <v/>
      </c>
    </row>
    <row r="530">
      <c r="A530" s="12" t="n">
        <v>512</v>
      </c>
      <c r="B530" s="21">
        <f>B529*(A530+$B$7-1)*(1-$B$5)/A530</f>
        <v/>
      </c>
      <c r="C530" s="15">
        <f>C529+B530</f>
        <v/>
      </c>
      <c r="D530" s="6">
        <f>D529-(1-C529)</f>
        <v/>
      </c>
      <c r="E530" s="22">
        <f>C530&gt;=Fit!$B$32</f>
        <v/>
      </c>
    </row>
    <row r="531">
      <c r="A531" s="12" t="n">
        <v>513</v>
      </c>
      <c r="B531" s="21">
        <f>B530*(A531+$B$7-1)*(1-$B$5)/A531</f>
        <v/>
      </c>
      <c r="C531" s="15">
        <f>C530+B531</f>
        <v/>
      </c>
      <c r="D531" s="6">
        <f>D530-(1-C530)</f>
        <v/>
      </c>
      <c r="E531" s="22">
        <f>C531&gt;=Fit!$B$32</f>
        <v/>
      </c>
    </row>
    <row r="532">
      <c r="A532" s="12" t="n">
        <v>514</v>
      </c>
      <c r="B532" s="21">
        <f>B531*(A532+$B$7-1)*(1-$B$5)/A532</f>
        <v/>
      </c>
      <c r="C532" s="15">
        <f>C531+B532</f>
        <v/>
      </c>
      <c r="D532" s="6">
        <f>D531-(1-C531)</f>
        <v/>
      </c>
      <c r="E532" s="22">
        <f>C532&gt;=Fit!$B$32</f>
        <v/>
      </c>
    </row>
    <row r="533">
      <c r="A533" s="12" t="n">
        <v>515</v>
      </c>
      <c r="B533" s="21">
        <f>B532*(A533+$B$7-1)*(1-$B$5)/A533</f>
        <v/>
      </c>
      <c r="C533" s="15">
        <f>C532+B533</f>
        <v/>
      </c>
      <c r="D533" s="6">
        <f>D532-(1-C532)</f>
        <v/>
      </c>
      <c r="E533" s="22">
        <f>C533&gt;=Fit!$B$32</f>
        <v/>
      </c>
    </row>
    <row r="534">
      <c r="A534" s="12" t="n">
        <v>516</v>
      </c>
      <c r="B534" s="21">
        <f>B533*(A534+$B$7-1)*(1-$B$5)/A534</f>
        <v/>
      </c>
      <c r="C534" s="15">
        <f>C533+B534</f>
        <v/>
      </c>
      <c r="D534" s="6">
        <f>D533-(1-C533)</f>
        <v/>
      </c>
      <c r="E534" s="22">
        <f>C534&gt;=Fit!$B$32</f>
        <v/>
      </c>
    </row>
    <row r="535">
      <c r="A535" s="12" t="n">
        <v>517</v>
      </c>
      <c r="B535" s="21">
        <f>B534*(A535+$B$7-1)*(1-$B$5)/A535</f>
        <v/>
      </c>
      <c r="C535" s="15">
        <f>C534+B535</f>
        <v/>
      </c>
      <c r="D535" s="6">
        <f>D534-(1-C534)</f>
        <v/>
      </c>
      <c r="E535" s="22">
        <f>C535&gt;=Fit!$B$32</f>
        <v/>
      </c>
    </row>
    <row r="536">
      <c r="A536" s="12" t="n">
        <v>518</v>
      </c>
      <c r="B536" s="21">
        <f>B535*(A536+$B$7-1)*(1-$B$5)/A536</f>
        <v/>
      </c>
      <c r="C536" s="15">
        <f>C535+B536</f>
        <v/>
      </c>
      <c r="D536" s="6">
        <f>D535-(1-C535)</f>
        <v/>
      </c>
      <c r="E536" s="22">
        <f>C536&gt;=Fit!$B$32</f>
        <v/>
      </c>
    </row>
    <row r="537">
      <c r="A537" s="12" t="n">
        <v>519</v>
      </c>
      <c r="B537" s="21">
        <f>B536*(A537+$B$7-1)*(1-$B$5)/A537</f>
        <v/>
      </c>
      <c r="C537" s="15">
        <f>C536+B537</f>
        <v/>
      </c>
      <c r="D537" s="6">
        <f>D536-(1-C536)</f>
        <v/>
      </c>
      <c r="E537" s="22">
        <f>C537&gt;=Fit!$B$32</f>
        <v/>
      </c>
    </row>
    <row r="538">
      <c r="A538" s="12" t="n">
        <v>520</v>
      </c>
      <c r="B538" s="21">
        <f>B537*(A538+$B$7-1)*(1-$B$5)/A538</f>
        <v/>
      </c>
      <c r="C538" s="15">
        <f>C537+B538</f>
        <v/>
      </c>
      <c r="D538" s="6">
        <f>D537-(1-C537)</f>
        <v/>
      </c>
      <c r="E538" s="22">
        <f>C538&gt;=Fit!$B$32</f>
        <v/>
      </c>
    </row>
    <row r="539">
      <c r="A539" s="12" t="n">
        <v>521</v>
      </c>
      <c r="B539" s="21">
        <f>B538*(A539+$B$7-1)*(1-$B$5)/A539</f>
        <v/>
      </c>
      <c r="C539" s="15">
        <f>C538+B539</f>
        <v/>
      </c>
      <c r="D539" s="6">
        <f>D538-(1-C538)</f>
        <v/>
      </c>
      <c r="E539" s="22">
        <f>C539&gt;=Fit!$B$32</f>
        <v/>
      </c>
    </row>
    <row r="540">
      <c r="A540" s="12" t="n">
        <v>522</v>
      </c>
      <c r="B540" s="21">
        <f>B539*(A540+$B$7-1)*(1-$B$5)/A540</f>
        <v/>
      </c>
      <c r="C540" s="15">
        <f>C539+B540</f>
        <v/>
      </c>
      <c r="D540" s="6">
        <f>D539-(1-C539)</f>
        <v/>
      </c>
      <c r="E540" s="22">
        <f>C540&gt;=Fit!$B$32</f>
        <v/>
      </c>
    </row>
    <row r="541">
      <c r="A541" s="12" t="n">
        <v>523</v>
      </c>
      <c r="B541" s="21">
        <f>B540*(A541+$B$7-1)*(1-$B$5)/A541</f>
        <v/>
      </c>
      <c r="C541" s="15">
        <f>C540+B541</f>
        <v/>
      </c>
      <c r="D541" s="6">
        <f>D540-(1-C540)</f>
        <v/>
      </c>
      <c r="E541" s="22">
        <f>C541&gt;=Fit!$B$32</f>
        <v/>
      </c>
    </row>
    <row r="542">
      <c r="A542" s="12" t="n">
        <v>524</v>
      </c>
      <c r="B542" s="21">
        <f>B541*(A542+$B$7-1)*(1-$B$5)/A542</f>
        <v/>
      </c>
      <c r="C542" s="15">
        <f>C541+B542</f>
        <v/>
      </c>
      <c r="D542" s="6">
        <f>D541-(1-C541)</f>
        <v/>
      </c>
      <c r="E542" s="22">
        <f>C542&gt;=Fit!$B$32</f>
        <v/>
      </c>
    </row>
    <row r="543">
      <c r="A543" s="12" t="n">
        <v>525</v>
      </c>
      <c r="B543" s="21">
        <f>B542*(A543+$B$7-1)*(1-$B$5)/A543</f>
        <v/>
      </c>
      <c r="C543" s="15">
        <f>C542+B543</f>
        <v/>
      </c>
      <c r="D543" s="6">
        <f>D542-(1-C542)</f>
        <v/>
      </c>
      <c r="E543" s="22">
        <f>C543&gt;=Fit!$B$32</f>
        <v/>
      </c>
    </row>
    <row r="544">
      <c r="A544" s="12" t="n">
        <v>526</v>
      </c>
      <c r="B544" s="21">
        <f>B543*(A544+$B$7-1)*(1-$B$5)/A544</f>
        <v/>
      </c>
      <c r="C544" s="15">
        <f>C543+B544</f>
        <v/>
      </c>
      <c r="D544" s="6">
        <f>D543-(1-C543)</f>
        <v/>
      </c>
      <c r="E544" s="22">
        <f>C544&gt;=Fit!$B$32</f>
        <v/>
      </c>
    </row>
    <row r="545">
      <c r="A545" s="12" t="n">
        <v>527</v>
      </c>
      <c r="B545" s="21">
        <f>B544*(A545+$B$7-1)*(1-$B$5)/A545</f>
        <v/>
      </c>
      <c r="C545" s="15">
        <f>C544+B545</f>
        <v/>
      </c>
      <c r="D545" s="6">
        <f>D544-(1-C544)</f>
        <v/>
      </c>
      <c r="E545" s="22">
        <f>C545&gt;=Fit!$B$32</f>
        <v/>
      </c>
    </row>
    <row r="546">
      <c r="A546" s="12" t="n">
        <v>528</v>
      </c>
      <c r="B546" s="21">
        <f>B545*(A546+$B$7-1)*(1-$B$5)/A546</f>
        <v/>
      </c>
      <c r="C546" s="15">
        <f>C545+B546</f>
        <v/>
      </c>
      <c r="D546" s="6">
        <f>D545-(1-C545)</f>
        <v/>
      </c>
      <c r="E546" s="22">
        <f>C546&gt;=Fit!$B$32</f>
        <v/>
      </c>
    </row>
    <row r="547">
      <c r="A547" s="12" t="n">
        <v>529</v>
      </c>
      <c r="B547" s="21">
        <f>B546*(A547+$B$7-1)*(1-$B$5)/A547</f>
        <v/>
      </c>
      <c r="C547" s="15">
        <f>C546+B547</f>
        <v/>
      </c>
      <c r="D547" s="6">
        <f>D546-(1-C546)</f>
        <v/>
      </c>
      <c r="E547" s="22">
        <f>C547&gt;=Fit!$B$32</f>
        <v/>
      </c>
    </row>
    <row r="548">
      <c r="A548" s="12" t="n">
        <v>530</v>
      </c>
      <c r="B548" s="21">
        <f>B547*(A548+$B$7-1)*(1-$B$5)/A548</f>
        <v/>
      </c>
      <c r="C548" s="15">
        <f>C547+B548</f>
        <v/>
      </c>
      <c r="D548" s="6">
        <f>D547-(1-C547)</f>
        <v/>
      </c>
      <c r="E548" s="22">
        <f>C548&gt;=Fit!$B$32</f>
        <v/>
      </c>
    </row>
    <row r="549">
      <c r="A549" s="12" t="n">
        <v>531</v>
      </c>
      <c r="B549" s="21">
        <f>B548*(A549+$B$7-1)*(1-$B$5)/A549</f>
        <v/>
      </c>
      <c r="C549" s="15">
        <f>C548+B549</f>
        <v/>
      </c>
      <c r="D549" s="6">
        <f>D548-(1-C548)</f>
        <v/>
      </c>
      <c r="E549" s="22">
        <f>C549&gt;=Fit!$B$32</f>
        <v/>
      </c>
    </row>
    <row r="550">
      <c r="A550" s="12" t="n">
        <v>532</v>
      </c>
      <c r="B550" s="21">
        <f>B549*(A550+$B$7-1)*(1-$B$5)/A550</f>
        <v/>
      </c>
      <c r="C550" s="15">
        <f>C549+B550</f>
        <v/>
      </c>
      <c r="D550" s="6">
        <f>D549-(1-C549)</f>
        <v/>
      </c>
      <c r="E550" s="22">
        <f>C550&gt;=Fit!$B$32</f>
        <v/>
      </c>
    </row>
    <row r="551">
      <c r="A551" s="12" t="n">
        <v>533</v>
      </c>
      <c r="B551" s="21">
        <f>B550*(A551+$B$7-1)*(1-$B$5)/A551</f>
        <v/>
      </c>
      <c r="C551" s="15">
        <f>C550+B551</f>
        <v/>
      </c>
      <c r="D551" s="6">
        <f>D550-(1-C550)</f>
        <v/>
      </c>
      <c r="E551" s="22">
        <f>C551&gt;=Fit!$B$32</f>
        <v/>
      </c>
    </row>
    <row r="552">
      <c r="A552" s="12" t="n">
        <v>534</v>
      </c>
      <c r="B552" s="21">
        <f>B551*(A552+$B$7-1)*(1-$B$5)/A552</f>
        <v/>
      </c>
      <c r="C552" s="15">
        <f>C551+B552</f>
        <v/>
      </c>
      <c r="D552" s="6">
        <f>D551-(1-C551)</f>
        <v/>
      </c>
      <c r="E552" s="22">
        <f>C552&gt;=Fit!$B$32</f>
        <v/>
      </c>
    </row>
    <row r="553">
      <c r="A553" s="12" t="n">
        <v>535</v>
      </c>
      <c r="B553" s="21">
        <f>B552*(A553+$B$7-1)*(1-$B$5)/A553</f>
        <v/>
      </c>
      <c r="C553" s="15">
        <f>C552+B553</f>
        <v/>
      </c>
      <c r="D553" s="6">
        <f>D552-(1-C552)</f>
        <v/>
      </c>
      <c r="E553" s="22">
        <f>C553&gt;=Fit!$B$32</f>
        <v/>
      </c>
    </row>
    <row r="554">
      <c r="A554" s="12" t="n">
        <v>536</v>
      </c>
      <c r="B554" s="21">
        <f>B553*(A554+$B$7-1)*(1-$B$5)/A554</f>
        <v/>
      </c>
      <c r="C554" s="15">
        <f>C553+B554</f>
        <v/>
      </c>
      <c r="D554" s="6">
        <f>D553-(1-C553)</f>
        <v/>
      </c>
      <c r="E554" s="22">
        <f>C554&gt;=Fit!$B$32</f>
        <v/>
      </c>
    </row>
    <row r="555">
      <c r="A555" s="12" t="n">
        <v>537</v>
      </c>
      <c r="B555" s="21">
        <f>B554*(A555+$B$7-1)*(1-$B$5)/A555</f>
        <v/>
      </c>
      <c r="C555" s="15">
        <f>C554+B555</f>
        <v/>
      </c>
      <c r="D555" s="6">
        <f>D554-(1-C554)</f>
        <v/>
      </c>
      <c r="E555" s="22">
        <f>C555&gt;=Fit!$B$32</f>
        <v/>
      </c>
    </row>
    <row r="556">
      <c r="A556" s="12" t="n">
        <v>538</v>
      </c>
      <c r="B556" s="21">
        <f>B555*(A556+$B$7-1)*(1-$B$5)/A556</f>
        <v/>
      </c>
      <c r="C556" s="15">
        <f>C555+B556</f>
        <v/>
      </c>
      <c r="D556" s="6">
        <f>D555-(1-C555)</f>
        <v/>
      </c>
      <c r="E556" s="22">
        <f>C556&gt;=Fit!$B$32</f>
        <v/>
      </c>
    </row>
    <row r="557">
      <c r="A557" s="12" t="n">
        <v>539</v>
      </c>
      <c r="B557" s="21">
        <f>B556*(A557+$B$7-1)*(1-$B$5)/A557</f>
        <v/>
      </c>
      <c r="C557" s="15">
        <f>C556+B557</f>
        <v/>
      </c>
      <c r="D557" s="6">
        <f>D556-(1-C556)</f>
        <v/>
      </c>
      <c r="E557" s="22">
        <f>C557&gt;=Fit!$B$32</f>
        <v/>
      </c>
    </row>
    <row r="558">
      <c r="A558" s="12" t="n">
        <v>540</v>
      </c>
      <c r="B558" s="21">
        <f>B557*(A558+$B$7-1)*(1-$B$5)/A558</f>
        <v/>
      </c>
      <c r="C558" s="15">
        <f>C557+B558</f>
        <v/>
      </c>
      <c r="D558" s="6">
        <f>D557-(1-C557)</f>
        <v/>
      </c>
      <c r="E558" s="22">
        <f>C558&gt;=Fit!$B$32</f>
        <v/>
      </c>
    </row>
    <row r="559">
      <c r="A559" s="12" t="n">
        <v>541</v>
      </c>
      <c r="B559" s="21">
        <f>B558*(A559+$B$7-1)*(1-$B$5)/A559</f>
        <v/>
      </c>
      <c r="C559" s="15">
        <f>C558+B559</f>
        <v/>
      </c>
      <c r="D559" s="6">
        <f>D558-(1-C558)</f>
        <v/>
      </c>
      <c r="E559" s="22">
        <f>C559&gt;=Fit!$B$32</f>
        <v/>
      </c>
    </row>
    <row r="560">
      <c r="A560" s="12" t="n">
        <v>542</v>
      </c>
      <c r="B560" s="21">
        <f>B559*(A560+$B$7-1)*(1-$B$5)/A560</f>
        <v/>
      </c>
      <c r="C560" s="15">
        <f>C559+B560</f>
        <v/>
      </c>
      <c r="D560" s="6">
        <f>D559-(1-C559)</f>
        <v/>
      </c>
      <c r="E560" s="22">
        <f>C560&gt;=Fit!$B$32</f>
        <v/>
      </c>
    </row>
    <row r="561">
      <c r="A561" s="12" t="n">
        <v>543</v>
      </c>
      <c r="B561" s="21">
        <f>B560*(A561+$B$7-1)*(1-$B$5)/A561</f>
        <v/>
      </c>
      <c r="C561" s="15">
        <f>C560+B561</f>
        <v/>
      </c>
      <c r="D561" s="6">
        <f>D560-(1-C560)</f>
        <v/>
      </c>
      <c r="E561" s="22">
        <f>C561&gt;=Fit!$B$32</f>
        <v/>
      </c>
    </row>
    <row r="562">
      <c r="A562" s="12" t="n">
        <v>544</v>
      </c>
      <c r="B562" s="21">
        <f>B561*(A562+$B$7-1)*(1-$B$5)/A562</f>
        <v/>
      </c>
      <c r="C562" s="15">
        <f>C561+B562</f>
        <v/>
      </c>
      <c r="D562" s="6">
        <f>D561-(1-C561)</f>
        <v/>
      </c>
      <c r="E562" s="22">
        <f>C562&gt;=Fit!$B$32</f>
        <v/>
      </c>
    </row>
    <row r="563">
      <c r="A563" s="12" t="n">
        <v>545</v>
      </c>
      <c r="B563" s="21">
        <f>B562*(A563+$B$7-1)*(1-$B$5)/A563</f>
        <v/>
      </c>
      <c r="C563" s="15">
        <f>C562+B563</f>
        <v/>
      </c>
      <c r="D563" s="6">
        <f>D562-(1-C562)</f>
        <v/>
      </c>
      <c r="E563" s="22">
        <f>C563&gt;=Fit!$B$32</f>
        <v/>
      </c>
    </row>
    <row r="564">
      <c r="A564" s="12" t="n">
        <v>546</v>
      </c>
      <c r="B564" s="21">
        <f>B563*(A564+$B$7-1)*(1-$B$5)/A564</f>
        <v/>
      </c>
      <c r="C564" s="15">
        <f>C563+B564</f>
        <v/>
      </c>
      <c r="D564" s="6">
        <f>D563-(1-C563)</f>
        <v/>
      </c>
      <c r="E564" s="22">
        <f>C564&gt;=Fit!$B$32</f>
        <v/>
      </c>
    </row>
    <row r="565">
      <c r="A565" s="12" t="n">
        <v>547</v>
      </c>
      <c r="B565" s="21">
        <f>B564*(A565+$B$7-1)*(1-$B$5)/A565</f>
        <v/>
      </c>
      <c r="C565" s="15">
        <f>C564+B565</f>
        <v/>
      </c>
      <c r="D565" s="6">
        <f>D564-(1-C564)</f>
        <v/>
      </c>
      <c r="E565" s="22">
        <f>C565&gt;=Fit!$B$32</f>
        <v/>
      </c>
    </row>
    <row r="566">
      <c r="A566" s="12" t="n">
        <v>548</v>
      </c>
      <c r="B566" s="21">
        <f>B565*(A566+$B$7-1)*(1-$B$5)/A566</f>
        <v/>
      </c>
      <c r="C566" s="15">
        <f>C565+B566</f>
        <v/>
      </c>
      <c r="D566" s="6">
        <f>D565-(1-C565)</f>
        <v/>
      </c>
      <c r="E566" s="22">
        <f>C566&gt;=Fit!$B$32</f>
        <v/>
      </c>
    </row>
    <row r="567">
      <c r="A567" s="12" t="n">
        <v>549</v>
      </c>
      <c r="B567" s="21">
        <f>B566*(A567+$B$7-1)*(1-$B$5)/A567</f>
        <v/>
      </c>
      <c r="C567" s="15">
        <f>C566+B567</f>
        <v/>
      </c>
      <c r="D567" s="6">
        <f>D566-(1-C566)</f>
        <v/>
      </c>
      <c r="E567" s="22">
        <f>C567&gt;=Fit!$B$32</f>
        <v/>
      </c>
    </row>
    <row r="568">
      <c r="A568" s="12" t="n">
        <v>550</v>
      </c>
      <c r="B568" s="21">
        <f>B567*(A568+$B$7-1)*(1-$B$5)/A568</f>
        <v/>
      </c>
      <c r="C568" s="15">
        <f>C567+B568</f>
        <v/>
      </c>
      <c r="D568" s="6">
        <f>D567-(1-C567)</f>
        <v/>
      </c>
      <c r="E568" s="22">
        <f>C568&gt;=Fit!$B$32</f>
        <v/>
      </c>
    </row>
    <row r="569">
      <c r="A569" s="12" t="n">
        <v>551</v>
      </c>
      <c r="B569" s="21">
        <f>B568*(A569+$B$7-1)*(1-$B$5)/A569</f>
        <v/>
      </c>
      <c r="C569" s="15">
        <f>C568+B569</f>
        <v/>
      </c>
      <c r="D569" s="6">
        <f>D568-(1-C568)</f>
        <v/>
      </c>
      <c r="E569" s="22">
        <f>C569&gt;=Fit!$B$32</f>
        <v/>
      </c>
    </row>
    <row r="570">
      <c r="A570" s="12" t="n">
        <v>552</v>
      </c>
      <c r="B570" s="21">
        <f>B569*(A570+$B$7-1)*(1-$B$5)/A570</f>
        <v/>
      </c>
      <c r="C570" s="15">
        <f>C569+B570</f>
        <v/>
      </c>
      <c r="D570" s="6">
        <f>D569-(1-C569)</f>
        <v/>
      </c>
      <c r="E570" s="22">
        <f>C570&gt;=Fit!$B$32</f>
        <v/>
      </c>
    </row>
    <row r="571">
      <c r="A571" s="12" t="n">
        <v>553</v>
      </c>
      <c r="B571" s="21">
        <f>B570*(A571+$B$7-1)*(1-$B$5)/A571</f>
        <v/>
      </c>
      <c r="C571" s="15">
        <f>C570+B571</f>
        <v/>
      </c>
      <c r="D571" s="6">
        <f>D570-(1-C570)</f>
        <v/>
      </c>
      <c r="E571" s="22">
        <f>C571&gt;=Fit!$B$32</f>
        <v/>
      </c>
    </row>
    <row r="572">
      <c r="A572" s="12" t="n">
        <v>554</v>
      </c>
      <c r="B572" s="21">
        <f>B571*(A572+$B$7-1)*(1-$B$5)/A572</f>
        <v/>
      </c>
      <c r="C572" s="15">
        <f>C571+B572</f>
        <v/>
      </c>
      <c r="D572" s="6">
        <f>D571-(1-C571)</f>
        <v/>
      </c>
      <c r="E572" s="22">
        <f>C572&gt;=Fit!$B$32</f>
        <v/>
      </c>
    </row>
    <row r="573">
      <c r="A573" s="12" t="n">
        <v>555</v>
      </c>
      <c r="B573" s="21">
        <f>B572*(A573+$B$7-1)*(1-$B$5)/A573</f>
        <v/>
      </c>
      <c r="C573" s="15">
        <f>C572+B573</f>
        <v/>
      </c>
      <c r="D573" s="6">
        <f>D572-(1-C572)</f>
        <v/>
      </c>
      <c r="E573" s="22">
        <f>C573&gt;=Fit!$B$32</f>
        <v/>
      </c>
    </row>
    <row r="574">
      <c r="A574" s="12" t="n">
        <v>556</v>
      </c>
      <c r="B574" s="21">
        <f>B573*(A574+$B$7-1)*(1-$B$5)/A574</f>
        <v/>
      </c>
      <c r="C574" s="15">
        <f>C573+B574</f>
        <v/>
      </c>
      <c r="D574" s="6">
        <f>D573-(1-C573)</f>
        <v/>
      </c>
      <c r="E574" s="22">
        <f>C574&gt;=Fit!$B$32</f>
        <v/>
      </c>
    </row>
    <row r="575">
      <c r="A575" s="12" t="n">
        <v>557</v>
      </c>
      <c r="B575" s="21">
        <f>B574*(A575+$B$7-1)*(1-$B$5)/A575</f>
        <v/>
      </c>
      <c r="C575" s="15">
        <f>C574+B575</f>
        <v/>
      </c>
      <c r="D575" s="6">
        <f>D574-(1-C574)</f>
        <v/>
      </c>
      <c r="E575" s="22">
        <f>C575&gt;=Fit!$B$32</f>
        <v/>
      </c>
    </row>
    <row r="576">
      <c r="A576" s="12" t="n">
        <v>558</v>
      </c>
      <c r="B576" s="21">
        <f>B575*(A576+$B$7-1)*(1-$B$5)/A576</f>
        <v/>
      </c>
      <c r="C576" s="15">
        <f>C575+B576</f>
        <v/>
      </c>
      <c r="D576" s="6">
        <f>D575-(1-C575)</f>
        <v/>
      </c>
      <c r="E576" s="22">
        <f>C576&gt;=Fit!$B$32</f>
        <v/>
      </c>
    </row>
    <row r="577">
      <c r="A577" s="12" t="n">
        <v>559</v>
      </c>
      <c r="B577" s="21">
        <f>B576*(A577+$B$7-1)*(1-$B$5)/A577</f>
        <v/>
      </c>
      <c r="C577" s="15">
        <f>C576+B577</f>
        <v/>
      </c>
      <c r="D577" s="6">
        <f>D576-(1-C576)</f>
        <v/>
      </c>
      <c r="E577" s="22">
        <f>C577&gt;=Fit!$B$32</f>
        <v/>
      </c>
    </row>
    <row r="578">
      <c r="A578" s="12" t="n">
        <v>560</v>
      </c>
      <c r="B578" s="21">
        <f>B577*(A578+$B$7-1)*(1-$B$5)/A578</f>
        <v/>
      </c>
      <c r="C578" s="15">
        <f>C577+B578</f>
        <v/>
      </c>
      <c r="D578" s="6">
        <f>D577-(1-C577)</f>
        <v/>
      </c>
      <c r="E578" s="22">
        <f>C578&gt;=Fit!$B$32</f>
        <v/>
      </c>
    </row>
    <row r="579">
      <c r="A579" s="12" t="n">
        <v>561</v>
      </c>
      <c r="B579" s="21">
        <f>B578*(A579+$B$7-1)*(1-$B$5)/A579</f>
        <v/>
      </c>
      <c r="C579" s="15">
        <f>C578+B579</f>
        <v/>
      </c>
      <c r="D579" s="6">
        <f>D578-(1-C578)</f>
        <v/>
      </c>
      <c r="E579" s="22">
        <f>C579&gt;=Fit!$B$32</f>
        <v/>
      </c>
    </row>
    <row r="580">
      <c r="A580" s="12" t="n">
        <v>562</v>
      </c>
      <c r="B580" s="21">
        <f>B579*(A580+$B$7-1)*(1-$B$5)/A580</f>
        <v/>
      </c>
      <c r="C580" s="15">
        <f>C579+B580</f>
        <v/>
      </c>
      <c r="D580" s="6">
        <f>D579-(1-C579)</f>
        <v/>
      </c>
      <c r="E580" s="22">
        <f>C580&gt;=Fit!$B$32</f>
        <v/>
      </c>
    </row>
    <row r="581">
      <c r="A581" s="12" t="n">
        <v>563</v>
      </c>
      <c r="B581" s="21">
        <f>B580*(A581+$B$7-1)*(1-$B$5)/A581</f>
        <v/>
      </c>
      <c r="C581" s="15">
        <f>C580+B581</f>
        <v/>
      </c>
      <c r="D581" s="6">
        <f>D580-(1-C580)</f>
        <v/>
      </c>
      <c r="E581" s="22">
        <f>C581&gt;=Fit!$B$32</f>
        <v/>
      </c>
    </row>
    <row r="582">
      <c r="A582" s="12" t="n">
        <v>564</v>
      </c>
      <c r="B582" s="21">
        <f>B581*(A582+$B$7-1)*(1-$B$5)/A582</f>
        <v/>
      </c>
      <c r="C582" s="15">
        <f>C581+B582</f>
        <v/>
      </c>
      <c r="D582" s="6">
        <f>D581-(1-C581)</f>
        <v/>
      </c>
      <c r="E582" s="22">
        <f>C582&gt;=Fit!$B$32</f>
        <v/>
      </c>
    </row>
    <row r="583">
      <c r="A583" s="12" t="n">
        <v>565</v>
      </c>
      <c r="B583" s="21">
        <f>B582*(A583+$B$7-1)*(1-$B$5)/A583</f>
        <v/>
      </c>
      <c r="C583" s="15">
        <f>C582+B583</f>
        <v/>
      </c>
      <c r="D583" s="6">
        <f>D582-(1-C582)</f>
        <v/>
      </c>
      <c r="E583" s="22">
        <f>C583&gt;=Fit!$B$32</f>
        <v/>
      </c>
    </row>
    <row r="584">
      <c r="A584" s="12" t="n">
        <v>566</v>
      </c>
      <c r="B584" s="21">
        <f>B583*(A584+$B$7-1)*(1-$B$5)/A584</f>
        <v/>
      </c>
      <c r="C584" s="15">
        <f>C583+B584</f>
        <v/>
      </c>
      <c r="D584" s="6">
        <f>D583-(1-C583)</f>
        <v/>
      </c>
      <c r="E584" s="22">
        <f>C584&gt;=Fit!$B$32</f>
        <v/>
      </c>
    </row>
    <row r="585">
      <c r="A585" s="12" t="n">
        <v>567</v>
      </c>
      <c r="B585" s="21">
        <f>B584*(A585+$B$7-1)*(1-$B$5)/A585</f>
        <v/>
      </c>
      <c r="C585" s="15">
        <f>C584+B585</f>
        <v/>
      </c>
      <c r="D585" s="6">
        <f>D584-(1-C584)</f>
        <v/>
      </c>
      <c r="E585" s="22">
        <f>C585&gt;=Fit!$B$32</f>
        <v/>
      </c>
    </row>
    <row r="586">
      <c r="A586" s="12" t="n">
        <v>568</v>
      </c>
      <c r="B586" s="21">
        <f>B585*(A586+$B$7-1)*(1-$B$5)/A586</f>
        <v/>
      </c>
      <c r="C586" s="15">
        <f>C585+B586</f>
        <v/>
      </c>
      <c r="D586" s="6">
        <f>D585-(1-C585)</f>
        <v/>
      </c>
      <c r="E586" s="22">
        <f>C586&gt;=Fit!$B$32</f>
        <v/>
      </c>
    </row>
    <row r="587">
      <c r="A587" s="12" t="n">
        <v>569</v>
      </c>
      <c r="B587" s="21">
        <f>B586*(A587+$B$7-1)*(1-$B$5)/A587</f>
        <v/>
      </c>
      <c r="C587" s="15">
        <f>C586+B587</f>
        <v/>
      </c>
      <c r="D587" s="6">
        <f>D586-(1-C586)</f>
        <v/>
      </c>
      <c r="E587" s="22">
        <f>C587&gt;=Fit!$B$32</f>
        <v/>
      </c>
    </row>
    <row r="588">
      <c r="A588" s="12" t="n">
        <v>570</v>
      </c>
      <c r="B588" s="21">
        <f>B587*(A588+$B$7-1)*(1-$B$5)/A588</f>
        <v/>
      </c>
      <c r="C588" s="15">
        <f>C587+B588</f>
        <v/>
      </c>
      <c r="D588" s="6">
        <f>D587-(1-C587)</f>
        <v/>
      </c>
      <c r="E588" s="22">
        <f>C588&gt;=Fit!$B$32</f>
        <v/>
      </c>
    </row>
    <row r="589">
      <c r="A589" s="12" t="n">
        <v>571</v>
      </c>
      <c r="B589" s="21">
        <f>B588*(A589+$B$7-1)*(1-$B$5)/A589</f>
        <v/>
      </c>
      <c r="C589" s="15">
        <f>C588+B589</f>
        <v/>
      </c>
      <c r="D589" s="6">
        <f>D588-(1-C588)</f>
        <v/>
      </c>
      <c r="E589" s="22">
        <f>C589&gt;=Fit!$B$32</f>
        <v/>
      </c>
    </row>
    <row r="590">
      <c r="A590" s="12" t="n">
        <v>572</v>
      </c>
      <c r="B590" s="21">
        <f>B589*(A590+$B$7-1)*(1-$B$5)/A590</f>
        <v/>
      </c>
      <c r="C590" s="15">
        <f>C589+B590</f>
        <v/>
      </c>
      <c r="D590" s="6">
        <f>D589-(1-C589)</f>
        <v/>
      </c>
      <c r="E590" s="22">
        <f>C590&gt;=Fit!$B$32</f>
        <v/>
      </c>
    </row>
    <row r="591">
      <c r="A591" s="12" t="n">
        <v>573</v>
      </c>
      <c r="B591" s="21">
        <f>B590*(A591+$B$7-1)*(1-$B$5)/A591</f>
        <v/>
      </c>
      <c r="C591" s="15">
        <f>C590+B591</f>
        <v/>
      </c>
      <c r="D591" s="6">
        <f>D590-(1-C590)</f>
        <v/>
      </c>
      <c r="E591" s="22">
        <f>C591&gt;=Fit!$B$32</f>
        <v/>
      </c>
    </row>
    <row r="592">
      <c r="A592" s="12" t="n">
        <v>574</v>
      </c>
      <c r="B592" s="21">
        <f>B591*(A592+$B$7-1)*(1-$B$5)/A592</f>
        <v/>
      </c>
      <c r="C592" s="15">
        <f>C591+B592</f>
        <v/>
      </c>
      <c r="D592" s="6">
        <f>D591-(1-C591)</f>
        <v/>
      </c>
      <c r="E592" s="22">
        <f>C592&gt;=Fit!$B$32</f>
        <v/>
      </c>
    </row>
    <row r="593">
      <c r="A593" s="12" t="n">
        <v>575</v>
      </c>
      <c r="B593" s="21">
        <f>B592*(A593+$B$7-1)*(1-$B$5)/A593</f>
        <v/>
      </c>
      <c r="C593" s="15">
        <f>C592+B593</f>
        <v/>
      </c>
      <c r="D593" s="6">
        <f>D592-(1-C592)</f>
        <v/>
      </c>
      <c r="E593" s="22">
        <f>C593&gt;=Fit!$B$32</f>
        <v/>
      </c>
    </row>
    <row r="594">
      <c r="A594" s="12" t="n">
        <v>576</v>
      </c>
      <c r="B594" s="21">
        <f>B593*(A594+$B$7-1)*(1-$B$5)/A594</f>
        <v/>
      </c>
      <c r="C594" s="15">
        <f>C593+B594</f>
        <v/>
      </c>
      <c r="D594" s="6">
        <f>D593-(1-C593)</f>
        <v/>
      </c>
      <c r="E594" s="22">
        <f>C594&gt;=Fit!$B$32</f>
        <v/>
      </c>
    </row>
    <row r="595">
      <c r="A595" s="12" t="n">
        <v>577</v>
      </c>
      <c r="B595" s="21">
        <f>B594*(A595+$B$7-1)*(1-$B$5)/A595</f>
        <v/>
      </c>
      <c r="C595" s="15">
        <f>C594+B595</f>
        <v/>
      </c>
      <c r="D595" s="6">
        <f>D594-(1-C594)</f>
        <v/>
      </c>
      <c r="E595" s="22">
        <f>C595&gt;=Fit!$B$32</f>
        <v/>
      </c>
    </row>
    <row r="596">
      <c r="A596" s="12" t="n">
        <v>578</v>
      </c>
      <c r="B596" s="21">
        <f>B595*(A596+$B$7-1)*(1-$B$5)/A596</f>
        <v/>
      </c>
      <c r="C596" s="15">
        <f>C595+B596</f>
        <v/>
      </c>
      <c r="D596" s="6">
        <f>D595-(1-C595)</f>
        <v/>
      </c>
      <c r="E596" s="22">
        <f>C596&gt;=Fit!$B$32</f>
        <v/>
      </c>
    </row>
    <row r="597">
      <c r="A597" s="12" t="n">
        <v>579</v>
      </c>
      <c r="B597" s="21">
        <f>B596*(A597+$B$7-1)*(1-$B$5)/A597</f>
        <v/>
      </c>
      <c r="C597" s="15">
        <f>C596+B597</f>
        <v/>
      </c>
      <c r="D597" s="6">
        <f>D596-(1-C596)</f>
        <v/>
      </c>
      <c r="E597" s="22">
        <f>C597&gt;=Fit!$B$32</f>
        <v/>
      </c>
    </row>
    <row r="598">
      <c r="A598" s="12" t="n">
        <v>580</v>
      </c>
      <c r="B598" s="21">
        <f>B597*(A598+$B$7-1)*(1-$B$5)/A598</f>
        <v/>
      </c>
      <c r="C598" s="15">
        <f>C597+B598</f>
        <v/>
      </c>
      <c r="D598" s="6">
        <f>D597-(1-C597)</f>
        <v/>
      </c>
      <c r="E598" s="22">
        <f>C598&gt;=Fit!$B$32</f>
        <v/>
      </c>
    </row>
    <row r="599">
      <c r="A599" s="12" t="n">
        <v>581</v>
      </c>
      <c r="B599" s="21">
        <f>B598*(A599+$B$7-1)*(1-$B$5)/A599</f>
        <v/>
      </c>
      <c r="C599" s="15">
        <f>C598+B599</f>
        <v/>
      </c>
      <c r="D599" s="6">
        <f>D598-(1-C598)</f>
        <v/>
      </c>
      <c r="E599" s="22">
        <f>C599&gt;=Fit!$B$32</f>
        <v/>
      </c>
    </row>
    <row r="600">
      <c r="A600" s="12" t="n">
        <v>582</v>
      </c>
      <c r="B600" s="21">
        <f>B599*(A600+$B$7-1)*(1-$B$5)/A600</f>
        <v/>
      </c>
      <c r="C600" s="15">
        <f>C599+B600</f>
        <v/>
      </c>
      <c r="D600" s="6">
        <f>D599-(1-C599)</f>
        <v/>
      </c>
      <c r="E600" s="22">
        <f>C600&gt;=Fit!$B$32</f>
        <v/>
      </c>
    </row>
    <row r="601">
      <c r="A601" s="12" t="n">
        <v>583</v>
      </c>
      <c r="B601" s="21">
        <f>B600*(A601+$B$7-1)*(1-$B$5)/A601</f>
        <v/>
      </c>
      <c r="C601" s="15">
        <f>C600+B601</f>
        <v/>
      </c>
      <c r="D601" s="6">
        <f>D600-(1-C600)</f>
        <v/>
      </c>
      <c r="E601" s="22">
        <f>C601&gt;=Fit!$B$32</f>
        <v/>
      </c>
    </row>
    <row r="602">
      <c r="A602" s="12" t="n">
        <v>584</v>
      </c>
      <c r="B602" s="21">
        <f>B601*(A602+$B$7-1)*(1-$B$5)/A602</f>
        <v/>
      </c>
      <c r="C602" s="15">
        <f>C601+B602</f>
        <v/>
      </c>
      <c r="D602" s="6">
        <f>D601-(1-C601)</f>
        <v/>
      </c>
      <c r="E602" s="22">
        <f>C602&gt;=Fit!$B$32</f>
        <v/>
      </c>
    </row>
    <row r="603">
      <c r="A603" s="12" t="n">
        <v>585</v>
      </c>
      <c r="B603" s="21">
        <f>B602*(A603+$B$7-1)*(1-$B$5)/A603</f>
        <v/>
      </c>
      <c r="C603" s="15">
        <f>C602+B603</f>
        <v/>
      </c>
      <c r="D603" s="6">
        <f>D602-(1-C602)</f>
        <v/>
      </c>
      <c r="E603" s="22">
        <f>C603&gt;=Fit!$B$32</f>
        <v/>
      </c>
    </row>
    <row r="604">
      <c r="A604" s="12" t="n">
        <v>586</v>
      </c>
      <c r="B604" s="21">
        <f>B603*(A604+$B$7-1)*(1-$B$5)/A604</f>
        <v/>
      </c>
      <c r="C604" s="15">
        <f>C603+B604</f>
        <v/>
      </c>
      <c r="D604" s="6">
        <f>D603-(1-C603)</f>
        <v/>
      </c>
      <c r="E604" s="22">
        <f>C604&gt;=Fit!$B$32</f>
        <v/>
      </c>
    </row>
    <row r="605">
      <c r="A605" s="12" t="n">
        <v>587</v>
      </c>
      <c r="B605" s="21">
        <f>B604*(A605+$B$7-1)*(1-$B$5)/A605</f>
        <v/>
      </c>
      <c r="C605" s="15">
        <f>C604+B605</f>
        <v/>
      </c>
      <c r="D605" s="6">
        <f>D604-(1-C604)</f>
        <v/>
      </c>
      <c r="E605" s="22">
        <f>C605&gt;=Fit!$B$32</f>
        <v/>
      </c>
    </row>
    <row r="606">
      <c r="A606" s="12" t="n">
        <v>588</v>
      </c>
      <c r="B606" s="21">
        <f>B605*(A606+$B$7-1)*(1-$B$5)/A606</f>
        <v/>
      </c>
      <c r="C606" s="15">
        <f>C605+B606</f>
        <v/>
      </c>
      <c r="D606" s="6">
        <f>D605-(1-C605)</f>
        <v/>
      </c>
      <c r="E606" s="22">
        <f>C606&gt;=Fit!$B$32</f>
        <v/>
      </c>
    </row>
    <row r="607">
      <c r="A607" s="12" t="n">
        <v>589</v>
      </c>
      <c r="B607" s="21">
        <f>B606*(A607+$B$7-1)*(1-$B$5)/A607</f>
        <v/>
      </c>
      <c r="C607" s="15">
        <f>C606+B607</f>
        <v/>
      </c>
      <c r="D607" s="6">
        <f>D606-(1-C606)</f>
        <v/>
      </c>
      <c r="E607" s="22">
        <f>C607&gt;=Fit!$B$32</f>
        <v/>
      </c>
    </row>
    <row r="608">
      <c r="A608" s="12" t="n">
        <v>590</v>
      </c>
      <c r="B608" s="21">
        <f>B607*(A608+$B$7-1)*(1-$B$5)/A608</f>
        <v/>
      </c>
      <c r="C608" s="15">
        <f>C607+B608</f>
        <v/>
      </c>
      <c r="D608" s="6">
        <f>D607-(1-C607)</f>
        <v/>
      </c>
      <c r="E608" s="22">
        <f>C608&gt;=Fit!$B$32</f>
        <v/>
      </c>
    </row>
    <row r="609">
      <c r="A609" s="12" t="n">
        <v>591</v>
      </c>
      <c r="B609" s="21">
        <f>B608*(A609+$B$7-1)*(1-$B$5)/A609</f>
        <v/>
      </c>
      <c r="C609" s="15">
        <f>C608+B609</f>
        <v/>
      </c>
      <c r="D609" s="6">
        <f>D608-(1-C608)</f>
        <v/>
      </c>
      <c r="E609" s="22">
        <f>C609&gt;=Fit!$B$32</f>
        <v/>
      </c>
    </row>
    <row r="610">
      <c r="A610" s="12" t="n">
        <v>592</v>
      </c>
      <c r="B610" s="21">
        <f>B609*(A610+$B$7-1)*(1-$B$5)/A610</f>
        <v/>
      </c>
      <c r="C610" s="15">
        <f>C609+B610</f>
        <v/>
      </c>
      <c r="D610" s="6">
        <f>D609-(1-C609)</f>
        <v/>
      </c>
      <c r="E610" s="22">
        <f>C610&gt;=Fit!$B$32</f>
        <v/>
      </c>
    </row>
    <row r="611">
      <c r="A611" s="12" t="n">
        <v>593</v>
      </c>
      <c r="B611" s="21">
        <f>B610*(A611+$B$7-1)*(1-$B$5)/A611</f>
        <v/>
      </c>
      <c r="C611" s="15">
        <f>C610+B611</f>
        <v/>
      </c>
      <c r="D611" s="6">
        <f>D610-(1-C610)</f>
        <v/>
      </c>
      <c r="E611" s="22">
        <f>C611&gt;=Fit!$B$32</f>
        <v/>
      </c>
    </row>
    <row r="612">
      <c r="A612" s="12" t="n">
        <v>594</v>
      </c>
      <c r="B612" s="21">
        <f>B611*(A612+$B$7-1)*(1-$B$5)/A612</f>
        <v/>
      </c>
      <c r="C612" s="15">
        <f>C611+B612</f>
        <v/>
      </c>
      <c r="D612" s="6">
        <f>D611-(1-C611)</f>
        <v/>
      </c>
      <c r="E612" s="22">
        <f>C612&gt;=Fit!$B$32</f>
        <v/>
      </c>
    </row>
    <row r="613">
      <c r="A613" s="12" t="n">
        <v>595</v>
      </c>
      <c r="B613" s="21">
        <f>B612*(A613+$B$7-1)*(1-$B$5)/A613</f>
        <v/>
      </c>
      <c r="C613" s="15">
        <f>C612+B613</f>
        <v/>
      </c>
      <c r="D613" s="6">
        <f>D612-(1-C612)</f>
        <v/>
      </c>
      <c r="E613" s="22">
        <f>C613&gt;=Fit!$B$32</f>
        <v/>
      </c>
    </row>
    <row r="614">
      <c r="A614" s="12" t="n">
        <v>596</v>
      </c>
      <c r="B614" s="21">
        <f>B613*(A614+$B$7-1)*(1-$B$5)/A614</f>
        <v/>
      </c>
      <c r="C614" s="15">
        <f>C613+B614</f>
        <v/>
      </c>
      <c r="D614" s="6">
        <f>D613-(1-C613)</f>
        <v/>
      </c>
      <c r="E614" s="22">
        <f>C614&gt;=Fit!$B$32</f>
        <v/>
      </c>
    </row>
    <row r="615">
      <c r="A615" s="12" t="n">
        <v>597</v>
      </c>
      <c r="B615" s="21">
        <f>B614*(A615+$B$7-1)*(1-$B$5)/A615</f>
        <v/>
      </c>
      <c r="C615" s="15">
        <f>C614+B615</f>
        <v/>
      </c>
      <c r="D615" s="6">
        <f>D614-(1-C614)</f>
        <v/>
      </c>
      <c r="E615" s="22">
        <f>C615&gt;=Fit!$B$32</f>
        <v/>
      </c>
    </row>
    <row r="616">
      <c r="A616" s="12" t="n">
        <v>598</v>
      </c>
      <c r="B616" s="21">
        <f>B615*(A616+$B$7-1)*(1-$B$5)/A616</f>
        <v/>
      </c>
      <c r="C616" s="15">
        <f>C615+B616</f>
        <v/>
      </c>
      <c r="D616" s="6">
        <f>D615-(1-C615)</f>
        <v/>
      </c>
      <c r="E616" s="22">
        <f>C616&gt;=Fit!$B$32</f>
        <v/>
      </c>
    </row>
    <row r="617">
      <c r="A617" s="12" t="n">
        <v>599</v>
      </c>
      <c r="B617" s="21">
        <f>B616*(A617+$B$7-1)*(1-$B$5)/A617</f>
        <v/>
      </c>
      <c r="C617" s="15">
        <f>C616+B617</f>
        <v/>
      </c>
      <c r="D617" s="6">
        <f>D616-(1-C616)</f>
        <v/>
      </c>
      <c r="E617" s="22">
        <f>C617&gt;=Fit!$B$32</f>
        <v/>
      </c>
    </row>
    <row r="618">
      <c r="A618" s="12" t="n">
        <v>600</v>
      </c>
      <c r="B618" s="21">
        <f>B617*(A618+$B$7-1)*(1-$B$5)/A618</f>
        <v/>
      </c>
      <c r="C618" s="15">
        <f>C617+B618</f>
        <v/>
      </c>
      <c r="D618" s="6">
        <f>D617-(1-C617)</f>
        <v/>
      </c>
      <c r="E618" s="22">
        <f>C618&gt;=Fit!$B$32</f>
        <v/>
      </c>
    </row>
    <row r="619">
      <c r="A619" s="12" t="n">
        <v>601</v>
      </c>
      <c r="B619" s="21">
        <f>B618*(A619+$B$7-1)*(1-$B$5)/A619</f>
        <v/>
      </c>
      <c r="C619" s="15">
        <f>C618+B619</f>
        <v/>
      </c>
      <c r="D619" s="6">
        <f>D618-(1-C618)</f>
        <v/>
      </c>
      <c r="E619" s="22">
        <f>C619&gt;=Fit!$B$32</f>
        <v/>
      </c>
    </row>
    <row r="620">
      <c r="A620" s="12" t="n">
        <v>602</v>
      </c>
      <c r="B620" s="21">
        <f>B619*(A620+$B$7-1)*(1-$B$5)/A620</f>
        <v/>
      </c>
      <c r="C620" s="15">
        <f>C619+B620</f>
        <v/>
      </c>
      <c r="D620" s="6">
        <f>D619-(1-C619)</f>
        <v/>
      </c>
      <c r="E620" s="22">
        <f>C620&gt;=Fit!$B$32</f>
        <v/>
      </c>
    </row>
    <row r="621">
      <c r="A621" s="12" t="n">
        <v>603</v>
      </c>
      <c r="B621" s="21">
        <f>B620*(A621+$B$7-1)*(1-$B$5)/A621</f>
        <v/>
      </c>
      <c r="C621" s="15">
        <f>C620+B621</f>
        <v/>
      </c>
      <c r="D621" s="6">
        <f>D620-(1-C620)</f>
        <v/>
      </c>
      <c r="E621" s="22">
        <f>C621&gt;=Fit!$B$32</f>
        <v/>
      </c>
    </row>
    <row r="622">
      <c r="A622" s="12" t="n">
        <v>604</v>
      </c>
      <c r="B622" s="21">
        <f>B621*(A622+$B$7-1)*(1-$B$5)/A622</f>
        <v/>
      </c>
      <c r="C622" s="15">
        <f>C621+B622</f>
        <v/>
      </c>
      <c r="D622" s="6">
        <f>D621-(1-C621)</f>
        <v/>
      </c>
      <c r="E622" s="22">
        <f>C622&gt;=Fit!$B$32</f>
        <v/>
      </c>
    </row>
    <row r="623">
      <c r="A623" s="12" t="n">
        <v>605</v>
      </c>
      <c r="B623" s="21">
        <f>B622*(A623+$B$7-1)*(1-$B$5)/A623</f>
        <v/>
      </c>
      <c r="C623" s="15">
        <f>C622+B623</f>
        <v/>
      </c>
      <c r="D623" s="6">
        <f>D622-(1-C622)</f>
        <v/>
      </c>
      <c r="E623" s="22">
        <f>C623&gt;=Fit!$B$32</f>
        <v/>
      </c>
    </row>
    <row r="624">
      <c r="A624" s="12" t="n">
        <v>606</v>
      </c>
      <c r="B624" s="21">
        <f>B623*(A624+$B$7-1)*(1-$B$5)/A624</f>
        <v/>
      </c>
      <c r="C624" s="15">
        <f>C623+B624</f>
        <v/>
      </c>
      <c r="D624" s="6">
        <f>D623-(1-C623)</f>
        <v/>
      </c>
      <c r="E624" s="22">
        <f>C624&gt;=Fit!$B$32</f>
        <v/>
      </c>
    </row>
    <row r="625">
      <c r="A625" s="12" t="n">
        <v>607</v>
      </c>
      <c r="B625" s="21">
        <f>B624*(A625+$B$7-1)*(1-$B$5)/A625</f>
        <v/>
      </c>
      <c r="C625" s="15">
        <f>C624+B625</f>
        <v/>
      </c>
      <c r="D625" s="6">
        <f>D624-(1-C624)</f>
        <v/>
      </c>
      <c r="E625" s="22">
        <f>C625&gt;=Fit!$B$32</f>
        <v/>
      </c>
    </row>
    <row r="626">
      <c r="A626" s="12" t="n">
        <v>608</v>
      </c>
      <c r="B626" s="21">
        <f>B625*(A626+$B$7-1)*(1-$B$5)/A626</f>
        <v/>
      </c>
      <c r="C626" s="15">
        <f>C625+B626</f>
        <v/>
      </c>
      <c r="D626" s="6">
        <f>D625-(1-C625)</f>
        <v/>
      </c>
      <c r="E626" s="22">
        <f>C626&gt;=Fit!$B$32</f>
        <v/>
      </c>
    </row>
    <row r="627">
      <c r="A627" s="12" t="n">
        <v>609</v>
      </c>
      <c r="B627" s="21">
        <f>B626*(A627+$B$7-1)*(1-$B$5)/A627</f>
        <v/>
      </c>
      <c r="C627" s="15">
        <f>C626+B627</f>
        <v/>
      </c>
      <c r="D627" s="6">
        <f>D626-(1-C626)</f>
        <v/>
      </c>
      <c r="E627" s="22">
        <f>C627&gt;=Fit!$B$32</f>
        <v/>
      </c>
    </row>
    <row r="628">
      <c r="A628" s="12" t="n">
        <v>610</v>
      </c>
      <c r="B628" s="21">
        <f>B627*(A628+$B$7-1)*(1-$B$5)/A628</f>
        <v/>
      </c>
      <c r="C628" s="15">
        <f>C627+B628</f>
        <v/>
      </c>
      <c r="D628" s="6">
        <f>D627-(1-C627)</f>
        <v/>
      </c>
      <c r="E628" s="22">
        <f>C628&gt;=Fit!$B$32</f>
        <v/>
      </c>
    </row>
    <row r="629">
      <c r="A629" s="12" t="n">
        <v>611</v>
      </c>
      <c r="B629" s="21">
        <f>B628*(A629+$B$7-1)*(1-$B$5)/A629</f>
        <v/>
      </c>
      <c r="C629" s="15">
        <f>C628+B629</f>
        <v/>
      </c>
      <c r="D629" s="6">
        <f>D628-(1-C628)</f>
        <v/>
      </c>
      <c r="E629" s="22">
        <f>C629&gt;=Fit!$B$32</f>
        <v/>
      </c>
    </row>
    <row r="630">
      <c r="A630" s="12" t="n">
        <v>612</v>
      </c>
      <c r="B630" s="21">
        <f>B629*(A630+$B$7-1)*(1-$B$5)/A630</f>
        <v/>
      </c>
      <c r="C630" s="15">
        <f>C629+B630</f>
        <v/>
      </c>
      <c r="D630" s="6">
        <f>D629-(1-C629)</f>
        <v/>
      </c>
      <c r="E630" s="22">
        <f>C630&gt;=Fit!$B$32</f>
        <v/>
      </c>
    </row>
    <row r="631">
      <c r="A631" s="12" t="n">
        <v>613</v>
      </c>
      <c r="B631" s="21">
        <f>B630*(A631+$B$7-1)*(1-$B$5)/A631</f>
        <v/>
      </c>
      <c r="C631" s="15">
        <f>C630+B631</f>
        <v/>
      </c>
      <c r="D631" s="6">
        <f>D630-(1-C630)</f>
        <v/>
      </c>
      <c r="E631" s="22">
        <f>C631&gt;=Fit!$B$32</f>
        <v/>
      </c>
    </row>
    <row r="632">
      <c r="A632" s="12" t="n">
        <v>614</v>
      </c>
      <c r="B632" s="21">
        <f>B631*(A632+$B$7-1)*(1-$B$5)/A632</f>
        <v/>
      </c>
      <c r="C632" s="15">
        <f>C631+B632</f>
        <v/>
      </c>
      <c r="D632" s="6">
        <f>D631-(1-C631)</f>
        <v/>
      </c>
      <c r="E632" s="22">
        <f>C632&gt;=Fit!$B$32</f>
        <v/>
      </c>
    </row>
    <row r="633">
      <c r="A633" s="12" t="n">
        <v>615</v>
      </c>
      <c r="B633" s="21">
        <f>B632*(A633+$B$7-1)*(1-$B$5)/A633</f>
        <v/>
      </c>
      <c r="C633" s="15">
        <f>C632+B633</f>
        <v/>
      </c>
      <c r="D633" s="6">
        <f>D632-(1-C632)</f>
        <v/>
      </c>
      <c r="E633" s="22">
        <f>C633&gt;=Fit!$B$32</f>
        <v/>
      </c>
    </row>
    <row r="634">
      <c r="A634" s="12" t="n">
        <v>616</v>
      </c>
      <c r="B634" s="21">
        <f>B633*(A634+$B$7-1)*(1-$B$5)/A634</f>
        <v/>
      </c>
      <c r="C634" s="15">
        <f>C633+B634</f>
        <v/>
      </c>
      <c r="D634" s="6">
        <f>D633-(1-C633)</f>
        <v/>
      </c>
      <c r="E634" s="22">
        <f>C634&gt;=Fit!$B$32</f>
        <v/>
      </c>
    </row>
    <row r="635">
      <c r="A635" s="12" t="n">
        <v>617</v>
      </c>
      <c r="B635" s="21">
        <f>B634*(A635+$B$7-1)*(1-$B$5)/A635</f>
        <v/>
      </c>
      <c r="C635" s="15">
        <f>C634+B635</f>
        <v/>
      </c>
      <c r="D635" s="6">
        <f>D634-(1-C634)</f>
        <v/>
      </c>
      <c r="E635" s="22">
        <f>C635&gt;=Fit!$B$32</f>
        <v/>
      </c>
    </row>
    <row r="636">
      <c r="A636" s="12" t="n">
        <v>618</v>
      </c>
      <c r="B636" s="21">
        <f>B635*(A636+$B$7-1)*(1-$B$5)/A636</f>
        <v/>
      </c>
      <c r="C636" s="15">
        <f>C635+B636</f>
        <v/>
      </c>
      <c r="D636" s="6">
        <f>D635-(1-C635)</f>
        <v/>
      </c>
      <c r="E636" s="22">
        <f>C636&gt;=Fit!$B$32</f>
        <v/>
      </c>
    </row>
    <row r="637">
      <c r="A637" s="12" t="n">
        <v>619</v>
      </c>
      <c r="B637" s="21">
        <f>B636*(A637+$B$7-1)*(1-$B$5)/A637</f>
        <v/>
      </c>
      <c r="C637" s="15">
        <f>C636+B637</f>
        <v/>
      </c>
      <c r="D637" s="6">
        <f>D636-(1-C636)</f>
        <v/>
      </c>
      <c r="E637" s="22">
        <f>C637&gt;=Fit!$B$32</f>
        <v/>
      </c>
    </row>
    <row r="638">
      <c r="A638" s="12" t="n">
        <v>620</v>
      </c>
      <c r="B638" s="21">
        <f>B637*(A638+$B$7-1)*(1-$B$5)/A638</f>
        <v/>
      </c>
      <c r="C638" s="15">
        <f>C637+B638</f>
        <v/>
      </c>
      <c r="D638" s="6">
        <f>D637-(1-C637)</f>
        <v/>
      </c>
      <c r="E638" s="22">
        <f>C638&gt;=Fit!$B$32</f>
        <v/>
      </c>
    </row>
    <row r="639">
      <c r="A639" s="12" t="n">
        <v>621</v>
      </c>
      <c r="B639" s="21">
        <f>B638*(A639+$B$7-1)*(1-$B$5)/A639</f>
        <v/>
      </c>
      <c r="C639" s="15">
        <f>C638+B639</f>
        <v/>
      </c>
      <c r="D639" s="6">
        <f>D638-(1-C638)</f>
        <v/>
      </c>
      <c r="E639" s="22">
        <f>C639&gt;=Fit!$B$32</f>
        <v/>
      </c>
    </row>
    <row r="640">
      <c r="A640" s="12" t="n">
        <v>622</v>
      </c>
      <c r="B640" s="21">
        <f>B639*(A640+$B$7-1)*(1-$B$5)/A640</f>
        <v/>
      </c>
      <c r="C640" s="15">
        <f>C639+B640</f>
        <v/>
      </c>
      <c r="D640" s="6">
        <f>D639-(1-C639)</f>
        <v/>
      </c>
      <c r="E640" s="22">
        <f>C640&gt;=Fit!$B$32</f>
        <v/>
      </c>
    </row>
    <row r="641">
      <c r="A641" s="12" t="n">
        <v>623</v>
      </c>
      <c r="B641" s="21">
        <f>B640*(A641+$B$7-1)*(1-$B$5)/A641</f>
        <v/>
      </c>
      <c r="C641" s="15">
        <f>C640+B641</f>
        <v/>
      </c>
      <c r="D641" s="6">
        <f>D640-(1-C640)</f>
        <v/>
      </c>
      <c r="E641" s="22">
        <f>C641&gt;=Fit!$B$32</f>
        <v/>
      </c>
    </row>
    <row r="642">
      <c r="A642" s="12" t="n">
        <v>624</v>
      </c>
      <c r="B642" s="21">
        <f>B641*(A642+$B$7-1)*(1-$B$5)/A642</f>
        <v/>
      </c>
      <c r="C642" s="15">
        <f>C641+B642</f>
        <v/>
      </c>
      <c r="D642" s="6">
        <f>D641-(1-C641)</f>
        <v/>
      </c>
      <c r="E642" s="22">
        <f>C642&gt;=Fit!$B$32</f>
        <v/>
      </c>
    </row>
    <row r="643">
      <c r="A643" s="12" t="n">
        <v>625</v>
      </c>
      <c r="B643" s="21">
        <f>B642*(A643+$B$7-1)*(1-$B$5)/A643</f>
        <v/>
      </c>
      <c r="C643" s="15">
        <f>C642+B643</f>
        <v/>
      </c>
      <c r="D643" s="6">
        <f>D642-(1-C642)</f>
        <v/>
      </c>
      <c r="E643" s="22">
        <f>C643&gt;=Fit!$B$32</f>
        <v/>
      </c>
    </row>
    <row r="644">
      <c r="A644" s="12" t="n">
        <v>626</v>
      </c>
      <c r="B644" s="21">
        <f>B643*(A644+$B$7-1)*(1-$B$5)/A644</f>
        <v/>
      </c>
      <c r="C644" s="15">
        <f>C643+B644</f>
        <v/>
      </c>
      <c r="D644" s="6">
        <f>D643-(1-C643)</f>
        <v/>
      </c>
      <c r="E644" s="22">
        <f>C644&gt;=Fit!$B$32</f>
        <v/>
      </c>
    </row>
    <row r="645">
      <c r="A645" s="12" t="n">
        <v>627</v>
      </c>
      <c r="B645" s="21">
        <f>B644*(A645+$B$7-1)*(1-$B$5)/A645</f>
        <v/>
      </c>
      <c r="C645" s="15">
        <f>C644+B645</f>
        <v/>
      </c>
      <c r="D645" s="6">
        <f>D644-(1-C644)</f>
        <v/>
      </c>
      <c r="E645" s="22">
        <f>C645&gt;=Fit!$B$32</f>
        <v/>
      </c>
    </row>
    <row r="646">
      <c r="A646" s="12" t="n">
        <v>628</v>
      </c>
      <c r="B646" s="21">
        <f>B645*(A646+$B$7-1)*(1-$B$5)/A646</f>
        <v/>
      </c>
      <c r="C646" s="15">
        <f>C645+B646</f>
        <v/>
      </c>
      <c r="D646" s="6">
        <f>D645-(1-C645)</f>
        <v/>
      </c>
      <c r="E646" s="22">
        <f>C646&gt;=Fit!$B$32</f>
        <v/>
      </c>
    </row>
    <row r="647">
      <c r="A647" s="12" t="n">
        <v>629</v>
      </c>
      <c r="B647" s="21">
        <f>B646*(A647+$B$7-1)*(1-$B$5)/A647</f>
        <v/>
      </c>
      <c r="C647" s="15">
        <f>C646+B647</f>
        <v/>
      </c>
      <c r="D647" s="6">
        <f>D646-(1-C646)</f>
        <v/>
      </c>
      <c r="E647" s="22">
        <f>C647&gt;=Fit!$B$32</f>
        <v/>
      </c>
    </row>
    <row r="648">
      <c r="A648" s="12" t="n">
        <v>630</v>
      </c>
      <c r="B648" s="21">
        <f>B647*(A648+$B$7-1)*(1-$B$5)/A648</f>
        <v/>
      </c>
      <c r="C648" s="15">
        <f>C647+B648</f>
        <v/>
      </c>
      <c r="D648" s="6">
        <f>D647-(1-C647)</f>
        <v/>
      </c>
      <c r="E648" s="22">
        <f>C648&gt;=Fit!$B$32</f>
        <v/>
      </c>
    </row>
    <row r="649">
      <c r="A649" s="12" t="n">
        <v>631</v>
      </c>
      <c r="B649" s="21">
        <f>B648*(A649+$B$7-1)*(1-$B$5)/A649</f>
        <v/>
      </c>
      <c r="C649" s="15">
        <f>C648+B649</f>
        <v/>
      </c>
      <c r="D649" s="6">
        <f>D648-(1-C648)</f>
        <v/>
      </c>
      <c r="E649" s="22">
        <f>C649&gt;=Fit!$B$32</f>
        <v/>
      </c>
    </row>
    <row r="650">
      <c r="A650" s="12" t="n">
        <v>632</v>
      </c>
      <c r="B650" s="21">
        <f>B649*(A650+$B$7-1)*(1-$B$5)/A650</f>
        <v/>
      </c>
      <c r="C650" s="15">
        <f>C649+B650</f>
        <v/>
      </c>
      <c r="D650" s="6">
        <f>D649-(1-C649)</f>
        <v/>
      </c>
      <c r="E650" s="22">
        <f>C650&gt;=Fit!$B$32</f>
        <v/>
      </c>
    </row>
    <row r="651">
      <c r="A651" s="12" t="n">
        <v>633</v>
      </c>
      <c r="B651" s="21">
        <f>B650*(A651+$B$7-1)*(1-$B$5)/A651</f>
        <v/>
      </c>
      <c r="C651" s="15">
        <f>C650+B651</f>
        <v/>
      </c>
      <c r="D651" s="6">
        <f>D650-(1-C650)</f>
        <v/>
      </c>
      <c r="E651" s="22">
        <f>C651&gt;=Fit!$B$32</f>
        <v/>
      </c>
    </row>
    <row r="652">
      <c r="A652" s="12" t="n">
        <v>634</v>
      </c>
      <c r="B652" s="21">
        <f>B651*(A652+$B$7-1)*(1-$B$5)/A652</f>
        <v/>
      </c>
      <c r="C652" s="15">
        <f>C651+B652</f>
        <v/>
      </c>
      <c r="D652" s="6">
        <f>D651-(1-C651)</f>
        <v/>
      </c>
      <c r="E652" s="22">
        <f>C652&gt;=Fit!$B$32</f>
        <v/>
      </c>
    </row>
    <row r="653">
      <c r="A653" s="12" t="n">
        <v>635</v>
      </c>
      <c r="B653" s="21">
        <f>B652*(A653+$B$7-1)*(1-$B$5)/A653</f>
        <v/>
      </c>
      <c r="C653" s="15">
        <f>C652+B653</f>
        <v/>
      </c>
      <c r="D653" s="6">
        <f>D652-(1-C652)</f>
        <v/>
      </c>
      <c r="E653" s="22">
        <f>C653&gt;=Fit!$B$32</f>
        <v/>
      </c>
    </row>
    <row r="654">
      <c r="A654" s="12" t="n">
        <v>636</v>
      </c>
      <c r="B654" s="21">
        <f>B653*(A654+$B$7-1)*(1-$B$5)/A654</f>
        <v/>
      </c>
      <c r="C654" s="15">
        <f>C653+B654</f>
        <v/>
      </c>
      <c r="D654" s="6">
        <f>D653-(1-C653)</f>
        <v/>
      </c>
      <c r="E654" s="22">
        <f>C654&gt;=Fit!$B$32</f>
        <v/>
      </c>
    </row>
    <row r="655">
      <c r="A655" s="12" t="n">
        <v>637</v>
      </c>
      <c r="B655" s="21">
        <f>B654*(A655+$B$7-1)*(1-$B$5)/A655</f>
        <v/>
      </c>
      <c r="C655" s="15">
        <f>C654+B655</f>
        <v/>
      </c>
      <c r="D655" s="6">
        <f>D654-(1-C654)</f>
        <v/>
      </c>
      <c r="E655" s="22">
        <f>C655&gt;=Fit!$B$32</f>
        <v/>
      </c>
    </row>
    <row r="656">
      <c r="A656" s="12" t="n">
        <v>638</v>
      </c>
      <c r="B656" s="21">
        <f>B655*(A656+$B$7-1)*(1-$B$5)/A656</f>
        <v/>
      </c>
      <c r="C656" s="15">
        <f>C655+B656</f>
        <v/>
      </c>
      <c r="D656" s="6">
        <f>D655-(1-C655)</f>
        <v/>
      </c>
      <c r="E656" s="22">
        <f>C656&gt;=Fit!$B$32</f>
        <v/>
      </c>
    </row>
    <row r="657">
      <c r="A657" s="12" t="n">
        <v>639</v>
      </c>
      <c r="B657" s="21">
        <f>B656*(A657+$B$7-1)*(1-$B$5)/A657</f>
        <v/>
      </c>
      <c r="C657" s="15">
        <f>C656+B657</f>
        <v/>
      </c>
      <c r="D657" s="6">
        <f>D656-(1-C656)</f>
        <v/>
      </c>
      <c r="E657" s="22">
        <f>C657&gt;=Fit!$B$32</f>
        <v/>
      </c>
    </row>
    <row r="658">
      <c r="A658" s="12" t="n">
        <v>640</v>
      </c>
      <c r="B658" s="21">
        <f>B657*(A658+$B$7-1)*(1-$B$5)/A658</f>
        <v/>
      </c>
      <c r="C658" s="15">
        <f>C657+B658</f>
        <v/>
      </c>
      <c r="D658" s="6">
        <f>D657-(1-C657)</f>
        <v/>
      </c>
      <c r="E658" s="22">
        <f>C658&gt;=Fit!$B$32</f>
        <v/>
      </c>
    </row>
    <row r="659">
      <c r="A659" s="12" t="n">
        <v>641</v>
      </c>
      <c r="B659" s="21">
        <f>B658*(A659+$B$7-1)*(1-$B$5)/A659</f>
        <v/>
      </c>
      <c r="C659" s="15">
        <f>C658+B659</f>
        <v/>
      </c>
      <c r="D659" s="6">
        <f>D658-(1-C658)</f>
        <v/>
      </c>
      <c r="E659" s="22">
        <f>C659&gt;=Fit!$B$32</f>
        <v/>
      </c>
    </row>
    <row r="660">
      <c r="A660" s="12" t="n">
        <v>642</v>
      </c>
      <c r="B660" s="21">
        <f>B659*(A660+$B$7-1)*(1-$B$5)/A660</f>
        <v/>
      </c>
      <c r="C660" s="15">
        <f>C659+B660</f>
        <v/>
      </c>
      <c r="D660" s="6">
        <f>D659-(1-C659)</f>
        <v/>
      </c>
      <c r="E660" s="22">
        <f>C660&gt;=Fit!$B$32</f>
        <v/>
      </c>
    </row>
    <row r="661">
      <c r="A661" s="12" t="n">
        <v>643</v>
      </c>
      <c r="B661" s="21">
        <f>B660*(A661+$B$7-1)*(1-$B$5)/A661</f>
        <v/>
      </c>
      <c r="C661" s="15">
        <f>C660+B661</f>
        <v/>
      </c>
      <c r="D661" s="6">
        <f>D660-(1-C660)</f>
        <v/>
      </c>
      <c r="E661" s="22">
        <f>C661&gt;=Fit!$B$32</f>
        <v/>
      </c>
    </row>
    <row r="662">
      <c r="A662" s="12" t="n">
        <v>644</v>
      </c>
      <c r="B662" s="21">
        <f>B661*(A662+$B$7-1)*(1-$B$5)/A662</f>
        <v/>
      </c>
      <c r="C662" s="15">
        <f>C661+B662</f>
        <v/>
      </c>
      <c r="D662" s="6">
        <f>D661-(1-C661)</f>
        <v/>
      </c>
      <c r="E662" s="22">
        <f>C662&gt;=Fit!$B$32</f>
        <v/>
      </c>
    </row>
    <row r="663">
      <c r="A663" s="12" t="n">
        <v>645</v>
      </c>
      <c r="B663" s="21">
        <f>B662*(A663+$B$7-1)*(1-$B$5)/A663</f>
        <v/>
      </c>
      <c r="C663" s="15">
        <f>C662+B663</f>
        <v/>
      </c>
      <c r="D663" s="6">
        <f>D662-(1-C662)</f>
        <v/>
      </c>
      <c r="E663" s="22">
        <f>C663&gt;=Fit!$B$32</f>
        <v/>
      </c>
    </row>
    <row r="664">
      <c r="A664" s="12" t="n">
        <v>646</v>
      </c>
      <c r="B664" s="21">
        <f>B663*(A664+$B$7-1)*(1-$B$5)/A664</f>
        <v/>
      </c>
      <c r="C664" s="15">
        <f>C663+B664</f>
        <v/>
      </c>
      <c r="D664" s="6">
        <f>D663-(1-C663)</f>
        <v/>
      </c>
      <c r="E664" s="22">
        <f>C664&gt;=Fit!$B$32</f>
        <v/>
      </c>
    </row>
    <row r="665">
      <c r="A665" s="12" t="n">
        <v>647</v>
      </c>
      <c r="B665" s="21">
        <f>B664*(A665+$B$7-1)*(1-$B$5)/A665</f>
        <v/>
      </c>
      <c r="C665" s="15">
        <f>C664+B665</f>
        <v/>
      </c>
      <c r="D665" s="6">
        <f>D664-(1-C664)</f>
        <v/>
      </c>
      <c r="E665" s="22">
        <f>C665&gt;=Fit!$B$32</f>
        <v/>
      </c>
    </row>
    <row r="666">
      <c r="A666" s="12" t="n">
        <v>648</v>
      </c>
      <c r="B666" s="21">
        <f>B665*(A666+$B$7-1)*(1-$B$5)/A666</f>
        <v/>
      </c>
      <c r="C666" s="15">
        <f>C665+B666</f>
        <v/>
      </c>
      <c r="D666" s="6">
        <f>D665-(1-C665)</f>
        <v/>
      </c>
      <c r="E666" s="22">
        <f>C666&gt;=Fit!$B$32</f>
        <v/>
      </c>
    </row>
    <row r="667">
      <c r="A667" s="12" t="n">
        <v>649</v>
      </c>
      <c r="B667" s="21">
        <f>B666*(A667+$B$7-1)*(1-$B$5)/A667</f>
        <v/>
      </c>
      <c r="C667" s="15">
        <f>C666+B667</f>
        <v/>
      </c>
      <c r="D667" s="6">
        <f>D666-(1-C666)</f>
        <v/>
      </c>
      <c r="E667" s="22">
        <f>C667&gt;=Fit!$B$32</f>
        <v/>
      </c>
    </row>
    <row r="668">
      <c r="A668" s="12" t="n">
        <v>650</v>
      </c>
      <c r="B668" s="21">
        <f>B667*(A668+$B$7-1)*(1-$B$5)/A668</f>
        <v/>
      </c>
      <c r="C668" s="15">
        <f>C667+B668</f>
        <v/>
      </c>
      <c r="D668" s="6">
        <f>D667-(1-C667)</f>
        <v/>
      </c>
      <c r="E668" s="22">
        <f>C668&gt;=Fit!$B$32</f>
        <v/>
      </c>
    </row>
    <row r="669">
      <c r="A669" s="12" t="n">
        <v>651</v>
      </c>
      <c r="B669" s="21">
        <f>B668*(A669+$B$7-1)*(1-$B$5)/A669</f>
        <v/>
      </c>
      <c r="C669" s="15">
        <f>C668+B669</f>
        <v/>
      </c>
      <c r="D669" s="6">
        <f>D668-(1-C668)</f>
        <v/>
      </c>
      <c r="E669" s="22">
        <f>C669&gt;=Fit!$B$32</f>
        <v/>
      </c>
    </row>
    <row r="670">
      <c r="A670" s="12" t="n">
        <v>652</v>
      </c>
      <c r="B670" s="21">
        <f>B669*(A670+$B$7-1)*(1-$B$5)/A670</f>
        <v/>
      </c>
      <c r="C670" s="15">
        <f>C669+B670</f>
        <v/>
      </c>
      <c r="D670" s="6">
        <f>D669-(1-C669)</f>
        <v/>
      </c>
      <c r="E670" s="22">
        <f>C670&gt;=Fit!$B$32</f>
        <v/>
      </c>
    </row>
    <row r="671">
      <c r="A671" s="12" t="n">
        <v>653</v>
      </c>
      <c r="B671" s="21">
        <f>B670*(A671+$B$7-1)*(1-$B$5)/A671</f>
        <v/>
      </c>
      <c r="C671" s="15">
        <f>C670+B671</f>
        <v/>
      </c>
      <c r="D671" s="6">
        <f>D670-(1-C670)</f>
        <v/>
      </c>
      <c r="E671" s="22">
        <f>C671&gt;=Fit!$B$32</f>
        <v/>
      </c>
    </row>
    <row r="672">
      <c r="A672" s="12" t="n">
        <v>654</v>
      </c>
      <c r="B672" s="21">
        <f>B671*(A672+$B$7-1)*(1-$B$5)/A672</f>
        <v/>
      </c>
      <c r="C672" s="15">
        <f>C671+B672</f>
        <v/>
      </c>
      <c r="D672" s="6">
        <f>D671-(1-C671)</f>
        <v/>
      </c>
      <c r="E672" s="22">
        <f>C672&gt;=Fit!$B$32</f>
        <v/>
      </c>
    </row>
    <row r="673">
      <c r="A673" s="12" t="n">
        <v>655</v>
      </c>
      <c r="B673" s="21">
        <f>B672*(A673+$B$7-1)*(1-$B$5)/A673</f>
        <v/>
      </c>
      <c r="C673" s="15">
        <f>C672+B673</f>
        <v/>
      </c>
      <c r="D673" s="6">
        <f>D672-(1-C672)</f>
        <v/>
      </c>
      <c r="E673" s="22">
        <f>C673&gt;=Fit!$B$32</f>
        <v/>
      </c>
    </row>
    <row r="674">
      <c r="A674" s="12" t="n">
        <v>656</v>
      </c>
      <c r="B674" s="21">
        <f>B673*(A674+$B$7-1)*(1-$B$5)/A674</f>
        <v/>
      </c>
      <c r="C674" s="15">
        <f>C673+B674</f>
        <v/>
      </c>
      <c r="D674" s="6">
        <f>D673-(1-C673)</f>
        <v/>
      </c>
      <c r="E674" s="22">
        <f>C674&gt;=Fit!$B$32</f>
        <v/>
      </c>
    </row>
    <row r="675">
      <c r="A675" s="12" t="n">
        <v>657</v>
      </c>
      <c r="B675" s="21">
        <f>B674*(A675+$B$7-1)*(1-$B$5)/A675</f>
        <v/>
      </c>
      <c r="C675" s="15">
        <f>C674+B675</f>
        <v/>
      </c>
      <c r="D675" s="6">
        <f>D674-(1-C674)</f>
        <v/>
      </c>
      <c r="E675" s="22">
        <f>C675&gt;=Fit!$B$32</f>
        <v/>
      </c>
    </row>
    <row r="676">
      <c r="A676" s="12" t="n">
        <v>658</v>
      </c>
      <c r="B676" s="21">
        <f>B675*(A676+$B$7-1)*(1-$B$5)/A676</f>
        <v/>
      </c>
      <c r="C676" s="15">
        <f>C675+B676</f>
        <v/>
      </c>
      <c r="D676" s="6">
        <f>D675-(1-C675)</f>
        <v/>
      </c>
      <c r="E676" s="22">
        <f>C676&gt;=Fit!$B$32</f>
        <v/>
      </c>
    </row>
    <row r="677">
      <c r="A677" s="12" t="n">
        <v>659</v>
      </c>
      <c r="B677" s="21">
        <f>B676*(A677+$B$7-1)*(1-$B$5)/A677</f>
        <v/>
      </c>
      <c r="C677" s="15">
        <f>C676+B677</f>
        <v/>
      </c>
      <c r="D677" s="6">
        <f>D676-(1-C676)</f>
        <v/>
      </c>
      <c r="E677" s="22">
        <f>C677&gt;=Fit!$B$32</f>
        <v/>
      </c>
    </row>
    <row r="678">
      <c r="A678" s="12" t="n">
        <v>660</v>
      </c>
      <c r="B678" s="21">
        <f>B677*(A678+$B$7-1)*(1-$B$5)/A678</f>
        <v/>
      </c>
      <c r="C678" s="15">
        <f>C677+B678</f>
        <v/>
      </c>
      <c r="D678" s="6">
        <f>D677-(1-C677)</f>
        <v/>
      </c>
      <c r="E678" s="22">
        <f>C678&gt;=Fit!$B$32</f>
        <v/>
      </c>
    </row>
    <row r="679">
      <c r="A679" s="12" t="n">
        <v>661</v>
      </c>
      <c r="B679" s="21">
        <f>B678*(A679+$B$7-1)*(1-$B$5)/A679</f>
        <v/>
      </c>
      <c r="C679" s="15">
        <f>C678+B679</f>
        <v/>
      </c>
      <c r="D679" s="6">
        <f>D678-(1-C678)</f>
        <v/>
      </c>
      <c r="E679" s="22">
        <f>C679&gt;=Fit!$B$32</f>
        <v/>
      </c>
    </row>
    <row r="680">
      <c r="A680" s="12" t="n">
        <v>662</v>
      </c>
      <c r="B680" s="21">
        <f>B679*(A680+$B$7-1)*(1-$B$5)/A680</f>
        <v/>
      </c>
      <c r="C680" s="15">
        <f>C679+B680</f>
        <v/>
      </c>
      <c r="D680" s="6">
        <f>D679-(1-C679)</f>
        <v/>
      </c>
      <c r="E680" s="22">
        <f>C680&gt;=Fit!$B$32</f>
        <v/>
      </c>
    </row>
    <row r="681">
      <c r="A681" s="12" t="n">
        <v>663</v>
      </c>
      <c r="B681" s="21">
        <f>B680*(A681+$B$7-1)*(1-$B$5)/A681</f>
        <v/>
      </c>
      <c r="C681" s="15">
        <f>C680+B681</f>
        <v/>
      </c>
      <c r="D681" s="6">
        <f>D680-(1-C680)</f>
        <v/>
      </c>
      <c r="E681" s="22">
        <f>C681&gt;=Fit!$B$32</f>
        <v/>
      </c>
    </row>
    <row r="682">
      <c r="A682" s="12" t="n">
        <v>664</v>
      </c>
      <c r="B682" s="21">
        <f>B681*(A682+$B$7-1)*(1-$B$5)/A682</f>
        <v/>
      </c>
      <c r="C682" s="15">
        <f>C681+B682</f>
        <v/>
      </c>
      <c r="D682" s="6">
        <f>D681-(1-C681)</f>
        <v/>
      </c>
      <c r="E682" s="22">
        <f>C682&gt;=Fit!$B$32</f>
        <v/>
      </c>
    </row>
    <row r="683">
      <c r="A683" s="12" t="n">
        <v>665</v>
      </c>
      <c r="B683" s="21">
        <f>B682*(A683+$B$7-1)*(1-$B$5)/A683</f>
        <v/>
      </c>
      <c r="C683" s="15">
        <f>C682+B683</f>
        <v/>
      </c>
      <c r="D683" s="6">
        <f>D682-(1-C682)</f>
        <v/>
      </c>
      <c r="E683" s="22">
        <f>C683&gt;=Fit!$B$32</f>
        <v/>
      </c>
    </row>
    <row r="684">
      <c r="A684" s="12" t="n">
        <v>666</v>
      </c>
      <c r="B684" s="21">
        <f>B683*(A684+$B$7-1)*(1-$B$5)/A684</f>
        <v/>
      </c>
      <c r="C684" s="15">
        <f>C683+B684</f>
        <v/>
      </c>
      <c r="D684" s="6">
        <f>D683-(1-C683)</f>
        <v/>
      </c>
      <c r="E684" s="22">
        <f>C684&gt;=Fit!$B$32</f>
        <v/>
      </c>
    </row>
    <row r="685">
      <c r="A685" s="12" t="n">
        <v>667</v>
      </c>
      <c r="B685" s="21">
        <f>B684*(A685+$B$7-1)*(1-$B$5)/A685</f>
        <v/>
      </c>
      <c r="C685" s="15">
        <f>C684+B685</f>
        <v/>
      </c>
      <c r="D685" s="6">
        <f>D684-(1-C684)</f>
        <v/>
      </c>
      <c r="E685" s="22">
        <f>C685&gt;=Fit!$B$32</f>
        <v/>
      </c>
    </row>
    <row r="686">
      <c r="A686" s="12" t="n">
        <v>668</v>
      </c>
      <c r="B686" s="21">
        <f>B685*(A686+$B$7-1)*(1-$B$5)/A686</f>
        <v/>
      </c>
      <c r="C686" s="15">
        <f>C685+B686</f>
        <v/>
      </c>
      <c r="D686" s="6">
        <f>D685-(1-C685)</f>
        <v/>
      </c>
      <c r="E686" s="22">
        <f>C686&gt;=Fit!$B$32</f>
        <v/>
      </c>
    </row>
    <row r="687">
      <c r="A687" s="12" t="n">
        <v>669</v>
      </c>
      <c r="B687" s="21">
        <f>B686*(A687+$B$7-1)*(1-$B$5)/A687</f>
        <v/>
      </c>
      <c r="C687" s="15">
        <f>C686+B687</f>
        <v/>
      </c>
      <c r="D687" s="6">
        <f>D686-(1-C686)</f>
        <v/>
      </c>
      <c r="E687" s="22">
        <f>C687&gt;=Fit!$B$32</f>
        <v/>
      </c>
    </row>
    <row r="688">
      <c r="A688" s="12" t="n">
        <v>670</v>
      </c>
      <c r="B688" s="21">
        <f>B687*(A688+$B$7-1)*(1-$B$5)/A688</f>
        <v/>
      </c>
      <c r="C688" s="15">
        <f>C687+B688</f>
        <v/>
      </c>
      <c r="D688" s="6">
        <f>D687-(1-C687)</f>
        <v/>
      </c>
      <c r="E688" s="22">
        <f>C688&gt;=Fit!$B$32</f>
        <v/>
      </c>
    </row>
    <row r="689">
      <c r="A689" s="12" t="n">
        <v>671</v>
      </c>
      <c r="B689" s="21">
        <f>B688*(A689+$B$7-1)*(1-$B$5)/A689</f>
        <v/>
      </c>
      <c r="C689" s="15">
        <f>C688+B689</f>
        <v/>
      </c>
      <c r="D689" s="6">
        <f>D688-(1-C688)</f>
        <v/>
      </c>
      <c r="E689" s="22">
        <f>C689&gt;=Fit!$B$32</f>
        <v/>
      </c>
    </row>
    <row r="690">
      <c r="A690" s="12" t="n">
        <v>672</v>
      </c>
      <c r="B690" s="21">
        <f>B689*(A690+$B$7-1)*(1-$B$5)/A690</f>
        <v/>
      </c>
      <c r="C690" s="15">
        <f>C689+B690</f>
        <v/>
      </c>
      <c r="D690" s="6">
        <f>D689-(1-C689)</f>
        <v/>
      </c>
      <c r="E690" s="22">
        <f>C690&gt;=Fit!$B$32</f>
        <v/>
      </c>
    </row>
    <row r="691">
      <c r="A691" s="12" t="n">
        <v>673</v>
      </c>
      <c r="B691" s="21">
        <f>B690*(A691+$B$7-1)*(1-$B$5)/A691</f>
        <v/>
      </c>
      <c r="C691" s="15">
        <f>C690+B691</f>
        <v/>
      </c>
      <c r="D691" s="6">
        <f>D690-(1-C690)</f>
        <v/>
      </c>
      <c r="E691" s="22">
        <f>C691&gt;=Fit!$B$32</f>
        <v/>
      </c>
    </row>
    <row r="692">
      <c r="A692" s="12" t="n">
        <v>674</v>
      </c>
      <c r="B692" s="21">
        <f>B691*(A692+$B$7-1)*(1-$B$5)/A692</f>
        <v/>
      </c>
      <c r="C692" s="15">
        <f>C691+B692</f>
        <v/>
      </c>
      <c r="D692" s="6">
        <f>D691-(1-C691)</f>
        <v/>
      </c>
      <c r="E692" s="22">
        <f>C692&gt;=Fit!$B$32</f>
        <v/>
      </c>
    </row>
    <row r="693">
      <c r="A693" s="12" t="n">
        <v>675</v>
      </c>
      <c r="B693" s="21">
        <f>B692*(A693+$B$7-1)*(1-$B$5)/A693</f>
        <v/>
      </c>
      <c r="C693" s="15">
        <f>C692+B693</f>
        <v/>
      </c>
      <c r="D693" s="6">
        <f>D692-(1-C692)</f>
        <v/>
      </c>
      <c r="E693" s="22">
        <f>C693&gt;=Fit!$B$32</f>
        <v/>
      </c>
    </row>
    <row r="694">
      <c r="A694" s="12" t="n">
        <v>676</v>
      </c>
      <c r="B694" s="21">
        <f>B693*(A694+$B$7-1)*(1-$B$5)/A694</f>
        <v/>
      </c>
      <c r="C694" s="15">
        <f>C693+B694</f>
        <v/>
      </c>
      <c r="D694" s="6">
        <f>D693-(1-C693)</f>
        <v/>
      </c>
      <c r="E694" s="22">
        <f>C694&gt;=Fit!$B$32</f>
        <v/>
      </c>
    </row>
    <row r="695">
      <c r="A695" s="12" t="n">
        <v>677</v>
      </c>
      <c r="B695" s="21">
        <f>B694*(A695+$B$7-1)*(1-$B$5)/A695</f>
        <v/>
      </c>
      <c r="C695" s="15">
        <f>C694+B695</f>
        <v/>
      </c>
      <c r="D695" s="6">
        <f>D694-(1-C694)</f>
        <v/>
      </c>
      <c r="E695" s="22">
        <f>C695&gt;=Fit!$B$32</f>
        <v/>
      </c>
    </row>
    <row r="696">
      <c r="A696" s="12" t="n">
        <v>678</v>
      </c>
      <c r="B696" s="21">
        <f>B695*(A696+$B$7-1)*(1-$B$5)/A696</f>
        <v/>
      </c>
      <c r="C696" s="15">
        <f>C695+B696</f>
        <v/>
      </c>
      <c r="D696" s="6">
        <f>D695-(1-C695)</f>
        <v/>
      </c>
      <c r="E696" s="22">
        <f>C696&gt;=Fit!$B$32</f>
        <v/>
      </c>
    </row>
    <row r="697">
      <c r="A697" s="12" t="n">
        <v>679</v>
      </c>
      <c r="B697" s="21">
        <f>B696*(A697+$B$7-1)*(1-$B$5)/A697</f>
        <v/>
      </c>
      <c r="C697" s="15">
        <f>C696+B697</f>
        <v/>
      </c>
      <c r="D697" s="6">
        <f>D696-(1-C696)</f>
        <v/>
      </c>
      <c r="E697" s="22">
        <f>C697&gt;=Fit!$B$32</f>
        <v/>
      </c>
    </row>
    <row r="698">
      <c r="A698" s="12" t="n">
        <v>680</v>
      </c>
      <c r="B698" s="21">
        <f>B697*(A698+$B$7-1)*(1-$B$5)/A698</f>
        <v/>
      </c>
      <c r="C698" s="15">
        <f>C697+B698</f>
        <v/>
      </c>
      <c r="D698" s="6">
        <f>D697-(1-C697)</f>
        <v/>
      </c>
      <c r="E698" s="22">
        <f>C698&gt;=Fit!$B$32</f>
        <v/>
      </c>
    </row>
    <row r="699">
      <c r="A699" s="12" t="n">
        <v>681</v>
      </c>
      <c r="B699" s="21">
        <f>B698*(A699+$B$7-1)*(1-$B$5)/A699</f>
        <v/>
      </c>
      <c r="C699" s="15">
        <f>C698+B699</f>
        <v/>
      </c>
      <c r="D699" s="6">
        <f>D698-(1-C698)</f>
        <v/>
      </c>
      <c r="E699" s="22">
        <f>C699&gt;=Fit!$B$32</f>
        <v/>
      </c>
    </row>
    <row r="700">
      <c r="A700" s="12" t="n">
        <v>682</v>
      </c>
      <c r="B700" s="21">
        <f>B699*(A700+$B$7-1)*(1-$B$5)/A700</f>
        <v/>
      </c>
      <c r="C700" s="15">
        <f>C699+B700</f>
        <v/>
      </c>
      <c r="D700" s="6">
        <f>D699-(1-C699)</f>
        <v/>
      </c>
      <c r="E700" s="22">
        <f>C700&gt;=Fit!$B$32</f>
        <v/>
      </c>
    </row>
    <row r="701">
      <c r="A701" s="12" t="n">
        <v>683</v>
      </c>
      <c r="B701" s="21">
        <f>B700*(A701+$B$7-1)*(1-$B$5)/A701</f>
        <v/>
      </c>
      <c r="C701" s="15">
        <f>C700+B701</f>
        <v/>
      </c>
      <c r="D701" s="6">
        <f>D700-(1-C700)</f>
        <v/>
      </c>
      <c r="E701" s="22">
        <f>C701&gt;=Fit!$B$32</f>
        <v/>
      </c>
    </row>
    <row r="702">
      <c r="A702" s="12" t="n">
        <v>684</v>
      </c>
      <c r="B702" s="21">
        <f>B701*(A702+$B$7-1)*(1-$B$5)/A702</f>
        <v/>
      </c>
      <c r="C702" s="15">
        <f>C701+B702</f>
        <v/>
      </c>
      <c r="D702" s="6">
        <f>D701-(1-C701)</f>
        <v/>
      </c>
      <c r="E702" s="22">
        <f>C702&gt;=Fit!$B$32</f>
        <v/>
      </c>
    </row>
    <row r="703">
      <c r="A703" s="12" t="n">
        <v>685</v>
      </c>
      <c r="B703" s="21">
        <f>B702*(A703+$B$7-1)*(1-$B$5)/A703</f>
        <v/>
      </c>
      <c r="C703" s="15">
        <f>C702+B703</f>
        <v/>
      </c>
      <c r="D703" s="6">
        <f>D702-(1-C702)</f>
        <v/>
      </c>
      <c r="E703" s="22">
        <f>C703&gt;=Fit!$B$32</f>
        <v/>
      </c>
    </row>
    <row r="704">
      <c r="A704" s="12" t="n">
        <v>686</v>
      </c>
      <c r="B704" s="21">
        <f>B703*(A704+$B$7-1)*(1-$B$5)/A704</f>
        <v/>
      </c>
      <c r="C704" s="15">
        <f>C703+B704</f>
        <v/>
      </c>
      <c r="D704" s="6">
        <f>D703-(1-C703)</f>
        <v/>
      </c>
      <c r="E704" s="22">
        <f>C704&gt;=Fit!$B$32</f>
        <v/>
      </c>
    </row>
    <row r="705">
      <c r="A705" s="12" t="n">
        <v>687</v>
      </c>
      <c r="B705" s="21">
        <f>B704*(A705+$B$7-1)*(1-$B$5)/A705</f>
        <v/>
      </c>
      <c r="C705" s="15">
        <f>C704+B705</f>
        <v/>
      </c>
      <c r="D705" s="6">
        <f>D704-(1-C704)</f>
        <v/>
      </c>
      <c r="E705" s="22">
        <f>C705&gt;=Fit!$B$32</f>
        <v/>
      </c>
    </row>
    <row r="706">
      <c r="A706" s="12" t="n">
        <v>688</v>
      </c>
      <c r="B706" s="21">
        <f>B705*(A706+$B$7-1)*(1-$B$5)/A706</f>
        <v/>
      </c>
      <c r="C706" s="15">
        <f>C705+B706</f>
        <v/>
      </c>
      <c r="D706" s="6">
        <f>D705-(1-C705)</f>
        <v/>
      </c>
      <c r="E706" s="22">
        <f>C706&gt;=Fit!$B$32</f>
        <v/>
      </c>
    </row>
    <row r="707">
      <c r="A707" s="12" t="n">
        <v>689</v>
      </c>
      <c r="B707" s="21">
        <f>B706*(A707+$B$7-1)*(1-$B$5)/A707</f>
        <v/>
      </c>
      <c r="C707" s="15">
        <f>C706+B707</f>
        <v/>
      </c>
      <c r="D707" s="6">
        <f>D706-(1-C706)</f>
        <v/>
      </c>
      <c r="E707" s="22">
        <f>C707&gt;=Fit!$B$32</f>
        <v/>
      </c>
    </row>
    <row r="708">
      <c r="A708" s="12" t="n">
        <v>690</v>
      </c>
      <c r="B708" s="21">
        <f>B707*(A708+$B$7-1)*(1-$B$5)/A708</f>
        <v/>
      </c>
      <c r="C708" s="15">
        <f>C707+B708</f>
        <v/>
      </c>
      <c r="D708" s="6">
        <f>D707-(1-C707)</f>
        <v/>
      </c>
      <c r="E708" s="22">
        <f>C708&gt;=Fit!$B$32</f>
        <v/>
      </c>
    </row>
    <row r="709">
      <c r="A709" s="12" t="n">
        <v>691</v>
      </c>
      <c r="B709" s="21">
        <f>B708*(A709+$B$7-1)*(1-$B$5)/A709</f>
        <v/>
      </c>
      <c r="C709" s="15">
        <f>C708+B709</f>
        <v/>
      </c>
      <c r="D709" s="6">
        <f>D708-(1-C708)</f>
        <v/>
      </c>
      <c r="E709" s="22">
        <f>C709&gt;=Fit!$B$32</f>
        <v/>
      </c>
    </row>
    <row r="710">
      <c r="A710" s="12" t="n">
        <v>692</v>
      </c>
      <c r="B710" s="21">
        <f>B709*(A710+$B$7-1)*(1-$B$5)/A710</f>
        <v/>
      </c>
      <c r="C710" s="15">
        <f>C709+B710</f>
        <v/>
      </c>
      <c r="D710" s="6">
        <f>D709-(1-C709)</f>
        <v/>
      </c>
      <c r="E710" s="22">
        <f>C710&gt;=Fit!$B$32</f>
        <v/>
      </c>
    </row>
    <row r="711">
      <c r="A711" s="12" t="n">
        <v>693</v>
      </c>
      <c r="B711" s="21">
        <f>B710*(A711+$B$7-1)*(1-$B$5)/A711</f>
        <v/>
      </c>
      <c r="C711" s="15">
        <f>C710+B711</f>
        <v/>
      </c>
      <c r="D711" s="6">
        <f>D710-(1-C710)</f>
        <v/>
      </c>
      <c r="E711" s="22">
        <f>C711&gt;=Fit!$B$32</f>
        <v/>
      </c>
    </row>
    <row r="712">
      <c r="A712" s="12" t="n">
        <v>694</v>
      </c>
      <c r="B712" s="21">
        <f>B711*(A712+$B$7-1)*(1-$B$5)/A712</f>
        <v/>
      </c>
      <c r="C712" s="15">
        <f>C711+B712</f>
        <v/>
      </c>
      <c r="D712" s="6">
        <f>D711-(1-C711)</f>
        <v/>
      </c>
      <c r="E712" s="22">
        <f>C712&gt;=Fit!$B$32</f>
        <v/>
      </c>
    </row>
    <row r="713">
      <c r="A713" s="12" t="n">
        <v>695</v>
      </c>
      <c r="B713" s="21">
        <f>B712*(A713+$B$7-1)*(1-$B$5)/A713</f>
        <v/>
      </c>
      <c r="C713" s="15">
        <f>C712+B713</f>
        <v/>
      </c>
      <c r="D713" s="6">
        <f>D712-(1-C712)</f>
        <v/>
      </c>
      <c r="E713" s="22">
        <f>C713&gt;=Fit!$B$32</f>
        <v/>
      </c>
    </row>
    <row r="714">
      <c r="A714" s="12" t="n">
        <v>696</v>
      </c>
      <c r="B714" s="21">
        <f>B713*(A714+$B$7-1)*(1-$B$5)/A714</f>
        <v/>
      </c>
      <c r="C714" s="15">
        <f>C713+B714</f>
        <v/>
      </c>
      <c r="D714" s="6">
        <f>D713-(1-C713)</f>
        <v/>
      </c>
      <c r="E714" s="22">
        <f>C714&gt;=Fit!$B$32</f>
        <v/>
      </c>
    </row>
    <row r="715">
      <c r="A715" s="12" t="n">
        <v>697</v>
      </c>
      <c r="B715" s="21">
        <f>B714*(A715+$B$7-1)*(1-$B$5)/A715</f>
        <v/>
      </c>
      <c r="C715" s="15">
        <f>C714+B715</f>
        <v/>
      </c>
      <c r="D715" s="6">
        <f>D714-(1-C714)</f>
        <v/>
      </c>
      <c r="E715" s="22">
        <f>C715&gt;=Fit!$B$32</f>
        <v/>
      </c>
    </row>
    <row r="716">
      <c r="A716" s="12" t="n">
        <v>698</v>
      </c>
      <c r="B716" s="21">
        <f>B715*(A716+$B$7-1)*(1-$B$5)/A716</f>
        <v/>
      </c>
      <c r="C716" s="15">
        <f>C715+B716</f>
        <v/>
      </c>
      <c r="D716" s="6">
        <f>D715-(1-C715)</f>
        <v/>
      </c>
      <c r="E716" s="22">
        <f>C716&gt;=Fit!$B$32</f>
        <v/>
      </c>
    </row>
    <row r="717">
      <c r="A717" s="12" t="n">
        <v>699</v>
      </c>
      <c r="B717" s="21">
        <f>B716*(A717+$B$7-1)*(1-$B$5)/A717</f>
        <v/>
      </c>
      <c r="C717" s="15">
        <f>C716+B717</f>
        <v/>
      </c>
      <c r="D717" s="6">
        <f>D716-(1-C716)</f>
        <v/>
      </c>
      <c r="E717" s="22">
        <f>C717&gt;=Fit!$B$32</f>
        <v/>
      </c>
    </row>
    <row r="718">
      <c r="A718" s="12" t="n">
        <v>700</v>
      </c>
      <c r="B718" s="21">
        <f>B717*(A718+$B$7-1)*(1-$B$5)/A718</f>
        <v/>
      </c>
      <c r="C718" s="15">
        <f>C717+B718</f>
        <v/>
      </c>
      <c r="D718" s="6">
        <f>D717-(1-C717)</f>
        <v/>
      </c>
      <c r="E718" s="22">
        <f>C718&gt;=Fit!$B$32</f>
        <v/>
      </c>
    </row>
  </sheetData>
  <pageMargins left="0.75" right="0.75" top="1" bottom="1" header="0.5" footer="0.5"/>
  <drawing r:id="rId1"/>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42" customWidth="1" min="1" max="1"/>
    <col width="16" customWidth="1" min="2" max="2"/>
    <col width="34" customWidth="1" min="3" max="3"/>
  </cols>
  <sheetData>
    <row r="1">
      <c r="A1" s="1" t="inlineStr">
        <is>
          <t>The decision</t>
        </is>
      </c>
    </row>
    <row r="2">
      <c r="A2" s="2" t="inlineStr">
        <is>
          <t>Chapter 7, sections 7.5 to 7.9. The final buy for the belt, in the profit quantities an invoice carries and the cost quantities the model uses.</t>
        </is>
      </c>
    </row>
    <row r="4">
      <c r="A4" s="23" t="inlineStr">
        <is>
          <t>WHAT AN INVOICE SAYS</t>
        </is>
      </c>
    </row>
    <row r="5">
      <c r="A5" s="13" t="inlineStr">
        <is>
          <t>Selling price, s</t>
        </is>
      </c>
      <c r="B5" s="24" t="n">
        <v>95</v>
      </c>
      <c r="C5" s="2" t="inlineStr">
        <is>
          <t>$/belt</t>
        </is>
      </c>
    </row>
    <row r="6">
      <c r="A6" s="13" t="inlineStr">
        <is>
          <t>Purchase cost, c</t>
        </is>
      </c>
      <c r="B6" s="24" t="n">
        <v>50</v>
      </c>
      <c r="C6" s="2" t="inlineStr">
        <is>
          <t>$/belt</t>
        </is>
      </c>
    </row>
    <row r="7">
      <c r="A7" s="13" t="inlineStr">
        <is>
          <t>Salvage value, u</t>
        </is>
      </c>
      <c r="B7" s="24" t="n">
        <v>12</v>
      </c>
      <c r="C7" s="2" t="inlineStr">
        <is>
          <t>$/belt</t>
        </is>
      </c>
    </row>
    <row r="8">
      <c r="A8" s="13" t="inlineStr">
        <is>
          <t>Stockout penalty, pi</t>
        </is>
      </c>
      <c r="B8" s="24" t="n">
        <v>0</v>
      </c>
      <c r="C8" s="2" t="inlineStr">
        <is>
          <t>$/belt beyond the lost margin</t>
        </is>
      </c>
    </row>
    <row r="9">
      <c r="A9" s="23" t="inlineStr">
        <is>
          <t>WHAT THE MODEL USES</t>
        </is>
      </c>
    </row>
    <row r="10">
      <c r="A10" s="13" t="inlineStr">
        <is>
          <t>Critical ratio</t>
        </is>
      </c>
      <c r="B10" s="6">
        <f>B12/(B12+B11)</f>
        <v/>
      </c>
    </row>
    <row r="11">
      <c r="A11" s="13" t="inlineStr">
        <is>
          <t>Overage cost, co = c - u</t>
        </is>
      </c>
      <c r="B11" s="25">
        <f>B6-B7</f>
        <v/>
      </c>
    </row>
    <row r="12">
      <c r="A12" s="13" t="inlineStr">
        <is>
          <t>Underage cost, cu = s - c + pi</t>
        </is>
      </c>
      <c r="B12" s="25">
        <f>B5-B6+B8</f>
        <v/>
      </c>
    </row>
    <row r="13">
      <c r="A13" s="26" t="inlineStr">
        <is>
          <t>Both are strictly positive or the model has nothing to trade. Row 14 says so rather than leaving a reader to notice.</t>
        </is>
      </c>
    </row>
    <row r="14">
      <c r="A14" s="13" t="inlineStr">
        <is>
          <t>Is the problem well posed?</t>
        </is>
      </c>
      <c r="B14" s="14">
        <f>IF(OR(B11&lt;=0,B12&lt;=0),"REFUSED: see section 7.9.3","admissible")</f>
        <v/>
      </c>
    </row>
    <row r="15">
      <c r="A15" s="13" t="n"/>
    </row>
    <row r="16">
      <c r="A16" s="23" t="inlineStr">
        <is>
          <t>DEMAND OVER THE PERIOD</t>
        </is>
      </c>
    </row>
    <row r="17">
      <c r="A17" s="13" t="inlineStr">
        <is>
          <t>Mean</t>
        </is>
      </c>
      <c r="B17" s="6">
        <f>Fit!B27</f>
        <v/>
      </c>
    </row>
    <row r="18">
      <c r="A18" s="13" t="inlineStr">
        <is>
          <t>Standard deviation</t>
        </is>
      </c>
      <c r="B18" s="6">
        <f>Fit!B29</f>
        <v/>
      </c>
    </row>
    <row r="19">
      <c r="A19" s="13" t="n"/>
    </row>
    <row r="20">
      <c r="A20" s="23" t="inlineStr">
        <is>
          <t>THE ANSWER</t>
        </is>
      </c>
    </row>
    <row r="21">
      <c r="A21" s="13" t="inlineStr">
        <is>
          <t>z at the critical ratio</t>
        </is>
      </c>
      <c r="B21" s="6">
        <f>_xlfn.NORM.S.INV(B10)</f>
        <v/>
      </c>
    </row>
    <row r="22">
      <c r="A22" s="13" t="inlineStr">
        <is>
          <t>Order quantity, Q*</t>
        </is>
      </c>
      <c r="B22" s="6">
        <f>B17+B21*B18</f>
        <v/>
      </c>
    </row>
    <row r="23">
      <c r="A23" s="26" t="inlineStr">
        <is>
          <t>The loss function is arithmetic and not a macro. Phi1(z) = phi(z) - z(1 - Phi(z)), and G1 = sigma times that.</t>
        </is>
      </c>
    </row>
    <row r="24">
      <c r="A24" s="13" t="inlineStr">
        <is>
          <t>phi(z)</t>
        </is>
      </c>
      <c r="B24" s="6">
        <f>_xlfn.NORM.S.DIST(B21,FALSE)</f>
        <v/>
      </c>
    </row>
    <row r="25">
      <c r="A25" s="13" t="inlineStr">
        <is>
          <t>1 - Phi(z)</t>
        </is>
      </c>
      <c r="B25" s="6">
        <f>1-_xlfn.NORM.S.DIST(B21,TRUE)</f>
        <v/>
      </c>
    </row>
    <row r="26">
      <c r="A26" s="13" t="inlineStr">
        <is>
          <t>Phi1(z)</t>
        </is>
      </c>
      <c r="B26" s="6">
        <f>B24-B21*B25</f>
        <v/>
      </c>
    </row>
    <row r="27">
      <c r="A27" s="13" t="inlineStr">
        <is>
          <t>Expected shortage, G1(Q*)</t>
        </is>
      </c>
      <c r="B27" s="6">
        <f>B18*B26</f>
        <v/>
      </c>
    </row>
    <row r="28">
      <c r="A28" s="13" t="inlineStr">
        <is>
          <t>Expected leftover</t>
        </is>
      </c>
      <c r="B28" s="6">
        <f>B22-B17+B27</f>
        <v/>
      </c>
    </row>
    <row r="29">
      <c r="A29" s="13" t="n"/>
    </row>
    <row r="30">
      <c r="A30" s="23" t="inlineStr">
        <is>
          <t>WHAT IT COSTS, TWICE</t>
        </is>
      </c>
    </row>
    <row r="31">
      <c r="A31" s="26" t="inlineStr">
        <is>
          <t>Equation 7.9 has two forms and they must agree. Row 34 is that check wired into the sheet: it reads zero or something is wrong.</t>
        </is>
      </c>
    </row>
    <row r="32">
      <c r="A32" s="13" t="inlineStr">
        <is>
          <t>Expected cost, co(leftover) + cu(shortage)</t>
        </is>
      </c>
      <c r="B32" s="25">
        <f>B11*B28+B12*B27</f>
        <v/>
      </c>
    </row>
    <row r="33">
      <c r="A33" s="13" t="inlineStr">
        <is>
          <t>Expected cost, (cu+co)G1 + co(Q-mean)</t>
        </is>
      </c>
      <c r="B33" s="25">
        <f>(B12+B11)*B27+B11*(B22-B17)</f>
        <v/>
      </c>
    </row>
    <row r="34">
      <c r="A34" s="13" t="inlineStr">
        <is>
          <t>Difference, which must be zero</t>
        </is>
      </c>
      <c r="B34" s="27">
        <f>B32-B33</f>
        <v/>
      </c>
    </row>
    <row r="35">
      <c r="A35" s="13" t="inlineStr">
        <is>
          <t>Expected profit</t>
        </is>
      </c>
      <c r="B35" s="25">
        <f>(B5-B6)*B17-B32</f>
        <v/>
      </c>
    </row>
    <row r="36">
      <c r="A36" s="13" t="inlineStr">
        <is>
          <t>Cash committed at Q*</t>
        </is>
      </c>
      <c r="B36" s="25">
        <f>B6*B22</f>
        <v/>
      </c>
    </row>
    <row r="37">
      <c r="A37" s="13" t="n"/>
    </row>
    <row r="38">
      <c r="A38" s="23" t="inlineStr">
        <is>
          <t>TYPE A QUANTITY OF YOUR OWN</t>
        </is>
      </c>
    </row>
    <row r="39">
      <c r="A39" s="26" t="inlineStr">
        <is>
          <t>The block above solves. This one prices whatever you type, so a reader can see how flat the optimum is by trying numbers either side of it. It starts at the mean, rounded to a whole belt.</t>
        </is>
      </c>
    </row>
    <row r="40">
      <c r="A40" s="13" t="inlineStr">
        <is>
          <t>Quantity</t>
        </is>
      </c>
      <c r="B40" s="28" t="n">
        <v>465</v>
      </c>
      <c r="C40" s="2" t="inlineStr">
        <is>
          <t>belts</t>
        </is>
      </c>
    </row>
    <row r="41">
      <c r="A41" s="13" t="inlineStr">
        <is>
          <t>z at that quantity</t>
        </is>
      </c>
      <c r="B41" s="6">
        <f>(B40-B17)/B18</f>
        <v/>
      </c>
    </row>
    <row r="42">
      <c r="A42" s="13" t="inlineStr">
        <is>
          <t>Expected shortage</t>
        </is>
      </c>
      <c r="B42" s="6">
        <f>B18*(_xlfn.NORM.S.DIST(B41,FALSE)-B41*(1-_xlfn.NORM.S.DIST(B41,TRUE)))</f>
        <v/>
      </c>
    </row>
    <row r="43">
      <c r="A43" s="13" t="inlineStr">
        <is>
          <t>Expected cost</t>
        </is>
      </c>
      <c r="B43" s="25">
        <f>(B12+B11)*B42+B11*(B40-B17)</f>
        <v/>
      </c>
    </row>
    <row r="44">
      <c r="A44" s="13" t="inlineStr">
        <is>
          <t>Penalty against the optimum</t>
        </is>
      </c>
      <c r="B44" s="18">
        <f>B43/B32-1</f>
        <v/>
      </c>
    </row>
    <row r="45">
      <c r="A45" s="13" t="n"/>
    </row>
    <row r="46">
      <c r="A46" s="23" t="inlineStr">
        <is>
          <t>STOCK ALREADY ON HAND</t>
        </is>
      </c>
    </row>
    <row r="47">
      <c r="A47" s="26" t="inlineStr">
        <is>
          <t>Equation 7.15. What the model sets is the quantity that should be available, so the order is that less what is already there.</t>
        </is>
      </c>
    </row>
    <row r="48">
      <c r="A48" s="13" t="inlineStr">
        <is>
          <t>On hand</t>
        </is>
      </c>
      <c r="B48" s="28" t="n">
        <v>0</v>
      </c>
      <c r="C48" s="2" t="inlineStr">
        <is>
          <t>belts</t>
        </is>
      </c>
    </row>
    <row r="49">
      <c r="A49" s="13" t="inlineStr">
        <is>
          <t>Order-up-to level, S*</t>
        </is>
      </c>
      <c r="B49" s="6">
        <f>B22</f>
        <v/>
      </c>
    </row>
    <row r="50">
      <c r="A50" s="13" t="inlineStr">
        <is>
          <t>Order</t>
        </is>
      </c>
      <c r="B50" s="6">
        <f>MAX(0,B49-B48)</f>
        <v/>
      </c>
    </row>
  </sheetData>
  <pageMargins left="0.75" right="0.75" top="1" bottom="1" header="0.5" footer="0.5"/>
  <drawing r:id="rId1"/>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6" customWidth="1" min="5" max="5"/>
    <col width="11" customWidth="1" min="6" max="6"/>
    <col width="8" customWidth="1" min="7" max="7"/>
  </cols>
  <sheetData>
    <row r="1">
      <c r="A1" s="1" t="inlineStr">
        <is>
          <t>When demand is counted</t>
        </is>
      </c>
    </row>
    <row r="2">
      <c r="A2" s="2" t="inlineStr">
        <is>
          <t>Chapter 7, section 7.8. The spare transformer. A staircase distribution function rarely lands on the critical ratio, so the answer is the smallest quantity that reaches it.</t>
        </is>
      </c>
    </row>
    <row r="4">
      <c r="A4" s="4" t="inlineStr">
        <is>
          <t>THE ITEM</t>
        </is>
      </c>
    </row>
    <row r="5">
      <c r="A5" t="inlineStr">
        <is>
          <t>Expected failures over the window</t>
        </is>
      </c>
      <c r="B5" s="28" t="n">
        <v>6</v>
      </c>
      <c r="C5" s="2" t="inlineStr">
        <is>
          <t>transformers</t>
        </is>
      </c>
    </row>
    <row r="6">
      <c r="A6" t="inlineStr">
        <is>
          <t>Purchase cost</t>
        </is>
      </c>
      <c r="B6" s="24" t="n">
        <v>3800</v>
      </c>
      <c r="C6" s="2" t="inlineStr">
        <is>
          <t>$ each</t>
        </is>
      </c>
    </row>
    <row r="7">
      <c r="A7" t="inlineStr">
        <is>
          <t>Scrap value</t>
        </is>
      </c>
      <c r="B7" s="24" t="n">
        <v>900</v>
      </c>
      <c r="C7" s="2" t="inlineStr">
        <is>
          <t>$ each</t>
        </is>
      </c>
    </row>
    <row r="8">
      <c r="A8" t="inlineStr">
        <is>
          <t>Emergency purchase price</t>
        </is>
      </c>
      <c r="B8" s="24" t="n">
        <v>9500</v>
      </c>
      <c r="C8" s="2" t="inlineStr">
        <is>
          <t>$ each</t>
        </is>
      </c>
    </row>
    <row r="9">
      <c r="A9" t="inlineStr">
        <is>
          <t>Overage cost, co</t>
        </is>
      </c>
      <c r="B9" s="25">
        <f>B6-B7</f>
        <v/>
      </c>
    </row>
    <row r="10">
      <c r="A10" t="inlineStr">
        <is>
          <t>Underage cost, cu</t>
        </is>
      </c>
      <c r="B10" s="25">
        <f>B8-B6</f>
        <v/>
      </c>
    </row>
    <row r="11">
      <c r="A11" t="inlineStr">
        <is>
          <t>Critical ratio</t>
        </is>
      </c>
      <c r="B11" s="6">
        <f>B10/(B10+B9)</f>
        <v/>
      </c>
    </row>
    <row r="12">
      <c r="A12" t="inlineStr">
        <is>
          <t>Order quantity, Q*</t>
        </is>
      </c>
      <c r="B12" s="5">
        <f>INDEX(Candidate,MATCH(TRUE,Reached,0))</f>
        <v/>
      </c>
    </row>
    <row r="13">
      <c r="A13" s="2" t="inlineStr">
        <is>
          <t>Row 12 reads the table below rather than repeating its logic. Change a price and watch both move.</t>
        </is>
      </c>
    </row>
    <row r="15">
      <c r="A15" s="4" t="inlineStr">
        <is>
          <t>THE WALK      one transformer at a time</t>
        </is>
      </c>
    </row>
    <row r="16">
      <c r="A16" s="2" t="inlineStr">
        <is>
          <t>The loss function is the recursion of Equation C.6: G1(Q) = G1(Q-1) - (1 - F(Q-1)), starting from G1(0) = the mean. The cost column is not used by the rule. It is there so the two agree.</t>
        </is>
      </c>
    </row>
    <row r="17">
      <c r="A17" s="8" t="inlineStr">
        <is>
          <t>Q</t>
        </is>
      </c>
      <c r="B17" s="7" t="inlineStr">
        <is>
          <t>g(Q)</t>
        </is>
      </c>
      <c r="C17" s="7" t="inlineStr">
        <is>
          <t>F(Q)</t>
        </is>
      </c>
      <c r="D17" s="7" t="inlineStr">
        <is>
          <t>G1(Q)</t>
        </is>
      </c>
      <c r="E17" s="8" t="inlineStr">
        <is>
          <t>Expected cost</t>
        </is>
      </c>
      <c r="F17" s="7" t="inlineStr">
        <is>
          <t>Reached?</t>
        </is>
      </c>
    </row>
    <row r="18">
      <c r="A18" s="12" t="n">
        <v>0</v>
      </c>
      <c r="B18" s="6">
        <f>_xlfn.POISSON.DIST(A18,$B$5,FALSE)</f>
        <v/>
      </c>
      <c r="C18" s="6">
        <f>_xlfn.POISSON.DIST(A18,$B$5,TRUE)</f>
        <v/>
      </c>
      <c r="D18" s="6">
        <f>$B$5</f>
        <v/>
      </c>
      <c r="E18" s="29">
        <f>$B$9*(A18-$B$5+D18)+$B$10*D18</f>
        <v/>
      </c>
      <c r="F18" s="22">
        <f>C18&gt;=$B$11</f>
        <v/>
      </c>
      <c r="G18" s="14">
        <f>IF(F18,"&lt;--","")</f>
        <v/>
      </c>
    </row>
    <row r="19">
      <c r="A19" s="12" t="n">
        <v>1</v>
      </c>
      <c r="B19" s="6">
        <f>_xlfn.POISSON.DIST(A19,$B$5,FALSE)</f>
        <v/>
      </c>
      <c r="C19" s="6">
        <f>_xlfn.POISSON.DIST(A19,$B$5,TRUE)</f>
        <v/>
      </c>
      <c r="D19" s="6">
        <f>D18-(1-C18)</f>
        <v/>
      </c>
      <c r="E19" s="29">
        <f>$B$9*(A19-$B$5+D19)+$B$10*D19</f>
        <v/>
      </c>
      <c r="F19" s="22">
        <f>C19&gt;=$B$11</f>
        <v/>
      </c>
      <c r="G19" s="14">
        <f>IF(AND(F19,NOT(F18)),"&lt;--","")</f>
        <v/>
      </c>
    </row>
    <row r="20">
      <c r="A20" s="12" t="n">
        <v>2</v>
      </c>
      <c r="B20" s="6">
        <f>_xlfn.POISSON.DIST(A20,$B$5,FALSE)</f>
        <v/>
      </c>
      <c r="C20" s="6">
        <f>_xlfn.POISSON.DIST(A20,$B$5,TRUE)</f>
        <v/>
      </c>
      <c r="D20" s="6">
        <f>D19-(1-C19)</f>
        <v/>
      </c>
      <c r="E20" s="29">
        <f>$B$9*(A20-$B$5+D20)+$B$10*D20</f>
        <v/>
      </c>
      <c r="F20" s="22">
        <f>C20&gt;=$B$11</f>
        <v/>
      </c>
      <c r="G20" s="14">
        <f>IF(AND(F20,NOT(F19)),"&lt;--","")</f>
        <v/>
      </c>
    </row>
    <row r="21">
      <c r="A21" s="12" t="n">
        <v>3</v>
      </c>
      <c r="B21" s="6">
        <f>_xlfn.POISSON.DIST(A21,$B$5,FALSE)</f>
        <v/>
      </c>
      <c r="C21" s="6">
        <f>_xlfn.POISSON.DIST(A21,$B$5,TRUE)</f>
        <v/>
      </c>
      <c r="D21" s="6">
        <f>D20-(1-C20)</f>
        <v/>
      </c>
      <c r="E21" s="29">
        <f>$B$9*(A21-$B$5+D21)+$B$10*D21</f>
        <v/>
      </c>
      <c r="F21" s="22">
        <f>C21&gt;=$B$11</f>
        <v/>
      </c>
      <c r="G21" s="14">
        <f>IF(AND(F21,NOT(F20)),"&lt;--","")</f>
        <v/>
      </c>
    </row>
    <row r="22">
      <c r="A22" s="12" t="n">
        <v>4</v>
      </c>
      <c r="B22" s="6">
        <f>_xlfn.POISSON.DIST(A22,$B$5,FALSE)</f>
        <v/>
      </c>
      <c r="C22" s="6">
        <f>_xlfn.POISSON.DIST(A22,$B$5,TRUE)</f>
        <v/>
      </c>
      <c r="D22" s="6">
        <f>D21-(1-C21)</f>
        <v/>
      </c>
      <c r="E22" s="29">
        <f>$B$9*(A22-$B$5+D22)+$B$10*D22</f>
        <v/>
      </c>
      <c r="F22" s="22">
        <f>C22&gt;=$B$11</f>
        <v/>
      </c>
      <c r="G22" s="14">
        <f>IF(AND(F22,NOT(F21)),"&lt;--","")</f>
        <v/>
      </c>
    </row>
    <row r="23">
      <c r="A23" s="12" t="n">
        <v>5</v>
      </c>
      <c r="B23" s="6">
        <f>_xlfn.POISSON.DIST(A23,$B$5,FALSE)</f>
        <v/>
      </c>
      <c r="C23" s="6">
        <f>_xlfn.POISSON.DIST(A23,$B$5,TRUE)</f>
        <v/>
      </c>
      <c r="D23" s="6">
        <f>D22-(1-C22)</f>
        <v/>
      </c>
      <c r="E23" s="29">
        <f>$B$9*(A23-$B$5+D23)+$B$10*D23</f>
        <v/>
      </c>
      <c r="F23" s="22">
        <f>C23&gt;=$B$11</f>
        <v/>
      </c>
      <c r="G23" s="14">
        <f>IF(AND(F23,NOT(F22)),"&lt;--","")</f>
        <v/>
      </c>
    </row>
    <row r="24">
      <c r="A24" s="12" t="n">
        <v>6</v>
      </c>
      <c r="B24" s="6">
        <f>_xlfn.POISSON.DIST(A24,$B$5,FALSE)</f>
        <v/>
      </c>
      <c r="C24" s="6">
        <f>_xlfn.POISSON.DIST(A24,$B$5,TRUE)</f>
        <v/>
      </c>
      <c r="D24" s="6">
        <f>D23-(1-C23)</f>
        <v/>
      </c>
      <c r="E24" s="29">
        <f>$B$9*(A24-$B$5+D24)+$B$10*D24</f>
        <v/>
      </c>
      <c r="F24" s="22">
        <f>C24&gt;=$B$11</f>
        <v/>
      </c>
      <c r="G24" s="14">
        <f>IF(AND(F24,NOT(F23)),"&lt;--","")</f>
        <v/>
      </c>
    </row>
    <row r="25">
      <c r="A25" s="12" t="n">
        <v>7</v>
      </c>
      <c r="B25" s="6">
        <f>_xlfn.POISSON.DIST(A25,$B$5,FALSE)</f>
        <v/>
      </c>
      <c r="C25" s="6">
        <f>_xlfn.POISSON.DIST(A25,$B$5,TRUE)</f>
        <v/>
      </c>
      <c r="D25" s="6">
        <f>D24-(1-C24)</f>
        <v/>
      </c>
      <c r="E25" s="29">
        <f>$B$9*(A25-$B$5+D25)+$B$10*D25</f>
        <v/>
      </c>
      <c r="F25" s="22">
        <f>C25&gt;=$B$11</f>
        <v/>
      </c>
      <c r="G25" s="14">
        <f>IF(AND(F25,NOT(F24)),"&lt;--","")</f>
        <v/>
      </c>
    </row>
    <row r="26">
      <c r="A26" s="12" t="n">
        <v>8</v>
      </c>
      <c r="B26" s="6">
        <f>_xlfn.POISSON.DIST(A26,$B$5,FALSE)</f>
        <v/>
      </c>
      <c r="C26" s="6">
        <f>_xlfn.POISSON.DIST(A26,$B$5,TRUE)</f>
        <v/>
      </c>
      <c r="D26" s="6">
        <f>D25-(1-C25)</f>
        <v/>
      </c>
      <c r="E26" s="29">
        <f>$B$9*(A26-$B$5+D26)+$B$10*D26</f>
        <v/>
      </c>
      <c r="F26" s="22">
        <f>C26&gt;=$B$11</f>
        <v/>
      </c>
      <c r="G26" s="14">
        <f>IF(AND(F26,NOT(F25)),"&lt;--","")</f>
        <v/>
      </c>
    </row>
    <row r="27">
      <c r="A27" s="12" t="n">
        <v>9</v>
      </c>
      <c r="B27" s="6">
        <f>_xlfn.POISSON.DIST(A27,$B$5,FALSE)</f>
        <v/>
      </c>
      <c r="C27" s="6">
        <f>_xlfn.POISSON.DIST(A27,$B$5,TRUE)</f>
        <v/>
      </c>
      <c r="D27" s="6">
        <f>D26-(1-C26)</f>
        <v/>
      </c>
      <c r="E27" s="29">
        <f>$B$9*(A27-$B$5+D27)+$B$10*D27</f>
        <v/>
      </c>
      <c r="F27" s="22">
        <f>C27&gt;=$B$11</f>
        <v/>
      </c>
      <c r="G27" s="14">
        <f>IF(AND(F27,NOT(F26)),"&lt;--","")</f>
        <v/>
      </c>
    </row>
    <row r="28">
      <c r="A28" s="12" t="n">
        <v>10</v>
      </c>
      <c r="B28" s="6">
        <f>_xlfn.POISSON.DIST(A28,$B$5,FALSE)</f>
        <v/>
      </c>
      <c r="C28" s="6">
        <f>_xlfn.POISSON.DIST(A28,$B$5,TRUE)</f>
        <v/>
      </c>
      <c r="D28" s="6">
        <f>D27-(1-C27)</f>
        <v/>
      </c>
      <c r="E28" s="29">
        <f>$B$9*(A28-$B$5+D28)+$B$10*D28</f>
        <v/>
      </c>
      <c r="F28" s="22">
        <f>C28&gt;=$B$11</f>
        <v/>
      </c>
      <c r="G28" s="14">
        <f>IF(AND(F28,NOT(F27)),"&lt;--","")</f>
        <v/>
      </c>
    </row>
    <row r="29">
      <c r="A29" s="12" t="n">
        <v>11</v>
      </c>
      <c r="B29" s="6">
        <f>_xlfn.POISSON.DIST(A29,$B$5,FALSE)</f>
        <v/>
      </c>
      <c r="C29" s="6">
        <f>_xlfn.POISSON.DIST(A29,$B$5,TRUE)</f>
        <v/>
      </c>
      <c r="D29" s="6">
        <f>D28-(1-C28)</f>
        <v/>
      </c>
      <c r="E29" s="29">
        <f>$B$9*(A29-$B$5+D29)+$B$10*D29</f>
        <v/>
      </c>
      <c r="F29" s="22">
        <f>C29&gt;=$B$11</f>
        <v/>
      </c>
      <c r="G29" s="14">
        <f>IF(AND(F29,NOT(F28)),"&lt;--","")</f>
        <v/>
      </c>
    </row>
    <row r="30">
      <c r="A30" s="12" t="n">
        <v>12</v>
      </c>
      <c r="B30" s="6">
        <f>_xlfn.POISSON.DIST(A30,$B$5,FALSE)</f>
        <v/>
      </c>
      <c r="C30" s="6">
        <f>_xlfn.POISSON.DIST(A30,$B$5,TRUE)</f>
        <v/>
      </c>
      <c r="D30" s="6">
        <f>D29-(1-C29)</f>
        <v/>
      </c>
      <c r="E30" s="29">
        <f>$B$9*(A30-$B$5+D30)+$B$10*D30</f>
        <v/>
      </c>
      <c r="F30" s="22">
        <f>C30&gt;=$B$11</f>
        <v/>
      </c>
      <c r="G30" s="14">
        <f>IF(AND(F30,NOT(F29)),"&lt;--","")</f>
        <v/>
      </c>
    </row>
    <row r="31">
      <c r="A31" s="12" t="n">
        <v>13</v>
      </c>
      <c r="B31" s="6">
        <f>_xlfn.POISSON.DIST(A31,$B$5,FALSE)</f>
        <v/>
      </c>
      <c r="C31" s="6">
        <f>_xlfn.POISSON.DIST(A31,$B$5,TRUE)</f>
        <v/>
      </c>
      <c r="D31" s="6">
        <f>D30-(1-C30)</f>
        <v/>
      </c>
      <c r="E31" s="29">
        <f>$B$9*(A31-$B$5+D31)+$B$10*D31</f>
        <v/>
      </c>
      <c r="F31" s="22">
        <f>C31&gt;=$B$11</f>
        <v/>
      </c>
      <c r="G31" s="14">
        <f>IF(AND(F31,NOT(F30)),"&lt;--","")</f>
        <v/>
      </c>
    </row>
    <row r="32">
      <c r="A32" s="12" t="n">
        <v>14</v>
      </c>
      <c r="B32" s="6">
        <f>_xlfn.POISSON.DIST(A32,$B$5,FALSE)</f>
        <v/>
      </c>
      <c r="C32" s="6">
        <f>_xlfn.POISSON.DIST(A32,$B$5,TRUE)</f>
        <v/>
      </c>
      <c r="D32" s="6">
        <f>D31-(1-C31)</f>
        <v/>
      </c>
      <c r="E32" s="29">
        <f>$B$9*(A32-$B$5+D32)+$B$10*D32</f>
        <v/>
      </c>
      <c r="F32" s="22">
        <f>C32&gt;=$B$11</f>
        <v/>
      </c>
      <c r="G32" s="14">
        <f>IF(AND(F32,NOT(F31)),"&lt;--","")</f>
        <v/>
      </c>
    </row>
    <row r="33">
      <c r="A33" s="12" t="n">
        <v>15</v>
      </c>
      <c r="B33" s="6">
        <f>_xlfn.POISSON.DIST(A33,$B$5,FALSE)</f>
        <v/>
      </c>
      <c r="C33" s="6">
        <f>_xlfn.POISSON.DIST(A33,$B$5,TRUE)</f>
        <v/>
      </c>
      <c r="D33" s="6">
        <f>D32-(1-C32)</f>
        <v/>
      </c>
      <c r="E33" s="29">
        <f>$B$9*(A33-$B$5+D33)+$B$10*D33</f>
        <v/>
      </c>
      <c r="F33" s="22">
        <f>C33&gt;=$B$11</f>
        <v/>
      </c>
      <c r="G33" s="14">
        <f>IF(AND(F33,NOT(F32)),"&lt;--","")</f>
        <v/>
      </c>
    </row>
  </sheetData>
  <conditionalFormatting sqref="A18:G33">
    <cfRule type="expression" priority="1" dxfId="0" stopIfTrue="0">
      <formula>$G18="&lt;--"</formula>
    </cfRule>
  </conditionalFormatting>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2026-09-14T16:39:36Z</dcterms:created>
  <dcterms:modified xsi:type="dcterms:W3CDTF">2026-09-14T16:39:36Z</dcterms:modified>
</cp:coreProperties>
</file>