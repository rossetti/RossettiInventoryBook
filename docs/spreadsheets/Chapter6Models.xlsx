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Record" sheetId="2" state="visible" r:id="rId2"/>
    <sheet name="Explosion" sheetId="3" state="visible" r:id="rId3"/>
    <sheet name="Lumpiness" sheetId="4" state="visible" r:id="rId4"/>
    <sheet name="DRP" sheetId="5" state="visible" r:id="rId5"/>
  </sheets>
  <definedNames/>
  <calcPr calcId="124519" fullCalcOnLoad="1"/>
</workbook>
</file>

<file path=xl/styles.xml><?xml version="1.0" encoding="utf-8"?>
<styleSheet xmlns="http://schemas.openxmlformats.org/spreadsheetml/2006/main">
  <numFmts count="2">
    <numFmt numFmtId="164" formatCode="&quot;$&quot;#,##0"/>
    <numFmt numFmtId="165" formatCode="0.0000"/>
  </numFmts>
  <fonts count="5">
    <font>
      <name val="Calibri"/>
      <family val="2"/>
      <color theme="1"/>
      <sz val="11"/>
      <scheme val="minor"/>
    </font>
    <font>
      <b val="1"/>
      <color rgb="00274060"/>
      <sz val="14"/>
    </font>
    <font>
      <i val="1"/>
      <color rgb="00666666"/>
      <sz val="9"/>
    </font>
    <font>
      <b val="1"/>
      <color rgb="00274060"/>
      <sz val="11"/>
    </font>
    <font>
      <b val="1"/>
      <sz val="10"/>
    </font>
  </fonts>
  <fills count="5">
    <fill>
      <patternFill/>
    </fill>
    <fill>
      <patternFill patternType="gray125"/>
    </fill>
    <fill>
      <patternFill patternType="solid">
        <fgColor rgb="00DCE6F1"/>
      </patternFill>
    </fill>
    <fill>
      <patternFill patternType="solid">
        <fgColor rgb="00F2F2F2"/>
      </patternFill>
    </fill>
    <fill>
      <patternFill patternType="solid">
        <fgColor rgb="00FFF2CC"/>
      </patternFill>
    </fill>
  </fills>
  <borders count="4">
    <border>
      <left/>
      <right/>
      <top/>
      <bottom/>
      <diagonal/>
    </border>
    <border>
      <bottom style="thin">
        <color rgb="00999999"/>
      </bottom>
    </border>
    <border>
      <left/>
      <right style="medium">
        <color rgb="00999999"/>
      </right>
      <top/>
      <bottom/>
    </border>
    <border>
      <right style="medium">
        <color rgb="00999999"/>
      </right>
      <bottom style="thin">
        <color rgb="0099999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2" pivotButton="0" quotePrefix="0" xfId="0"/>
    <xf numFmtId="0" fontId="4" fillId="0" borderId="1" pivotButton="0" quotePrefix="0" xfId="0"/>
    <xf numFmtId="0" fontId="4" fillId="0" borderId="2" pivotButton="0" quotePrefix="0" xfId="0"/>
    <xf numFmtId="3" fontId="0" fillId="2" borderId="0" pivotButton="0" quotePrefix="0" xfId="0"/>
    <xf numFmtId="3" fontId="0" fillId="3" borderId="0" pivotButton="0" quotePrefix="0" xfId="0"/>
    <xf numFmtId="0" fontId="0" fillId="0" borderId="2" pivotButton="0" quotePrefix="0" xfId="0"/>
    <xf numFmtId="0" fontId="2" fillId="0" borderId="2" pivotButton="0" quotePrefix="0" xfId="0"/>
    <xf numFmtId="3" fontId="0" fillId="4" borderId="0" pivotButton="0" quotePrefix="0" xfId="0"/>
    <xf numFmtId="0" fontId="4" fillId="0" borderId="0" pivotButton="0" quotePrefix="0" xfId="0"/>
    <xf numFmtId="164" fontId="0" fillId="3" borderId="0" pivotButton="0" quotePrefix="0" xfId="0"/>
    <xf numFmtId="0" fontId="4" fillId="0" borderId="3" pivotButton="0" quotePrefix="0" xfId="0"/>
    <xf numFmtId="3" fontId="0" fillId="2" borderId="2" pivotButton="0" quotePrefix="0" xfId="0"/>
    <xf numFmtId="165"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drawing1.xml><?xml version="1.0" encoding="utf-8"?>
<xdr:wsDr xmlns:xdr="http://schemas.openxmlformats.org/drawingml/2006/spreadsheetDrawing" xmlns:a="http://schemas.openxmlformats.org/drawingml/2006/main">
  <xdr:twoCellAnchor>
    <xdr:from>
      <xdr:col>20</xdr:col>
      <xdr:colOff>0</xdr:colOff>
      <xdr:row>3</xdr:row>
      <xdr:rowOff>0</xdr:rowOff>
    </xdr:from>
    <xdr:to>
      <xdr:col>29</xdr:col>
      <xdr:colOff>0</xdr:colOff>
      <xdr:row>58</xdr:row>
      <xdr:rowOff>0</xdr:rowOff>
    </xdr:to>
    <xdr:sp macro="" textlink="">
      <xdr:nvSpPr>
        <xdr:cNvPr id="1024" name="TextBox 1"/>
        <xdr:cNvSpPr txBox="1"/>
      </xdr:nvSpPr>
      <xdr:spPr>
        <a:xfrm>
          <a:off x="14000000" y="571500"/>
          <a:ext cx="6300000" cy="10477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Periods run ACROSS the columns. The Chapter 5 workbook runs them down the rows. A requirements record is laid out this way everywhere it is used, because a planner reads one item's six rows at a time, and the book follows the field rather than itself. Nothing in the arithmetic depends on it.</a:t>
          </a:r>
        </a:p>
        <a:p>
          <a:endParaRPr lang="en-US" sz="1100" baseline="0"/>
        </a:p>
        <a:p>
          <a:r>
            <a:rPr lang="en-US" sz="1100" b="1" baseline="0"/>
            <a:t>The lead-in</a:t>
          </a:r>
        </a:p>
        <a:p>
          <a:r>
            <a:rPr lang="en-US" sz="1100" baseline="0"/>
            <a:t>The first five periods carry no requirement. That is the cumulative lead time through the deepest branch of the structure: deck 1 + spindle 1 + bearing 3. A horizon that does not lead the first requirement by at least that much cannot place the orders it needs, and the Record sheet has a cell that reports how much was pushed off the front.</a:t>
          </a:r>
        </a:p>
        <a:p>
          <a:endParaRPr lang="en-US" sz="1100" baseline="0"/>
        </a:p>
        <a:p>
          <a:r>
            <a:rPr lang="en-US" sz="1100" b="1" baseline="0"/>
            <a:t>Colours</a:t>
          </a:r>
        </a:p>
        <a:p>
          <a:r>
            <a:rPr lang="en-US" sz="1100" baseline="0"/>
            <a:t>Blue cells are inputs. Grey cells are answers. Yellow marks a cell a rule picked, which here is a planned order receipt.</a:t>
          </a:r>
        </a:p>
        <a:p>
          <a:endParaRPr lang="en-US" sz="1100" baseline="0"/>
        </a:p>
        <a:p>
          <a:r>
            <a:rPr lang="en-US" sz="1100" b="1" baseline="0"/>
            <a:t>What this sheet does</a:t>
          </a:r>
        </a:p>
        <a:p>
          <a:r>
            <a:rPr lang="en-US" sz="1100" baseline="0"/>
            <a:t>It computes one item's record twice from the same gross requirements. The first block carries projected on hand forward and lets it go negative. The second nets.</a:t>
          </a:r>
        </a:p>
        <a:p>
          <a:endParaRPr lang="en-US" sz="1100" baseline="0"/>
        </a:p>
        <a:p>
          <a:r>
            <a:rPr lang="en-US" sz="1100" b="1" baseline="0"/>
            <a:t>Read the first block before the second</a:t>
          </a:r>
        </a:p>
        <a:p>
          <a:r>
            <a:rPr lang="en-US" sz="1100" baseline="0"/>
            <a:t>The first block is the record a reader writes before meeting the netting rule, and the row of growing negative numbers is what it is for. Each one is a shortage the plan has not dealt with. Netting is what turns them into orders.</a:t>
          </a:r>
        </a:p>
        <a:p>
          <a:endParaRPr lang="en-US" sz="1100" baseline="0"/>
        </a:p>
        <a:p>
          <a:r>
            <a:rPr lang="en-US" sz="1100" b="1" baseline="0"/>
            <a:t>The six rows</a:t>
          </a:r>
        </a:p>
        <a:p>
          <a:r>
            <a:rPr lang="en-US" sz="1100" baseline="0"/>
            <a:t>Gross requirements = what is needed. Scheduled receipts = what is already on order. Projected on hand = what is left at the END of the period. Net requirements = what is short once the opening stock and the scheduled receipts are counted, floored at zero. Planned order receipts = what the lot sizing rule decides should arrive. Planned order releases = the receipts moved back by the lead time.</a:t>
          </a:r>
        </a:p>
        <a:p>
          <a:endParaRPr lang="en-US" sz="1100" baseline="0"/>
        </a:p>
        <a:p>
          <a:r>
            <a:rPr lang="en-US" sz="1100" b="1" baseline="0"/>
            <a:t>Why projected on hand is an end-of-period figure</a:t>
          </a:r>
        </a:p>
        <a:p>
          <a:r>
            <a:rPr lang="en-US" sz="1100" baseline="0"/>
            <a:t>Because Section 5.1 charges carrying on the end-of-period balance, and Chapter 6 inherits the convention rather than inventing a second one.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0</xdr:colOff>
      <xdr:row>3</xdr:row>
      <xdr:rowOff>0</xdr:rowOff>
    </xdr:from>
    <xdr:to>
      <xdr:col>29</xdr:col>
      <xdr:colOff>0</xdr:colOff>
      <xdr:row>60</xdr:row>
      <xdr:rowOff>0</xdr:rowOff>
    </xdr:to>
    <xdr:sp macro="" textlink="">
      <xdr:nvSpPr>
        <xdr:cNvPr id="1024" name="TextBox 1"/>
        <xdr:cNvSpPr txBox="1"/>
      </xdr:nvSpPr>
      <xdr:spPr>
        <a:xfrm>
          <a:off x="14000000" y="571500"/>
          <a:ext cx="6300000" cy="10858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Periods run ACROSS the columns. The Chapter 5 workbook runs them down the rows. A requirements record is laid out this way everywhere it is used, because a planner reads one item's six rows at a time, and the book follows the field rather than itself. Nothing in the arithmetic depends on it.</a:t>
          </a:r>
        </a:p>
        <a:p>
          <a:endParaRPr lang="en-US" sz="1100" baseline="0"/>
        </a:p>
        <a:p>
          <a:r>
            <a:rPr lang="en-US" sz="1100" b="1" baseline="0"/>
            <a:t>The lead-in</a:t>
          </a:r>
        </a:p>
        <a:p>
          <a:r>
            <a:rPr lang="en-US" sz="1100" baseline="0"/>
            <a:t>The first five periods carry no requirement. That is the cumulative lead time through the deepest branch of the structure: deck 1 + spindle 1 + bearing 3. A horizon that does not lead the first requirement by at least that much cannot place the orders it needs, and the Record sheet has a cell that reports how much was pushed off the front.</a:t>
          </a:r>
        </a:p>
        <a:p>
          <a:endParaRPr lang="en-US" sz="1100" baseline="0"/>
        </a:p>
        <a:p>
          <a:r>
            <a:rPr lang="en-US" sz="1100" b="1" baseline="0"/>
            <a:t>Colours</a:t>
          </a:r>
        </a:p>
        <a:p>
          <a:r>
            <a:rPr lang="en-US" sz="1100" baseline="0"/>
            <a:t>Blue cells are inputs. Grey cells are answers. Yellow marks a cell a rule picked, which here is a planned order receipt.</a:t>
          </a:r>
        </a:p>
        <a:p>
          <a:endParaRPr lang="en-US" sz="1100" baseline="0"/>
        </a:p>
        <a:p>
          <a:r>
            <a:rPr lang="en-US" sz="1100" b="1" baseline="0"/>
            <a:t>What this sheet does</a:t>
          </a:r>
        </a:p>
        <a:p>
          <a:r>
            <a:rPr lang="en-US" sz="1100" baseline="0"/>
            <a:t>It plans all five items, in low-level-code order. An item's gross requirements are the sum over its parents of the quantity per times that parent's planned order RELEASES.</a:t>
          </a:r>
        </a:p>
        <a:p>
          <a:endParaRPr lang="en-US" sz="1100" baseline="0"/>
        </a:p>
        <a:p>
          <a:r>
            <a:rPr lang="en-US" sz="1100" b="1" baseline="0"/>
            <a:t>Releases and not receipts</a:t>
          </a:r>
        </a:p>
        <a:p>
          <a:r>
            <a:rPr lang="en-US" sz="1100" baseline="0"/>
            <a:t>A parent needs its components in hand when it STARTS, and the release is when it starts. Using the receipt row instead would ask for the components on the day the parent is finished, which is a lead time too late.</a:t>
          </a:r>
        </a:p>
        <a:p>
          <a:endParaRPr lang="en-US" sz="1100" baseline="0"/>
        </a:p>
        <a:p>
          <a:r>
            <a:rPr lang="en-US" sz="1100" b="1" baseline="0"/>
            <a:t>Low-level codes</a:t>
          </a:r>
        </a:p>
        <a:p>
          <a:r>
            <a:rPr lang="en-US" sz="1100" baseline="0"/>
            <a:t>The bearing is used directly by the deck assembly and again inside the spindle assembly, so it appears at two levels and its code is the deeper of them. Planning it at the shallower one would net its stock before the spindle assembly had asked for any, and the spindle assembly would then be short.</a:t>
          </a:r>
        </a:p>
        <a:p>
          <a:endParaRPr lang="en-US" sz="1100" baseline="0"/>
        </a:p>
        <a:p>
          <a:r>
            <a:rPr lang="en-US" sz="1100" b="1" baseline="0"/>
            <a:t>What to look at</a:t>
          </a:r>
        </a:p>
        <a:p>
          <a:r>
            <a:rPr lang="en-US" sz="1100" baseline="0"/>
            <a:t>The bearing's gross requirements against the deck assembly's. Each deck needs three bearings, one directly and two through its two spindle assemblies, and the two streams arrive in different periods because the two paths have different lead times.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0</xdr:colOff>
      <xdr:row>3</xdr:row>
      <xdr:rowOff>0</xdr:rowOff>
    </xdr:from>
    <xdr:to>
      <xdr:col>28</xdr:col>
      <xdr:colOff>0</xdr:colOff>
      <xdr:row>48</xdr:row>
      <xdr:rowOff>0</xdr:rowOff>
    </xdr:to>
    <xdr:sp macro="" textlink="">
      <xdr:nvSpPr>
        <xdr:cNvPr id="1024" name="TextBox 1"/>
        <xdr:cNvSpPr txBox="1"/>
      </xdr:nvSpPr>
      <xdr:spPr>
        <a:xfrm>
          <a:off x="13300000" y="571500"/>
          <a:ext cx="6300000" cy="8572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Periods run ACROSS the columns. The Chapter 5 workbook runs them down the rows. A requirements record is laid out this way everywhere it is used, because a planner reads one item's six rows at a time, and the book follows the field rather than itself. Nothing in the arithmetic depends on it.</a:t>
          </a:r>
        </a:p>
        <a:p>
          <a:endParaRPr lang="en-US" sz="1100" baseline="0"/>
        </a:p>
        <a:p>
          <a:r>
            <a:rPr lang="en-US" sz="1100" b="1" baseline="0"/>
            <a:t>The lead-in</a:t>
          </a:r>
        </a:p>
        <a:p>
          <a:r>
            <a:rPr lang="en-US" sz="1100" baseline="0"/>
            <a:t>The first five periods carry no requirement. That is the cumulative lead time through the deepest branch of the structure: deck 1 + spindle 1 + bearing 3. A horizon that does not lead the first requirement by at least that much cannot place the orders it needs, and the Record sheet has a cell that reports how much was pushed off the front.</a:t>
          </a:r>
        </a:p>
        <a:p>
          <a:endParaRPr lang="en-US" sz="1100" baseline="0"/>
        </a:p>
        <a:p>
          <a:r>
            <a:rPr lang="en-US" sz="1100" b="1" baseline="0"/>
            <a:t>Colours</a:t>
          </a:r>
        </a:p>
        <a:p>
          <a:r>
            <a:rPr lang="en-US" sz="1100" baseline="0"/>
            <a:t>Blue cells are inputs. Grey cells are answers. Yellow marks a cell a rule picked, which here is a planned order receipt.</a:t>
          </a:r>
        </a:p>
        <a:p>
          <a:endParaRPr lang="en-US" sz="1100" baseline="0"/>
        </a:p>
        <a:p>
          <a:r>
            <a:rPr lang="en-US" sz="1100" b="1" baseline="0"/>
            <a:t>What this sheet does</a:t>
          </a:r>
        </a:p>
        <a:p>
          <a:r>
            <a:rPr lang="en-US" sz="1100" baseline="0"/>
            <a:t>It shows what the end item's lot sizing rule does to the demand its components see. Every component is on lot-for-lot throughout, so nothing here is the components' own doing.</a:t>
          </a:r>
        </a:p>
        <a:p>
          <a:endParaRPr lang="en-US" sz="1100" baseline="0"/>
        </a:p>
        <a:p>
          <a:r>
            <a:rPr lang="en-US" sz="1100" b="1" baseline="0"/>
            <a:t>The one rule that changes nothing</a:t>
          </a:r>
        </a:p>
        <a:p>
          <a:r>
            <a:rPr lang="en-US" sz="1100" baseline="0"/>
            <a:t>Lot-for-lot has the deck assembly receive exactly what the schedule asks for, so the components see the schedule itself and the variability coefficient is the schedule's own 0.6191. Every rule that batches raises it.</a:t>
          </a:r>
        </a:p>
        <a:p>
          <a:endParaRPr lang="en-US" sz="1100" baseline="0"/>
        </a:p>
        <a:p>
          <a:r>
            <a:rPr lang="en-US" sz="1100" b="1" baseline="0"/>
            <a:t>What the variability coefficient does NOT tell you</a:t>
          </a:r>
        </a:p>
        <a:p>
          <a:r>
            <a:rPr lang="en-US" sz="1100" baseline="0"/>
            <a:t>It is not a cost. Part-period balancing has the highest figure on this sheet and is not the most expensive plan. What drives the cost below a level is how OFTEN the level above orders, because every release is a component requirement, and Section 6.5 shows that figure rising with the order count without exception.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0</xdr:colOff>
      <xdr:row>3</xdr:row>
      <xdr:rowOff>0</xdr:rowOff>
    </xdr:from>
    <xdr:to>
      <xdr:col>29</xdr:col>
      <xdr:colOff>0</xdr:colOff>
      <xdr:row>56</xdr:row>
      <xdr:rowOff>0</xdr:rowOff>
    </xdr:to>
    <xdr:sp macro="" textlink="">
      <xdr:nvSpPr>
        <xdr:cNvPr id="1024" name="TextBox 1"/>
        <xdr:cNvSpPr txBox="1"/>
      </xdr:nvSpPr>
      <xdr:spPr>
        <a:xfrm>
          <a:off x="14000000" y="571500"/>
          <a:ext cx="6300000" cy="10096500"/>
        </a:xfrm>
        <a:prstGeom prst="rect">
          <a:avLst/>
        </a:prstGeom>
        <a:solidFill>
          <a:schemeClr val="lt1"/>
        </a:solidFill>
        <a:ln w="9525" cmpd="sng">
          <a:solidFill>
            <a:schemeClr val="lt1">
              <a:shade val="50000"/>
            </a:schemeClr>
          </a:solidFill>
        </a:ln>
      </xdr:spPr>
      <xdr:txBody>
        <a:bodyPr vertOverflow="clip" horzOverflow="clip" wrap="square" rtlCol="0" anchor="t"/>
        <a:lstStyle/>
        <a:p>
          <a:r>
            <a:rPr lang="en-US" sz="1100" b="1" baseline="0"/>
            <a:t>How every sheet in this workbook is laid out</a:t>
          </a:r>
        </a:p>
        <a:p>
          <a:r>
            <a:rPr lang="en-US" sz="1100" baseline="0"/>
            <a:t>Periods run ACROSS the columns. The Chapter 5 workbook runs them down the rows. A requirements record is laid out this way everywhere it is used, because a planner reads one item's six rows at a time, and the book follows the field rather than itself. Nothing in the arithmetic depends on it.</a:t>
          </a:r>
        </a:p>
        <a:p>
          <a:endParaRPr lang="en-US" sz="1100" baseline="0"/>
        </a:p>
        <a:p>
          <a:r>
            <a:rPr lang="en-US" sz="1100" b="1" baseline="0"/>
            <a:t>The lead-in</a:t>
          </a:r>
        </a:p>
        <a:p>
          <a:r>
            <a:rPr lang="en-US" sz="1100" baseline="0"/>
            <a:t>The first five periods carry no requirement. That is the cumulative lead time through the deepest branch of the structure: deck 1 + spindle 1 + bearing 3. A horizon that does not lead the first requirement by at least that much cannot place the orders it needs, and the Record sheet has a cell that reports how much was pushed off the front.</a:t>
          </a:r>
        </a:p>
        <a:p>
          <a:endParaRPr lang="en-US" sz="1100" baseline="0"/>
        </a:p>
        <a:p>
          <a:r>
            <a:rPr lang="en-US" sz="1100" b="1" baseline="0"/>
            <a:t>Colours</a:t>
          </a:r>
        </a:p>
        <a:p>
          <a:r>
            <a:rPr lang="en-US" sz="1100" baseline="0"/>
            <a:t>Blue cells are inputs. Grey cells are answers. Yellow marks a cell a rule picked, which here is a planned order receipt.</a:t>
          </a:r>
        </a:p>
        <a:p>
          <a:endParaRPr lang="en-US" sz="1100" baseline="0"/>
        </a:p>
        <a:p>
          <a:r>
            <a:rPr lang="en-US" sz="1100" b="1" baseline="0"/>
            <a:t>What this sheet does</a:t>
          </a:r>
        </a:p>
        <a:p>
          <a:r>
            <a:rPr lang="en-US" sz="1100" baseline="0"/>
            <a:t>Three regions sell the belt and one warehouse supplies all three. The regions are planned first, and the warehouse's gross requirements are what they release.</a:t>
          </a:r>
        </a:p>
        <a:p>
          <a:endParaRPr lang="en-US" sz="1100" baseline="0"/>
        </a:p>
        <a:p>
          <a:r>
            <a:rPr lang="en-US" sz="1100" b="1" baseline="0"/>
            <a:t>This is the Explosion sheet again</a:t>
          </a:r>
        </a:p>
        <a:p>
          <a:r>
            <a:rPr lang="en-US" sz="1100" baseline="0"/>
            <a:t>A warehouse's requirements are the sum over the locations it supplies of one times their releases, which is the explosion with every quantity per equal to one. The graph means something different and has the same shape, so the same arithmetic serves. The Kotlin package makes the same point by using one class for both.</a:t>
          </a:r>
        </a:p>
        <a:p>
          <a:endParaRPr lang="en-US" sz="1100" baseline="0"/>
        </a:p>
        <a:p>
          <a:r>
            <a:rPr lang="en-US" sz="1100" b="1" baseline="0"/>
            <a:t>What a bill of material has that a network does not</a:t>
          </a:r>
        </a:p>
        <a:p>
          <a:r>
            <a:rPr lang="en-US" sz="1100" baseline="0"/>
            <a:t>A quantity per. A parent needs two spindle assemblies per deck; a region needs one belt per belt. That is the whole of the difference in the arithmetic.</a:t>
          </a:r>
        </a:p>
        <a:p>
          <a:endParaRPr lang="en-US" sz="1100" baseline="0"/>
        </a:p>
        <a:p>
          <a:r>
            <a:rPr lang="en-US" sz="1100" b="1" baseline="0"/>
            <a:t>The lead-in here is four months</a:t>
          </a:r>
        </a:p>
        <a:p>
          <a:r>
            <a:rPr lang="en-US" sz="1100" baseline="0"/>
            <a:t>The southern region's two plus the centre's two. It is shorter than the five months the bill of material needs, because this network is one level shallower.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0" customWidth="1" min="1" max="1"/>
  </cols>
  <sheetData>
    <row r="1">
      <c r="A1" s="1" t="inlineStr">
        <is>
          <t>Chapter 6, Material and Distribution Requirements Planning</t>
        </is>
      </c>
    </row>
    <row r="2">
      <c r="A2" t="inlineStr"/>
    </row>
    <row r="3">
      <c r="A3" t="inlineStr">
        <is>
          <t>One product structure, five items, and a master schedule that drives all of them.</t>
        </is>
      </c>
    </row>
    <row r="4">
      <c r="A4" t="inlineStr"/>
    </row>
    <row r="5">
      <c r="A5" t="inlineStr">
        <is>
          <t>Sheets, in the order to read them:</t>
        </is>
      </c>
    </row>
    <row r="6">
      <c r="A6" t="inlineStr">
        <is>
          <t xml:space="preserve">   Record      one item's record, computed twice: once without netting and once with it.</t>
        </is>
      </c>
    </row>
    <row r="7">
      <c r="A7" t="inlineStr">
        <is>
          <t xml:space="preserve">   Explosion   all five items, planned level by level, lowest-level code last.</t>
        </is>
      </c>
    </row>
    <row r="8">
      <c r="A8" t="inlineStr">
        <is>
          <t xml:space="preserve">   Lumpiness   what the end item's lot sizing rule does to the demand its components see.</t>
        </is>
      </c>
    </row>
    <row r="9">
      <c r="A9" t="inlineStr">
        <is>
          <t xml:space="preserve">   DRP         the same arithmetic over a distribution network instead of a bill of material.</t>
        </is>
      </c>
    </row>
    <row r="10">
      <c r="A10" t="inlineStr"/>
    </row>
    <row r="11">
      <c r="A11" t="inlineStr">
        <is>
          <t>Why the periods run across the columns here and down the rows in Chapter 5:</t>
        </is>
      </c>
    </row>
    <row r="12">
      <c r="A12" t="inlineStr">
        <is>
          <t xml:space="preserve">   a requirements record is laid out this way everywhere it is used, because a planner</t>
        </is>
      </c>
    </row>
    <row r="13">
      <c r="A13" t="inlineStr">
        <is>
          <t xml:space="preserve">   reads one item's six rows at a time. Nothing in the arithmetic depends on it.</t>
        </is>
      </c>
    </row>
    <row r="14">
      <c r="A14" t="inlineStr"/>
    </row>
    <row r="15">
      <c r="A15" t="inlineStr">
        <is>
          <t>Conventions:</t>
        </is>
      </c>
    </row>
    <row r="16">
      <c r="A16" t="inlineStr">
        <is>
          <t xml:space="preserve">   Blue cells are inputs. Grey cells are answers. Yellow marks a cell a rule picked.</t>
        </is>
      </c>
    </row>
    <row r="17">
      <c r="A17" t="inlineStr">
        <is>
          <t xml:space="preserve">   Every sheet carries a check block giving what the shipped data should produce,</t>
        </is>
      </c>
    </row>
    <row r="18">
      <c r="A18" t="inlineStr">
        <is>
          <t xml:space="preserve">   and a text box to the right saying what the sheet is for and what to watch.</t>
        </is>
      </c>
    </row>
    <row r="19">
      <c r="A19" t="inlineStr"/>
    </row>
    <row r="20">
      <c r="A20" t="inlineStr">
        <is>
          <t>The horizon leads the first requirement by five months, which is the cumulative lead</t>
        </is>
      </c>
    </row>
    <row r="21">
      <c r="A21" t="inlineStr">
        <is>
          <t>time through the deepest branch of the structure: deck 1 + spindle 1 + bearing 3. Four</t>
        </is>
      </c>
    </row>
    <row r="22">
      <c r="A22" t="inlineStr">
        <is>
          <t>months is not enough and the Record sheet's past-due cell shows what happens.</t>
        </is>
      </c>
    </row>
    <row r="23">
      <c r="A23" t="inlineStr"/>
    </row>
    <row r="24">
      <c r="A24" t="inlineStr">
        <is>
          <t>Rebuild with scripts/build-ch6-workbook.py and check with scripts/check-ch6-workbook.py.</t>
        </is>
      </c>
    </row>
  </sheetData>
  <pageMargins left="0.75" right="0.75" top="1" bottom="1" header="0.5" footer="0.5"/>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 t="inlineStr">
        <is>
          <t>One item's record</t>
        </is>
      </c>
    </row>
    <row r="2">
      <c r="A2" s="2" t="inlineStr">
        <is>
          <t>Chapter 6, section 6.3. The same gross requirements, computed twice.</t>
        </is>
      </c>
    </row>
    <row r="4">
      <c r="A4" s="3" t="inlineStr">
        <is>
          <t>WITHOUT NETTING      what a reader writes the first time</t>
        </is>
      </c>
    </row>
    <row r="5">
      <c r="A5" s="2" t="inlineStr">
        <is>
          <t>Projected on hand is carried forward and allowed to go negative. Every negative entry is a shortage the plan has not dealt with.</t>
        </is>
      </c>
    </row>
    <row r="6">
      <c r="A6" s="4" t="inlineStr">
        <is>
          <t>DA   Mower deck assembly      lead time 1</t>
        </is>
      </c>
      <c r="B6" s="5" t="n">
        <v>1</v>
      </c>
      <c r="C6" s="5" t="n">
        <v>2</v>
      </c>
      <c r="D6" s="5" t="n">
        <v>3</v>
      </c>
      <c r="E6" s="5" t="n">
        <v>4</v>
      </c>
      <c r="F6" s="5" t="n">
        <v>5</v>
      </c>
      <c r="G6" s="5" t="n">
        <v>6</v>
      </c>
      <c r="H6" s="5" t="n">
        <v>7</v>
      </c>
      <c r="I6" s="5" t="n">
        <v>8</v>
      </c>
      <c r="J6" s="5" t="n">
        <v>9</v>
      </c>
      <c r="K6" s="5" t="n">
        <v>10</v>
      </c>
      <c r="L6" s="5" t="n">
        <v>11</v>
      </c>
      <c r="M6" s="5" t="n">
        <v>12</v>
      </c>
      <c r="N6" s="5" t="n">
        <v>13</v>
      </c>
      <c r="O6" s="5" t="n">
        <v>14</v>
      </c>
      <c r="P6" s="5" t="n">
        <v>15</v>
      </c>
      <c r="Q6" s="5" t="n">
        <v>16</v>
      </c>
      <c r="R6" s="5" t="n">
        <v>17</v>
      </c>
    </row>
    <row r="7">
      <c r="A7" s="6" t="inlineStr">
        <is>
          <t>Gross requirements</t>
        </is>
      </c>
      <c r="B7" s="7" t="n">
        <v>0</v>
      </c>
      <c r="C7" s="7" t="n">
        <v>0</v>
      </c>
      <c r="D7" s="7" t="n">
        <v>0</v>
      </c>
      <c r="E7" s="7" t="n">
        <v>0</v>
      </c>
      <c r="F7" s="7" t="n">
        <v>0</v>
      </c>
      <c r="G7" s="7" t="n">
        <v>40</v>
      </c>
      <c r="H7" s="7" t="n">
        <v>60</v>
      </c>
      <c r="I7" s="7" t="n">
        <v>120</v>
      </c>
      <c r="J7" s="7" t="n">
        <v>300</v>
      </c>
      <c r="K7" s="7" t="n">
        <v>420</v>
      </c>
      <c r="L7" s="7" t="n">
        <v>260</v>
      </c>
      <c r="M7" s="7" t="n">
        <v>120</v>
      </c>
      <c r="N7" s="7" t="n">
        <v>40</v>
      </c>
      <c r="O7" s="7" t="n">
        <v>0</v>
      </c>
      <c r="P7" s="7" t="n">
        <v>80</v>
      </c>
      <c r="Q7" s="7" t="n">
        <v>180</v>
      </c>
      <c r="R7" s="7" t="n">
        <v>220</v>
      </c>
    </row>
    <row r="8">
      <c r="A8" s="6" t="inlineStr">
        <is>
          <t>Scheduled receipts</t>
        </is>
      </c>
      <c r="B8" s="7" t="n">
        <v>0</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row>
    <row r="9">
      <c r="A9" s="6" t="inlineStr">
        <is>
          <t>Projected on hand</t>
        </is>
      </c>
      <c r="B9" s="8">
        <f>0+B8-B7</f>
        <v/>
      </c>
      <c r="C9" s="8">
        <f>B9+C8-C7</f>
        <v/>
      </c>
      <c r="D9" s="8">
        <f>C9+D8-D7</f>
        <v/>
      </c>
      <c r="E9" s="8">
        <f>D9+E8-E7</f>
        <v/>
      </c>
      <c r="F9" s="8">
        <f>E9+F8-F7</f>
        <v/>
      </c>
      <c r="G9" s="8">
        <f>F9+G8-G7</f>
        <v/>
      </c>
      <c r="H9" s="8">
        <f>G9+H8-H7</f>
        <v/>
      </c>
      <c r="I9" s="8">
        <f>H9+I8-I7</f>
        <v/>
      </c>
      <c r="J9" s="8">
        <f>I9+J8-J7</f>
        <v/>
      </c>
      <c r="K9" s="8">
        <f>J9+K8-K7</f>
        <v/>
      </c>
      <c r="L9" s="8">
        <f>K9+L8-L7</f>
        <v/>
      </c>
      <c r="M9" s="8">
        <f>L9+M8-M7</f>
        <v/>
      </c>
      <c r="N9" s="8">
        <f>M9+N8-N7</f>
        <v/>
      </c>
      <c r="O9" s="8">
        <f>N9+O8-O7</f>
        <v/>
      </c>
      <c r="P9" s="8">
        <f>O9+P8-P7</f>
        <v/>
      </c>
      <c r="Q9" s="8">
        <f>P9+Q8-Q7</f>
        <v/>
      </c>
      <c r="R9" s="8">
        <f>Q9+R8-R7</f>
        <v/>
      </c>
    </row>
    <row r="10">
      <c r="A10" s="6" t="inlineStr">
        <is>
          <t>Planned order receipts</t>
        </is>
      </c>
      <c r="B10" s="8" t="n">
        <v>0</v>
      </c>
      <c r="C10" s="8" t="n">
        <v>0</v>
      </c>
      <c r="D10" s="8" t="n">
        <v>0</v>
      </c>
      <c r="E10" s="8" t="n">
        <v>0</v>
      </c>
      <c r="F10" s="8" t="n">
        <v>0</v>
      </c>
      <c r="G10" s="8" t="n">
        <v>0</v>
      </c>
      <c r="H10" s="8" t="n">
        <v>0</v>
      </c>
      <c r="I10" s="8" t="n">
        <v>0</v>
      </c>
      <c r="J10" s="8" t="n">
        <v>0</v>
      </c>
      <c r="K10" s="8" t="n">
        <v>0</v>
      </c>
      <c r="L10" s="8" t="n">
        <v>0</v>
      </c>
      <c r="M10" s="8" t="n">
        <v>0</v>
      </c>
      <c r="N10" s="8" t="n">
        <v>0</v>
      </c>
      <c r="O10" s="8" t="n">
        <v>0</v>
      </c>
      <c r="P10" s="8" t="n">
        <v>0</v>
      </c>
      <c r="Q10" s="8" t="n">
        <v>0</v>
      </c>
      <c r="R10" s="8" t="n">
        <v>0</v>
      </c>
    </row>
    <row r="11">
      <c r="A11" s="6" t="inlineStr">
        <is>
          <t>Planned order releases</t>
        </is>
      </c>
      <c r="B11" s="8">
        <f>C10</f>
        <v/>
      </c>
      <c r="C11" s="8">
        <f>D10</f>
        <v/>
      </c>
      <c r="D11" s="8">
        <f>E10</f>
        <v/>
      </c>
      <c r="E11" s="8">
        <f>F10</f>
        <v/>
      </c>
      <c r="F11" s="8">
        <f>G10</f>
        <v/>
      </c>
      <c r="G11" s="8">
        <f>H10</f>
        <v/>
      </c>
      <c r="H11" s="8">
        <f>I10</f>
        <v/>
      </c>
      <c r="I11" s="8">
        <f>J10</f>
        <v/>
      </c>
      <c r="J11" s="8">
        <f>K10</f>
        <v/>
      </c>
      <c r="K11" s="8">
        <f>L10</f>
        <v/>
      </c>
      <c r="L11" s="8">
        <f>M10</f>
        <v/>
      </c>
      <c r="M11" s="8">
        <f>N10</f>
        <v/>
      </c>
      <c r="N11" s="8">
        <f>O10</f>
        <v/>
      </c>
      <c r="O11" s="8">
        <f>P10</f>
        <v/>
      </c>
      <c r="P11" s="8">
        <f>Q10</f>
        <v/>
      </c>
      <c r="Q11" s="8">
        <f>R10</f>
        <v/>
      </c>
      <c r="R11" s="8" t="n">
        <v>0</v>
      </c>
    </row>
    <row r="12">
      <c r="A12" s="9" t="n"/>
    </row>
    <row r="13">
      <c r="A13" s="9" t="n"/>
    </row>
    <row r="14">
      <c r="A14" s="9" t="n"/>
    </row>
    <row r="15">
      <c r="A15" s="4" t="inlineStr">
        <is>
          <t>WITH NETTING      the record of section 6.3</t>
        </is>
      </c>
    </row>
    <row r="16">
      <c r="A16" s="10" t="inlineStr">
        <is>
          <t>A net requirement is what is short after the opening stock and the scheduled receipts have been counted, and it is never negative.</t>
        </is>
      </c>
    </row>
    <row r="17">
      <c r="A17" s="4" t="inlineStr">
        <is>
          <t>DA   Mower deck assembly      lead time 1</t>
        </is>
      </c>
      <c r="B17" s="5" t="n">
        <v>1</v>
      </c>
      <c r="C17" s="5" t="n">
        <v>2</v>
      </c>
      <c r="D17" s="5" t="n">
        <v>3</v>
      </c>
      <c r="E17" s="5" t="n">
        <v>4</v>
      </c>
      <c r="F17" s="5" t="n">
        <v>5</v>
      </c>
      <c r="G17" s="5" t="n">
        <v>6</v>
      </c>
      <c r="H17" s="5" t="n">
        <v>7</v>
      </c>
      <c r="I17" s="5" t="n">
        <v>8</v>
      </c>
      <c r="J17" s="5" t="n">
        <v>9</v>
      </c>
      <c r="K17" s="5" t="n">
        <v>10</v>
      </c>
      <c r="L17" s="5" t="n">
        <v>11</v>
      </c>
      <c r="M17" s="5" t="n">
        <v>12</v>
      </c>
      <c r="N17" s="5" t="n">
        <v>13</v>
      </c>
      <c r="O17" s="5" t="n">
        <v>14</v>
      </c>
      <c r="P17" s="5" t="n">
        <v>15</v>
      </c>
      <c r="Q17" s="5" t="n">
        <v>16</v>
      </c>
      <c r="R17" s="5" t="n">
        <v>17</v>
      </c>
    </row>
    <row r="18">
      <c r="A18" s="6" t="inlineStr">
        <is>
          <t>Gross requirements</t>
        </is>
      </c>
      <c r="B18" s="7" t="n">
        <v>0</v>
      </c>
      <c r="C18" s="7" t="n">
        <v>0</v>
      </c>
      <c r="D18" s="7" t="n">
        <v>0</v>
      </c>
      <c r="E18" s="7" t="n">
        <v>0</v>
      </c>
      <c r="F18" s="7" t="n">
        <v>0</v>
      </c>
      <c r="G18" s="7" t="n">
        <v>40</v>
      </c>
      <c r="H18" s="7" t="n">
        <v>60</v>
      </c>
      <c r="I18" s="7" t="n">
        <v>120</v>
      </c>
      <c r="J18" s="7" t="n">
        <v>300</v>
      </c>
      <c r="K18" s="7" t="n">
        <v>420</v>
      </c>
      <c r="L18" s="7" t="n">
        <v>260</v>
      </c>
      <c r="M18" s="7" t="n">
        <v>120</v>
      </c>
      <c r="N18" s="7" t="n">
        <v>40</v>
      </c>
      <c r="O18" s="7" t="n">
        <v>0</v>
      </c>
      <c r="P18" s="7" t="n">
        <v>80</v>
      </c>
      <c r="Q18" s="7" t="n">
        <v>180</v>
      </c>
      <c r="R18" s="7" t="n">
        <v>220</v>
      </c>
    </row>
    <row r="19">
      <c r="A19" s="6" t="inlineStr">
        <is>
          <t>Scheduled receipts</t>
        </is>
      </c>
      <c r="B19" s="7" t="n">
        <v>0</v>
      </c>
      <c r="C19" s="7" t="n">
        <v>0</v>
      </c>
      <c r="D19" s="7" t="n">
        <v>0</v>
      </c>
      <c r="E19" s="7" t="n">
        <v>0</v>
      </c>
      <c r="F19" s="7" t="n">
        <v>0</v>
      </c>
      <c r="G19" s="7" t="n">
        <v>0</v>
      </c>
      <c r="H19" s="7" t="n">
        <v>0</v>
      </c>
      <c r="I19" s="7" t="n">
        <v>0</v>
      </c>
      <c r="J19" s="7" t="n">
        <v>0</v>
      </c>
      <c r="K19" s="7" t="n">
        <v>0</v>
      </c>
      <c r="L19" s="7" t="n">
        <v>0</v>
      </c>
      <c r="M19" s="7" t="n">
        <v>0</v>
      </c>
      <c r="N19" s="7" t="n">
        <v>0</v>
      </c>
      <c r="O19" s="7" t="n">
        <v>0</v>
      </c>
      <c r="P19" s="7" t="n">
        <v>0</v>
      </c>
      <c r="Q19" s="7" t="n">
        <v>0</v>
      </c>
      <c r="R19" s="7" t="n">
        <v>0</v>
      </c>
    </row>
    <row r="20">
      <c r="A20" s="6" t="inlineStr">
        <is>
          <t>Projected on hand</t>
        </is>
      </c>
      <c r="B20" s="8">
        <f>0+B19+B22-B18</f>
        <v/>
      </c>
      <c r="C20" s="8">
        <f>B20+C19+C22-C18</f>
        <v/>
      </c>
      <c r="D20" s="8">
        <f>C20+D19+D22-D18</f>
        <v/>
      </c>
      <c r="E20" s="8">
        <f>D20+E19+E22-E18</f>
        <v/>
      </c>
      <c r="F20" s="8">
        <f>E20+F19+F22-F18</f>
        <v/>
      </c>
      <c r="G20" s="8">
        <f>F20+G19+G22-G18</f>
        <v/>
      </c>
      <c r="H20" s="8">
        <f>G20+H19+H22-H18</f>
        <v/>
      </c>
      <c r="I20" s="8">
        <f>H20+I19+I22-I18</f>
        <v/>
      </c>
      <c r="J20" s="8">
        <f>I20+J19+J22-J18</f>
        <v/>
      </c>
      <c r="K20" s="8">
        <f>J20+K19+K22-K18</f>
        <v/>
      </c>
      <c r="L20" s="8">
        <f>K20+L19+L22-L18</f>
        <v/>
      </c>
      <c r="M20" s="8">
        <f>L20+M19+M22-M18</f>
        <v/>
      </c>
      <c r="N20" s="8">
        <f>M20+N19+N22-N18</f>
        <v/>
      </c>
      <c r="O20" s="8">
        <f>N20+O19+O22-O18</f>
        <v/>
      </c>
      <c r="P20" s="8">
        <f>O20+P19+P22-P18</f>
        <v/>
      </c>
      <c r="Q20" s="8">
        <f>P20+Q19+Q22-Q18</f>
        <v/>
      </c>
      <c r="R20" s="8">
        <f>Q20+R19+R22-R18</f>
        <v/>
      </c>
    </row>
    <row r="21">
      <c r="A21" s="6" t="inlineStr">
        <is>
          <t>Net requirements</t>
        </is>
      </c>
      <c r="B21" s="8">
        <f>MAX(B18-B19-0,0)</f>
        <v/>
      </c>
      <c r="C21" s="8">
        <f>MAX(C18-C19-B20,0)</f>
        <v/>
      </c>
      <c r="D21" s="8">
        <f>MAX(D18-D19-C20,0)</f>
        <v/>
      </c>
      <c r="E21" s="8">
        <f>MAX(E18-E19-D20,0)</f>
        <v/>
      </c>
      <c r="F21" s="8">
        <f>MAX(F18-F19-E20,0)</f>
        <v/>
      </c>
      <c r="G21" s="8">
        <f>MAX(G18-G19-F20,0)</f>
        <v/>
      </c>
      <c r="H21" s="8">
        <f>MAX(H18-H19-G20,0)</f>
        <v/>
      </c>
      <c r="I21" s="8">
        <f>MAX(I18-I19-H20,0)</f>
        <v/>
      </c>
      <c r="J21" s="8">
        <f>MAX(J18-J19-I20,0)</f>
        <v/>
      </c>
      <c r="K21" s="8">
        <f>MAX(K18-K19-J20,0)</f>
        <v/>
      </c>
      <c r="L21" s="8">
        <f>MAX(L18-L19-K20,0)</f>
        <v/>
      </c>
      <c r="M21" s="8">
        <f>MAX(M18-M19-L20,0)</f>
        <v/>
      </c>
      <c r="N21" s="8">
        <f>MAX(N18-N19-M20,0)</f>
        <v/>
      </c>
      <c r="O21" s="8">
        <f>MAX(O18-O19-N20,0)</f>
        <v/>
      </c>
      <c r="P21" s="8">
        <f>MAX(P18-P19-O20,0)</f>
        <v/>
      </c>
      <c r="Q21" s="8">
        <f>MAX(Q18-Q19-P20,0)</f>
        <v/>
      </c>
      <c r="R21" s="8">
        <f>MAX(R18-R19-Q20,0)</f>
        <v/>
      </c>
    </row>
    <row r="22">
      <c r="A22" s="6" t="inlineStr">
        <is>
          <t>Planned order receipts</t>
        </is>
      </c>
      <c r="B22" s="11">
        <f>B21</f>
        <v/>
      </c>
      <c r="C22" s="11">
        <f>C21</f>
        <v/>
      </c>
      <c r="D22" s="11">
        <f>D21</f>
        <v/>
      </c>
      <c r="E22" s="11">
        <f>E21</f>
        <v/>
      </c>
      <c r="F22" s="11">
        <f>F21</f>
        <v/>
      </c>
      <c r="G22" s="11">
        <f>G21</f>
        <v/>
      </c>
      <c r="H22" s="11">
        <f>H21</f>
        <v/>
      </c>
      <c r="I22" s="11">
        <f>I21</f>
        <v/>
      </c>
      <c r="J22" s="11">
        <f>J21</f>
        <v/>
      </c>
      <c r="K22" s="11">
        <f>K21</f>
        <v/>
      </c>
      <c r="L22" s="11">
        <f>L21</f>
        <v/>
      </c>
      <c r="M22" s="11">
        <f>M21</f>
        <v/>
      </c>
      <c r="N22" s="11">
        <f>N21</f>
        <v/>
      </c>
      <c r="O22" s="11">
        <f>O21</f>
        <v/>
      </c>
      <c r="P22" s="11">
        <f>P21</f>
        <v/>
      </c>
      <c r="Q22" s="11">
        <f>Q21</f>
        <v/>
      </c>
      <c r="R22" s="11">
        <f>R21</f>
        <v/>
      </c>
    </row>
    <row r="23">
      <c r="A23" s="6" t="inlineStr">
        <is>
          <t>Planned order releases</t>
        </is>
      </c>
      <c r="B23" s="8">
        <f>C22</f>
        <v/>
      </c>
      <c r="C23" s="8">
        <f>D22</f>
        <v/>
      </c>
      <c r="D23" s="8">
        <f>E22</f>
        <v/>
      </c>
      <c r="E23" s="8">
        <f>F22</f>
        <v/>
      </c>
      <c r="F23" s="8">
        <f>G22</f>
        <v/>
      </c>
      <c r="G23" s="8">
        <f>H22</f>
        <v/>
      </c>
      <c r="H23" s="8">
        <f>I22</f>
        <v/>
      </c>
      <c r="I23" s="8">
        <f>J22</f>
        <v/>
      </c>
      <c r="J23" s="8">
        <f>K22</f>
        <v/>
      </c>
      <c r="K23" s="8">
        <f>L22</f>
        <v/>
      </c>
      <c r="L23" s="8">
        <f>M22</f>
        <v/>
      </c>
      <c r="M23" s="8">
        <f>N22</f>
        <v/>
      </c>
      <c r="N23" s="8">
        <f>O22</f>
        <v/>
      </c>
      <c r="O23" s="8">
        <f>P22</f>
        <v/>
      </c>
      <c r="P23" s="8">
        <f>Q22</f>
        <v/>
      </c>
      <c r="Q23" s="8">
        <f>R22</f>
        <v/>
      </c>
      <c r="R23" s="8" t="n">
        <v>0</v>
      </c>
    </row>
    <row r="26">
      <c r="A26" s="3" t="inlineStr">
        <is>
          <t>CHECK      with the data as shipped</t>
        </is>
      </c>
    </row>
    <row r="27">
      <c r="A27" s="2" t="inlineStr">
        <is>
          <t>Without netting the projected on hand reaches -1,840 by the last period.</t>
        </is>
      </c>
    </row>
    <row r="28">
      <c r="A28" s="2" t="inlineStr">
        <is>
          <t>With netting it never goes below zero, and every net requirement equals the gross requirement, because nothing is on hand and nothing is on order.</t>
        </is>
      </c>
    </row>
    <row r="29">
      <c r="A29" t="inlineStr">
        <is>
          <t>Lowest projected on hand, without netting</t>
        </is>
      </c>
      <c r="B29" s="8">
        <f>MIN(B9:R9)</f>
        <v/>
      </c>
    </row>
    <row r="30">
      <c r="A30" t="inlineStr">
        <is>
          <t>Lowest projected on hand, with netting</t>
        </is>
      </c>
      <c r="B30" s="8">
        <f>MIN(B20:R20)</f>
        <v/>
      </c>
    </row>
    <row r="31">
      <c r="A31" t="inlineStr">
        <is>
          <t>Units due before they could be ordered, which is past due</t>
        </is>
      </c>
      <c r="B31" s="8">
        <f>SUM(B22:R22)-SUM(B23:R23)</f>
        <v/>
      </c>
    </row>
  </sheetData>
  <pageMargins left="0.75" right="0.75" top="1" bottom="1" header="0.5" footer="0.5"/>
  <drawing r:id="rId1"/>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R67"/>
  <sheetViews>
    <sheetView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 t="inlineStr">
        <is>
          <t>The explosion</t>
        </is>
      </c>
    </row>
    <row r="2">
      <c r="A2" s="2" t="inlineStr">
        <is>
          <t>Chapter 6, section 6.4. Five items, planned in low-level-code order, every one on lot-for-lot.</t>
        </is>
      </c>
    </row>
    <row r="4">
      <c r="A4" s="3" t="inlineStr">
        <is>
          <t>THE STRUCTURE      type over the quantities and every record below moves</t>
        </is>
      </c>
    </row>
    <row r="5">
      <c r="A5" s="5" t="inlineStr">
        <is>
          <t>Parent</t>
        </is>
      </c>
      <c r="B5" s="5" t="inlineStr">
        <is>
          <t>Child</t>
        </is>
      </c>
      <c r="C5" s="5" t="inlineStr">
        <is>
          <t>Quantity per</t>
        </is>
      </c>
    </row>
    <row r="6">
      <c r="A6" t="inlineStr">
        <is>
          <t>DA</t>
        </is>
      </c>
      <c r="B6" t="inlineStr">
        <is>
          <t>B</t>
        </is>
      </c>
      <c r="C6" s="7" t="n">
        <v>1</v>
      </c>
    </row>
    <row r="7">
      <c r="A7" t="inlineStr">
        <is>
          <t>DA</t>
        </is>
      </c>
      <c r="B7" t="inlineStr">
        <is>
          <t>S</t>
        </is>
      </c>
      <c r="C7" s="7" t="n">
        <v>2</v>
      </c>
    </row>
    <row r="8">
      <c r="A8" t="inlineStr">
        <is>
          <t>DA</t>
        </is>
      </c>
      <c r="B8" t="inlineStr">
        <is>
          <t>BR</t>
        </is>
      </c>
      <c r="C8" s="7" t="n">
        <v>1</v>
      </c>
    </row>
    <row r="9">
      <c r="A9" t="inlineStr">
        <is>
          <t>S</t>
        </is>
      </c>
      <c r="B9" t="inlineStr">
        <is>
          <t>H</t>
        </is>
      </c>
      <c r="C9" s="7" t="n">
        <v>1</v>
      </c>
    </row>
    <row r="10">
      <c r="A10" t="inlineStr">
        <is>
          <t>S</t>
        </is>
      </c>
      <c r="B10" t="inlineStr">
        <is>
          <t>BR</t>
        </is>
      </c>
      <c r="C10" s="7" t="n">
        <v>2</v>
      </c>
    </row>
    <row r="11">
      <c r="A11" s="2" t="inlineStr">
        <is>
          <t>The bearing appears twice, under the deck assembly and under the spindle assembly, which is why its low-level code is 2.</t>
        </is>
      </c>
    </row>
    <row r="13">
      <c r="A13" s="3" t="inlineStr">
        <is>
          <t>CHECK      with the data as shipped</t>
        </is>
      </c>
    </row>
    <row r="14">
      <c r="A14" s="2" t="inlineStr">
        <is>
          <t>Lot-for-lot everywhere costs $14,500 in setup and nothing in carrying.</t>
        </is>
      </c>
    </row>
    <row r="15">
      <c r="A15" s="2" t="inlineStr">
        <is>
          <t>Nothing is released before period 1, because the horizon leads the first requirement by the cumulative lead time of five months.</t>
        </is>
      </c>
    </row>
    <row r="16">
      <c r="A16" s="12" t="inlineStr">
        <is>
          <t>Period</t>
        </is>
      </c>
      <c r="B16" s="5" t="n">
        <v>1</v>
      </c>
      <c r="C16" s="5" t="n">
        <v>2</v>
      </c>
      <c r="D16" s="5" t="n">
        <v>3</v>
      </c>
      <c r="E16" s="5" t="n">
        <v>4</v>
      </c>
      <c r="F16" s="5" t="n">
        <v>5</v>
      </c>
      <c r="G16" s="5" t="n">
        <v>6</v>
      </c>
      <c r="H16" s="5" t="n">
        <v>7</v>
      </c>
      <c r="I16" s="5" t="n">
        <v>8</v>
      </c>
      <c r="J16" s="5" t="n">
        <v>9</v>
      </c>
      <c r="K16" s="5" t="n">
        <v>10</v>
      </c>
      <c r="L16" s="5" t="n">
        <v>11</v>
      </c>
      <c r="M16" s="5" t="n">
        <v>12</v>
      </c>
      <c r="N16" s="5" t="n">
        <v>13</v>
      </c>
      <c r="O16" s="5" t="n">
        <v>14</v>
      </c>
      <c r="P16" s="5" t="n">
        <v>15</v>
      </c>
      <c r="Q16" s="5" t="n">
        <v>16</v>
      </c>
      <c r="R16" s="5" t="n">
        <v>17</v>
      </c>
    </row>
    <row r="17">
      <c r="A17" s="3" t="inlineStr">
        <is>
          <t>DA   Mower deck assembly      lead time 1</t>
        </is>
      </c>
    </row>
    <row r="18">
      <c r="A18" s="12" t="inlineStr">
        <is>
          <t>Gross requirements</t>
        </is>
      </c>
      <c r="B18" s="7" t="n">
        <v>0</v>
      </c>
      <c r="C18" s="7" t="n">
        <v>0</v>
      </c>
      <c r="D18" s="7" t="n">
        <v>0</v>
      </c>
      <c r="E18" s="7" t="n">
        <v>0</v>
      </c>
      <c r="F18" s="7" t="n">
        <v>0</v>
      </c>
      <c r="G18" s="7" t="n">
        <v>40</v>
      </c>
      <c r="H18" s="7" t="n">
        <v>60</v>
      </c>
      <c r="I18" s="7" t="n">
        <v>120</v>
      </c>
      <c r="J18" s="7" t="n">
        <v>300</v>
      </c>
      <c r="K18" s="7" t="n">
        <v>420</v>
      </c>
      <c r="L18" s="7" t="n">
        <v>260</v>
      </c>
      <c r="M18" s="7" t="n">
        <v>120</v>
      </c>
      <c r="N18" s="7" t="n">
        <v>40</v>
      </c>
      <c r="O18" s="7" t="n">
        <v>0</v>
      </c>
      <c r="P18" s="7" t="n">
        <v>80</v>
      </c>
      <c r="Q18" s="7" t="n">
        <v>180</v>
      </c>
      <c r="R18" s="7" t="n">
        <v>220</v>
      </c>
    </row>
    <row r="19">
      <c r="A19" s="12" t="inlineStr">
        <is>
          <t>Scheduled receipts</t>
        </is>
      </c>
      <c r="B19" s="7" t="n">
        <v>0</v>
      </c>
      <c r="C19" s="7" t="n">
        <v>0</v>
      </c>
      <c r="D19" s="7" t="n">
        <v>0</v>
      </c>
      <c r="E19" s="7" t="n">
        <v>0</v>
      </c>
      <c r="F19" s="7" t="n">
        <v>0</v>
      </c>
      <c r="G19" s="7" t="n">
        <v>0</v>
      </c>
      <c r="H19" s="7" t="n">
        <v>0</v>
      </c>
      <c r="I19" s="7" t="n">
        <v>0</v>
      </c>
      <c r="J19" s="7" t="n">
        <v>0</v>
      </c>
      <c r="K19" s="7" t="n">
        <v>0</v>
      </c>
      <c r="L19" s="7" t="n">
        <v>0</v>
      </c>
      <c r="M19" s="7" t="n">
        <v>0</v>
      </c>
      <c r="N19" s="7" t="n">
        <v>0</v>
      </c>
      <c r="O19" s="7" t="n">
        <v>0</v>
      </c>
      <c r="P19" s="7" t="n">
        <v>0</v>
      </c>
      <c r="Q19" s="7" t="n">
        <v>0</v>
      </c>
      <c r="R19" s="7" t="n">
        <v>0</v>
      </c>
    </row>
    <row r="20">
      <c r="A20" s="12" t="inlineStr">
        <is>
          <t>Projected on hand</t>
        </is>
      </c>
      <c r="B20" s="8">
        <f>0+B19+B22-B18</f>
        <v/>
      </c>
      <c r="C20" s="8">
        <f>B20+C19+C22-C18</f>
        <v/>
      </c>
      <c r="D20" s="8">
        <f>C20+D19+D22-D18</f>
        <v/>
      </c>
      <c r="E20" s="8">
        <f>D20+E19+E22-E18</f>
        <v/>
      </c>
      <c r="F20" s="8">
        <f>E20+F19+F22-F18</f>
        <v/>
      </c>
      <c r="G20" s="8">
        <f>F20+G19+G22-G18</f>
        <v/>
      </c>
      <c r="H20" s="8">
        <f>G20+H19+H22-H18</f>
        <v/>
      </c>
      <c r="I20" s="8">
        <f>H20+I19+I22-I18</f>
        <v/>
      </c>
      <c r="J20" s="8">
        <f>I20+J19+J22-J18</f>
        <v/>
      </c>
      <c r="K20" s="8">
        <f>J20+K19+K22-K18</f>
        <v/>
      </c>
      <c r="L20" s="8">
        <f>K20+L19+L22-L18</f>
        <v/>
      </c>
      <c r="M20" s="8">
        <f>L20+M19+M22-M18</f>
        <v/>
      </c>
      <c r="N20" s="8">
        <f>M20+N19+N22-N18</f>
        <v/>
      </c>
      <c r="O20" s="8">
        <f>N20+O19+O22-O18</f>
        <v/>
      </c>
      <c r="P20" s="8">
        <f>O20+P19+P22-P18</f>
        <v/>
      </c>
      <c r="Q20" s="8">
        <f>P20+Q19+Q22-Q18</f>
        <v/>
      </c>
      <c r="R20" s="8">
        <f>Q20+R19+R22-R18</f>
        <v/>
      </c>
    </row>
    <row r="21">
      <c r="A21" s="12" t="inlineStr">
        <is>
          <t>Net requirements</t>
        </is>
      </c>
      <c r="B21" s="8">
        <f>MAX(B18-B19-0,0)</f>
        <v/>
      </c>
      <c r="C21" s="8">
        <f>MAX(C18-C19-B20,0)</f>
        <v/>
      </c>
      <c r="D21" s="8">
        <f>MAX(D18-D19-C20,0)</f>
        <v/>
      </c>
      <c r="E21" s="8">
        <f>MAX(E18-E19-D20,0)</f>
        <v/>
      </c>
      <c r="F21" s="8">
        <f>MAX(F18-F19-E20,0)</f>
        <v/>
      </c>
      <c r="G21" s="8">
        <f>MAX(G18-G19-F20,0)</f>
        <v/>
      </c>
      <c r="H21" s="8">
        <f>MAX(H18-H19-G20,0)</f>
        <v/>
      </c>
      <c r="I21" s="8">
        <f>MAX(I18-I19-H20,0)</f>
        <v/>
      </c>
      <c r="J21" s="8">
        <f>MAX(J18-J19-I20,0)</f>
        <v/>
      </c>
      <c r="K21" s="8">
        <f>MAX(K18-K19-J20,0)</f>
        <v/>
      </c>
      <c r="L21" s="8">
        <f>MAX(L18-L19-K20,0)</f>
        <v/>
      </c>
      <c r="M21" s="8">
        <f>MAX(M18-M19-L20,0)</f>
        <v/>
      </c>
      <c r="N21" s="8">
        <f>MAX(N18-N19-M20,0)</f>
        <v/>
      </c>
      <c r="O21" s="8">
        <f>MAX(O18-O19-N20,0)</f>
        <v/>
      </c>
      <c r="P21" s="8">
        <f>MAX(P18-P19-O20,0)</f>
        <v/>
      </c>
      <c r="Q21" s="8">
        <f>MAX(Q18-Q19-P20,0)</f>
        <v/>
      </c>
      <c r="R21" s="8">
        <f>MAX(R18-R19-Q20,0)</f>
        <v/>
      </c>
    </row>
    <row r="22">
      <c r="A22" s="12" t="inlineStr">
        <is>
          <t>Planned order receipts</t>
        </is>
      </c>
      <c r="B22" s="11">
        <f>B21</f>
        <v/>
      </c>
      <c r="C22" s="11">
        <f>C21</f>
        <v/>
      </c>
      <c r="D22" s="11">
        <f>D21</f>
        <v/>
      </c>
      <c r="E22" s="11">
        <f>E21</f>
        <v/>
      </c>
      <c r="F22" s="11">
        <f>F21</f>
        <v/>
      </c>
      <c r="G22" s="11">
        <f>G21</f>
        <v/>
      </c>
      <c r="H22" s="11">
        <f>H21</f>
        <v/>
      </c>
      <c r="I22" s="11">
        <f>I21</f>
        <v/>
      </c>
      <c r="J22" s="11">
        <f>J21</f>
        <v/>
      </c>
      <c r="K22" s="11">
        <f>K21</f>
        <v/>
      </c>
      <c r="L22" s="11">
        <f>L21</f>
        <v/>
      </c>
      <c r="M22" s="11">
        <f>M21</f>
        <v/>
      </c>
      <c r="N22" s="11">
        <f>N21</f>
        <v/>
      </c>
      <c r="O22" s="11">
        <f>O21</f>
        <v/>
      </c>
      <c r="P22" s="11">
        <f>P21</f>
        <v/>
      </c>
      <c r="Q22" s="11">
        <f>Q21</f>
        <v/>
      </c>
      <c r="R22" s="11">
        <f>R21</f>
        <v/>
      </c>
    </row>
    <row r="23">
      <c r="A23" s="12" t="inlineStr">
        <is>
          <t>Planned order releases</t>
        </is>
      </c>
      <c r="B23" s="8">
        <f>C22</f>
        <v/>
      </c>
      <c r="C23" s="8">
        <f>D22</f>
        <v/>
      </c>
      <c r="D23" s="8">
        <f>E22</f>
        <v/>
      </c>
      <c r="E23" s="8">
        <f>F22</f>
        <v/>
      </c>
      <c r="F23" s="8">
        <f>G22</f>
        <v/>
      </c>
      <c r="G23" s="8">
        <f>H22</f>
        <v/>
      </c>
      <c r="H23" s="8">
        <f>I22</f>
        <v/>
      </c>
      <c r="I23" s="8">
        <f>J22</f>
        <v/>
      </c>
      <c r="J23" s="8">
        <f>K22</f>
        <v/>
      </c>
      <c r="K23" s="8">
        <f>L22</f>
        <v/>
      </c>
      <c r="L23" s="8">
        <f>M22</f>
        <v/>
      </c>
      <c r="M23" s="8">
        <f>N22</f>
        <v/>
      </c>
      <c r="N23" s="8">
        <f>O22</f>
        <v/>
      </c>
      <c r="O23" s="8">
        <f>P22</f>
        <v/>
      </c>
      <c r="P23" s="8">
        <f>Q22</f>
        <v/>
      </c>
      <c r="Q23" s="8">
        <f>R22</f>
        <v/>
      </c>
      <c r="R23" s="8" t="n">
        <v>0</v>
      </c>
    </row>
    <row r="25">
      <c r="A25" s="12" t="inlineStr">
        <is>
          <t>Period</t>
        </is>
      </c>
      <c r="B25" s="5" t="n">
        <v>1</v>
      </c>
      <c r="C25" s="5" t="n">
        <v>2</v>
      </c>
      <c r="D25" s="5" t="n">
        <v>3</v>
      </c>
      <c r="E25" s="5" t="n">
        <v>4</v>
      </c>
      <c r="F25" s="5" t="n">
        <v>5</v>
      </c>
      <c r="G25" s="5" t="n">
        <v>6</v>
      </c>
      <c r="H25" s="5" t="n">
        <v>7</v>
      </c>
      <c r="I25" s="5" t="n">
        <v>8</v>
      </c>
      <c r="J25" s="5" t="n">
        <v>9</v>
      </c>
      <c r="K25" s="5" t="n">
        <v>10</v>
      </c>
      <c r="L25" s="5" t="n">
        <v>11</v>
      </c>
      <c r="M25" s="5" t="n">
        <v>12</v>
      </c>
      <c r="N25" s="5" t="n">
        <v>13</v>
      </c>
      <c r="O25" s="5" t="n">
        <v>14</v>
      </c>
      <c r="P25" s="5" t="n">
        <v>15</v>
      </c>
      <c r="Q25" s="5" t="n">
        <v>16</v>
      </c>
      <c r="R25" s="5" t="n">
        <v>17</v>
      </c>
    </row>
    <row r="26">
      <c r="A26" s="3" t="inlineStr">
        <is>
          <t>B   Deck belt      lead time 2</t>
        </is>
      </c>
    </row>
    <row r="27">
      <c r="A27" s="12" t="inlineStr">
        <is>
          <t>Gross requirements</t>
        </is>
      </c>
      <c r="B27" s="8">
        <f>$C$6*B23</f>
        <v/>
      </c>
      <c r="C27" s="8">
        <f>$C$6*C23</f>
        <v/>
      </c>
      <c r="D27" s="8">
        <f>$C$6*D23</f>
        <v/>
      </c>
      <c r="E27" s="8">
        <f>$C$6*E23</f>
        <v/>
      </c>
      <c r="F27" s="8">
        <f>$C$6*F23</f>
        <v/>
      </c>
      <c r="G27" s="8">
        <f>$C$6*G23</f>
        <v/>
      </c>
      <c r="H27" s="8">
        <f>$C$6*H23</f>
        <v/>
      </c>
      <c r="I27" s="8">
        <f>$C$6*I23</f>
        <v/>
      </c>
      <c r="J27" s="8">
        <f>$C$6*J23</f>
        <v/>
      </c>
      <c r="K27" s="8">
        <f>$C$6*K23</f>
        <v/>
      </c>
      <c r="L27" s="8">
        <f>$C$6*L23</f>
        <v/>
      </c>
      <c r="M27" s="8">
        <f>$C$6*M23</f>
        <v/>
      </c>
      <c r="N27" s="8">
        <f>$C$6*N23</f>
        <v/>
      </c>
      <c r="O27" s="8">
        <f>$C$6*O23</f>
        <v/>
      </c>
      <c r="P27" s="8">
        <f>$C$6*P23</f>
        <v/>
      </c>
      <c r="Q27" s="8">
        <f>$C$6*Q23</f>
        <v/>
      </c>
      <c r="R27" s="8">
        <f>$C$6*R23</f>
        <v/>
      </c>
    </row>
    <row r="28">
      <c r="A28" s="12" t="inlineStr">
        <is>
          <t>Scheduled receipts</t>
        </is>
      </c>
      <c r="B28" s="7" t="n">
        <v>0</v>
      </c>
      <c r="C28" s="7" t="n">
        <v>0</v>
      </c>
      <c r="D28" s="7" t="n">
        <v>0</v>
      </c>
      <c r="E28" s="7" t="n">
        <v>0</v>
      </c>
      <c r="F28" s="7" t="n">
        <v>0</v>
      </c>
      <c r="G28" s="7" t="n">
        <v>0</v>
      </c>
      <c r="H28" s="7" t="n">
        <v>0</v>
      </c>
      <c r="I28" s="7" t="n">
        <v>0</v>
      </c>
      <c r="J28" s="7" t="n">
        <v>0</v>
      </c>
      <c r="K28" s="7" t="n">
        <v>0</v>
      </c>
      <c r="L28" s="7" t="n">
        <v>0</v>
      </c>
      <c r="M28" s="7" t="n">
        <v>0</v>
      </c>
      <c r="N28" s="7" t="n">
        <v>0</v>
      </c>
      <c r="O28" s="7" t="n">
        <v>0</v>
      </c>
      <c r="P28" s="7" t="n">
        <v>0</v>
      </c>
      <c r="Q28" s="7" t="n">
        <v>0</v>
      </c>
      <c r="R28" s="7" t="n">
        <v>0</v>
      </c>
    </row>
    <row r="29">
      <c r="A29" s="12" t="inlineStr">
        <is>
          <t>Projected on hand</t>
        </is>
      </c>
      <c r="B29" s="8">
        <f>0+B28+B31-B27</f>
        <v/>
      </c>
      <c r="C29" s="8">
        <f>B29+C28+C31-C27</f>
        <v/>
      </c>
      <c r="D29" s="8">
        <f>C29+D28+D31-D27</f>
        <v/>
      </c>
      <c r="E29" s="8">
        <f>D29+E28+E31-E27</f>
        <v/>
      </c>
      <c r="F29" s="8">
        <f>E29+F28+F31-F27</f>
        <v/>
      </c>
      <c r="G29" s="8">
        <f>F29+G28+G31-G27</f>
        <v/>
      </c>
      <c r="H29" s="8">
        <f>G29+H28+H31-H27</f>
        <v/>
      </c>
      <c r="I29" s="8">
        <f>H29+I28+I31-I27</f>
        <v/>
      </c>
      <c r="J29" s="8">
        <f>I29+J28+J31-J27</f>
        <v/>
      </c>
      <c r="K29" s="8">
        <f>J29+K28+K31-K27</f>
        <v/>
      </c>
      <c r="L29" s="8">
        <f>K29+L28+L31-L27</f>
        <v/>
      </c>
      <c r="M29" s="8">
        <f>L29+M28+M31-M27</f>
        <v/>
      </c>
      <c r="N29" s="8">
        <f>M29+N28+N31-N27</f>
        <v/>
      </c>
      <c r="O29" s="8">
        <f>N29+O28+O31-O27</f>
        <v/>
      </c>
      <c r="P29" s="8">
        <f>O29+P28+P31-P27</f>
        <v/>
      </c>
      <c r="Q29" s="8">
        <f>P29+Q28+Q31-Q27</f>
        <v/>
      </c>
      <c r="R29" s="8">
        <f>Q29+R28+R31-R27</f>
        <v/>
      </c>
    </row>
    <row r="30">
      <c r="A30" s="12" t="inlineStr">
        <is>
          <t>Net requirements</t>
        </is>
      </c>
      <c r="B30" s="8">
        <f>MAX(B27-B28-0,0)</f>
        <v/>
      </c>
      <c r="C30" s="8">
        <f>MAX(C27-C28-B29,0)</f>
        <v/>
      </c>
      <c r="D30" s="8">
        <f>MAX(D27-D28-C29,0)</f>
        <v/>
      </c>
      <c r="E30" s="8">
        <f>MAX(E27-E28-D29,0)</f>
        <v/>
      </c>
      <c r="F30" s="8">
        <f>MAX(F27-F28-E29,0)</f>
        <v/>
      </c>
      <c r="G30" s="8">
        <f>MAX(G27-G28-F29,0)</f>
        <v/>
      </c>
      <c r="H30" s="8">
        <f>MAX(H27-H28-G29,0)</f>
        <v/>
      </c>
      <c r="I30" s="8">
        <f>MAX(I27-I28-H29,0)</f>
        <v/>
      </c>
      <c r="J30" s="8">
        <f>MAX(J27-J28-I29,0)</f>
        <v/>
      </c>
      <c r="K30" s="8">
        <f>MAX(K27-K28-J29,0)</f>
        <v/>
      </c>
      <c r="L30" s="8">
        <f>MAX(L27-L28-K29,0)</f>
        <v/>
      </c>
      <c r="M30" s="8">
        <f>MAX(M27-M28-L29,0)</f>
        <v/>
      </c>
      <c r="N30" s="8">
        <f>MAX(N27-N28-M29,0)</f>
        <v/>
      </c>
      <c r="O30" s="8">
        <f>MAX(O27-O28-N29,0)</f>
        <v/>
      </c>
      <c r="P30" s="8">
        <f>MAX(P27-P28-O29,0)</f>
        <v/>
      </c>
      <c r="Q30" s="8">
        <f>MAX(Q27-Q28-P29,0)</f>
        <v/>
      </c>
      <c r="R30" s="8">
        <f>MAX(R27-R28-Q29,0)</f>
        <v/>
      </c>
    </row>
    <row r="31">
      <c r="A31" s="12" t="inlineStr">
        <is>
          <t>Planned order receipts</t>
        </is>
      </c>
      <c r="B31" s="11">
        <f>B30</f>
        <v/>
      </c>
      <c r="C31" s="11">
        <f>C30</f>
        <v/>
      </c>
      <c r="D31" s="11">
        <f>D30</f>
        <v/>
      </c>
      <c r="E31" s="11">
        <f>E30</f>
        <v/>
      </c>
      <c r="F31" s="11">
        <f>F30</f>
        <v/>
      </c>
      <c r="G31" s="11">
        <f>G30</f>
        <v/>
      </c>
      <c r="H31" s="11">
        <f>H30</f>
        <v/>
      </c>
      <c r="I31" s="11">
        <f>I30</f>
        <v/>
      </c>
      <c r="J31" s="11">
        <f>J30</f>
        <v/>
      </c>
      <c r="K31" s="11">
        <f>K30</f>
        <v/>
      </c>
      <c r="L31" s="11">
        <f>L30</f>
        <v/>
      </c>
      <c r="M31" s="11">
        <f>M30</f>
        <v/>
      </c>
      <c r="N31" s="11">
        <f>N30</f>
        <v/>
      </c>
      <c r="O31" s="11">
        <f>O30</f>
        <v/>
      </c>
      <c r="P31" s="11">
        <f>P30</f>
        <v/>
      </c>
      <c r="Q31" s="11">
        <f>Q30</f>
        <v/>
      </c>
      <c r="R31" s="11">
        <f>R30</f>
        <v/>
      </c>
    </row>
    <row r="32">
      <c r="A32" s="12" t="inlineStr">
        <is>
          <t>Planned order releases</t>
        </is>
      </c>
      <c r="B32" s="8">
        <f>D31</f>
        <v/>
      </c>
      <c r="C32" s="8">
        <f>E31</f>
        <v/>
      </c>
      <c r="D32" s="8">
        <f>F31</f>
        <v/>
      </c>
      <c r="E32" s="8">
        <f>G31</f>
        <v/>
      </c>
      <c r="F32" s="8">
        <f>H31</f>
        <v/>
      </c>
      <c r="G32" s="8">
        <f>I31</f>
        <v/>
      </c>
      <c r="H32" s="8">
        <f>J31</f>
        <v/>
      </c>
      <c r="I32" s="8">
        <f>K31</f>
        <v/>
      </c>
      <c r="J32" s="8">
        <f>L31</f>
        <v/>
      </c>
      <c r="K32" s="8">
        <f>M31</f>
        <v/>
      </c>
      <c r="L32" s="8">
        <f>N31</f>
        <v/>
      </c>
      <c r="M32" s="8">
        <f>O31</f>
        <v/>
      </c>
      <c r="N32" s="8">
        <f>P31</f>
        <v/>
      </c>
      <c r="O32" s="8">
        <f>Q31</f>
        <v/>
      </c>
      <c r="P32" s="8">
        <f>R31</f>
        <v/>
      </c>
      <c r="Q32" s="8" t="n">
        <v>0</v>
      </c>
      <c r="R32" s="8" t="n">
        <v>0</v>
      </c>
    </row>
    <row r="34">
      <c r="A34" s="12" t="inlineStr">
        <is>
          <t>Period</t>
        </is>
      </c>
      <c r="B34" s="5" t="n">
        <v>1</v>
      </c>
      <c r="C34" s="5" t="n">
        <v>2</v>
      </c>
      <c r="D34" s="5" t="n">
        <v>3</v>
      </c>
      <c r="E34" s="5" t="n">
        <v>4</v>
      </c>
      <c r="F34" s="5" t="n">
        <v>5</v>
      </c>
      <c r="G34" s="5" t="n">
        <v>6</v>
      </c>
      <c r="H34" s="5" t="n">
        <v>7</v>
      </c>
      <c r="I34" s="5" t="n">
        <v>8</v>
      </c>
      <c r="J34" s="5" t="n">
        <v>9</v>
      </c>
      <c r="K34" s="5" t="n">
        <v>10</v>
      </c>
      <c r="L34" s="5" t="n">
        <v>11</v>
      </c>
      <c r="M34" s="5" t="n">
        <v>12</v>
      </c>
      <c r="N34" s="5" t="n">
        <v>13</v>
      </c>
      <c r="O34" s="5" t="n">
        <v>14</v>
      </c>
      <c r="P34" s="5" t="n">
        <v>15</v>
      </c>
      <c r="Q34" s="5" t="n">
        <v>16</v>
      </c>
      <c r="R34" s="5" t="n">
        <v>17</v>
      </c>
    </row>
    <row r="35">
      <c r="A35" s="3" t="inlineStr">
        <is>
          <t>S   Spindle assembly      lead time 1</t>
        </is>
      </c>
    </row>
    <row r="36">
      <c r="A36" s="12" t="inlineStr">
        <is>
          <t>Gross requirements</t>
        </is>
      </c>
      <c r="B36" s="8">
        <f>$C$7*B23</f>
        <v/>
      </c>
      <c r="C36" s="8">
        <f>$C$7*C23</f>
        <v/>
      </c>
      <c r="D36" s="8">
        <f>$C$7*D23</f>
        <v/>
      </c>
      <c r="E36" s="8">
        <f>$C$7*E23</f>
        <v/>
      </c>
      <c r="F36" s="8">
        <f>$C$7*F23</f>
        <v/>
      </c>
      <c r="G36" s="8">
        <f>$C$7*G23</f>
        <v/>
      </c>
      <c r="H36" s="8">
        <f>$C$7*H23</f>
        <v/>
      </c>
      <c r="I36" s="8">
        <f>$C$7*I23</f>
        <v/>
      </c>
      <c r="J36" s="8">
        <f>$C$7*J23</f>
        <v/>
      </c>
      <c r="K36" s="8">
        <f>$C$7*K23</f>
        <v/>
      </c>
      <c r="L36" s="8">
        <f>$C$7*L23</f>
        <v/>
      </c>
      <c r="M36" s="8">
        <f>$C$7*M23</f>
        <v/>
      </c>
      <c r="N36" s="8">
        <f>$C$7*N23</f>
        <v/>
      </c>
      <c r="O36" s="8">
        <f>$C$7*O23</f>
        <v/>
      </c>
      <c r="P36" s="8">
        <f>$C$7*P23</f>
        <v/>
      </c>
      <c r="Q36" s="8">
        <f>$C$7*Q23</f>
        <v/>
      </c>
      <c r="R36" s="8">
        <f>$C$7*R23</f>
        <v/>
      </c>
    </row>
    <row r="37">
      <c r="A37" s="12" t="inlineStr">
        <is>
          <t>Scheduled receipts</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row>
    <row r="38">
      <c r="A38" s="12" t="inlineStr">
        <is>
          <t>Projected on hand</t>
        </is>
      </c>
      <c r="B38" s="8">
        <f>0+B37+B40-B36</f>
        <v/>
      </c>
      <c r="C38" s="8">
        <f>B38+C37+C40-C36</f>
        <v/>
      </c>
      <c r="D38" s="8">
        <f>C38+D37+D40-D36</f>
        <v/>
      </c>
      <c r="E38" s="8">
        <f>D38+E37+E40-E36</f>
        <v/>
      </c>
      <c r="F38" s="8">
        <f>E38+F37+F40-F36</f>
        <v/>
      </c>
      <c r="G38" s="8">
        <f>F38+G37+G40-G36</f>
        <v/>
      </c>
      <c r="H38" s="8">
        <f>G38+H37+H40-H36</f>
        <v/>
      </c>
      <c r="I38" s="8">
        <f>H38+I37+I40-I36</f>
        <v/>
      </c>
      <c r="J38" s="8">
        <f>I38+J37+J40-J36</f>
        <v/>
      </c>
      <c r="K38" s="8">
        <f>J38+K37+K40-K36</f>
        <v/>
      </c>
      <c r="L38" s="8">
        <f>K38+L37+L40-L36</f>
        <v/>
      </c>
      <c r="M38" s="8">
        <f>L38+M37+M40-M36</f>
        <v/>
      </c>
      <c r="N38" s="8">
        <f>M38+N37+N40-N36</f>
        <v/>
      </c>
      <c r="O38" s="8">
        <f>N38+O37+O40-O36</f>
        <v/>
      </c>
      <c r="P38" s="8">
        <f>O38+P37+P40-P36</f>
        <v/>
      </c>
      <c r="Q38" s="8">
        <f>P38+Q37+Q40-Q36</f>
        <v/>
      </c>
      <c r="R38" s="8">
        <f>Q38+R37+R40-R36</f>
        <v/>
      </c>
    </row>
    <row r="39">
      <c r="A39" s="12" t="inlineStr">
        <is>
          <t>Net requirements</t>
        </is>
      </c>
      <c r="B39" s="8">
        <f>MAX(B36-B37-0,0)</f>
        <v/>
      </c>
      <c r="C39" s="8">
        <f>MAX(C36-C37-B38,0)</f>
        <v/>
      </c>
      <c r="D39" s="8">
        <f>MAX(D36-D37-C38,0)</f>
        <v/>
      </c>
      <c r="E39" s="8">
        <f>MAX(E36-E37-D38,0)</f>
        <v/>
      </c>
      <c r="F39" s="8">
        <f>MAX(F36-F37-E38,0)</f>
        <v/>
      </c>
      <c r="G39" s="8">
        <f>MAX(G36-G37-F38,0)</f>
        <v/>
      </c>
      <c r="H39" s="8">
        <f>MAX(H36-H37-G38,0)</f>
        <v/>
      </c>
      <c r="I39" s="8">
        <f>MAX(I36-I37-H38,0)</f>
        <v/>
      </c>
      <c r="J39" s="8">
        <f>MAX(J36-J37-I38,0)</f>
        <v/>
      </c>
      <c r="K39" s="8">
        <f>MAX(K36-K37-J38,0)</f>
        <v/>
      </c>
      <c r="L39" s="8">
        <f>MAX(L36-L37-K38,0)</f>
        <v/>
      </c>
      <c r="M39" s="8">
        <f>MAX(M36-M37-L38,0)</f>
        <v/>
      </c>
      <c r="N39" s="8">
        <f>MAX(N36-N37-M38,0)</f>
        <v/>
      </c>
      <c r="O39" s="8">
        <f>MAX(O36-O37-N38,0)</f>
        <v/>
      </c>
      <c r="P39" s="8">
        <f>MAX(P36-P37-O38,0)</f>
        <v/>
      </c>
      <c r="Q39" s="8">
        <f>MAX(Q36-Q37-P38,0)</f>
        <v/>
      </c>
      <c r="R39" s="8">
        <f>MAX(R36-R37-Q38,0)</f>
        <v/>
      </c>
    </row>
    <row r="40">
      <c r="A40" s="12" t="inlineStr">
        <is>
          <t>Planned order receipts</t>
        </is>
      </c>
      <c r="B40" s="11">
        <f>B39</f>
        <v/>
      </c>
      <c r="C40" s="11">
        <f>C39</f>
        <v/>
      </c>
      <c r="D40" s="11">
        <f>D39</f>
        <v/>
      </c>
      <c r="E40" s="11">
        <f>E39</f>
        <v/>
      </c>
      <c r="F40" s="11">
        <f>F39</f>
        <v/>
      </c>
      <c r="G40" s="11">
        <f>G39</f>
        <v/>
      </c>
      <c r="H40" s="11">
        <f>H39</f>
        <v/>
      </c>
      <c r="I40" s="11">
        <f>I39</f>
        <v/>
      </c>
      <c r="J40" s="11">
        <f>J39</f>
        <v/>
      </c>
      <c r="K40" s="11">
        <f>K39</f>
        <v/>
      </c>
      <c r="L40" s="11">
        <f>L39</f>
        <v/>
      </c>
      <c r="M40" s="11">
        <f>M39</f>
        <v/>
      </c>
      <c r="N40" s="11">
        <f>N39</f>
        <v/>
      </c>
      <c r="O40" s="11">
        <f>O39</f>
        <v/>
      </c>
      <c r="P40" s="11">
        <f>P39</f>
        <v/>
      </c>
      <c r="Q40" s="11">
        <f>Q39</f>
        <v/>
      </c>
      <c r="R40" s="11">
        <f>R39</f>
        <v/>
      </c>
    </row>
    <row r="41">
      <c r="A41" s="12" t="inlineStr">
        <is>
          <t>Planned order releases</t>
        </is>
      </c>
      <c r="B41" s="8">
        <f>C40</f>
        <v/>
      </c>
      <c r="C41" s="8">
        <f>D40</f>
        <v/>
      </c>
      <c r="D41" s="8">
        <f>E40</f>
        <v/>
      </c>
      <c r="E41" s="8">
        <f>F40</f>
        <v/>
      </c>
      <c r="F41" s="8">
        <f>G40</f>
        <v/>
      </c>
      <c r="G41" s="8">
        <f>H40</f>
        <v/>
      </c>
      <c r="H41" s="8">
        <f>I40</f>
        <v/>
      </c>
      <c r="I41" s="8">
        <f>J40</f>
        <v/>
      </c>
      <c r="J41" s="8">
        <f>K40</f>
        <v/>
      </c>
      <c r="K41" s="8">
        <f>L40</f>
        <v/>
      </c>
      <c r="L41" s="8">
        <f>M40</f>
        <v/>
      </c>
      <c r="M41" s="8">
        <f>N40</f>
        <v/>
      </c>
      <c r="N41" s="8">
        <f>O40</f>
        <v/>
      </c>
      <c r="O41" s="8">
        <f>P40</f>
        <v/>
      </c>
      <c r="P41" s="8">
        <f>Q40</f>
        <v/>
      </c>
      <c r="Q41" s="8">
        <f>R40</f>
        <v/>
      </c>
      <c r="R41" s="8" t="n">
        <v>0</v>
      </c>
    </row>
    <row r="43">
      <c r="A43" s="12" t="inlineStr">
        <is>
          <t>Period</t>
        </is>
      </c>
      <c r="B43" s="5" t="n">
        <v>1</v>
      </c>
      <c r="C43" s="5" t="n">
        <v>2</v>
      </c>
      <c r="D43" s="5" t="n">
        <v>3</v>
      </c>
      <c r="E43" s="5" t="n">
        <v>4</v>
      </c>
      <c r="F43" s="5" t="n">
        <v>5</v>
      </c>
      <c r="G43" s="5" t="n">
        <v>6</v>
      </c>
      <c r="H43" s="5" t="n">
        <v>7</v>
      </c>
      <c r="I43" s="5" t="n">
        <v>8</v>
      </c>
      <c r="J43" s="5" t="n">
        <v>9</v>
      </c>
      <c r="K43" s="5" t="n">
        <v>10</v>
      </c>
      <c r="L43" s="5" t="n">
        <v>11</v>
      </c>
      <c r="M43" s="5" t="n">
        <v>12</v>
      </c>
      <c r="N43" s="5" t="n">
        <v>13</v>
      </c>
      <c r="O43" s="5" t="n">
        <v>14</v>
      </c>
      <c r="P43" s="5" t="n">
        <v>15</v>
      </c>
      <c r="Q43" s="5" t="n">
        <v>16</v>
      </c>
      <c r="R43" s="5" t="n">
        <v>17</v>
      </c>
    </row>
    <row r="44">
      <c r="A44" s="3" t="inlineStr">
        <is>
          <t>BR   Bearing      lead time 3</t>
        </is>
      </c>
    </row>
    <row r="45">
      <c r="A45" s="12" t="inlineStr">
        <is>
          <t>Gross requirements</t>
        </is>
      </c>
      <c r="B45" s="8">
        <f>$C$8*B23+$C$10*B41</f>
        <v/>
      </c>
      <c r="C45" s="8">
        <f>$C$8*C23+$C$10*C41</f>
        <v/>
      </c>
      <c r="D45" s="8">
        <f>$C$8*D23+$C$10*D41</f>
        <v/>
      </c>
      <c r="E45" s="8">
        <f>$C$8*E23+$C$10*E41</f>
        <v/>
      </c>
      <c r="F45" s="8">
        <f>$C$8*F23+$C$10*F41</f>
        <v/>
      </c>
      <c r="G45" s="8">
        <f>$C$8*G23+$C$10*G41</f>
        <v/>
      </c>
      <c r="H45" s="8">
        <f>$C$8*H23+$C$10*H41</f>
        <v/>
      </c>
      <c r="I45" s="8">
        <f>$C$8*I23+$C$10*I41</f>
        <v/>
      </c>
      <c r="J45" s="8">
        <f>$C$8*J23+$C$10*J41</f>
        <v/>
      </c>
      <c r="K45" s="8">
        <f>$C$8*K23+$C$10*K41</f>
        <v/>
      </c>
      <c r="L45" s="8">
        <f>$C$8*L23+$C$10*L41</f>
        <v/>
      </c>
      <c r="M45" s="8">
        <f>$C$8*M23+$C$10*M41</f>
        <v/>
      </c>
      <c r="N45" s="8">
        <f>$C$8*N23+$C$10*N41</f>
        <v/>
      </c>
      <c r="O45" s="8">
        <f>$C$8*O23+$C$10*O41</f>
        <v/>
      </c>
      <c r="P45" s="8">
        <f>$C$8*P23+$C$10*P41</f>
        <v/>
      </c>
      <c r="Q45" s="8">
        <f>$C$8*Q23+$C$10*Q41</f>
        <v/>
      </c>
      <c r="R45" s="8">
        <f>$C$8*R23+$C$10*R41</f>
        <v/>
      </c>
    </row>
    <row r="46">
      <c r="A46" s="12" t="inlineStr">
        <is>
          <t>Scheduled receipts</t>
        </is>
      </c>
      <c r="B46" s="7" t="n">
        <v>0</v>
      </c>
      <c r="C46" s="7" t="n">
        <v>0</v>
      </c>
      <c r="D46" s="7" t="n">
        <v>0</v>
      </c>
      <c r="E46" s="7" t="n">
        <v>0</v>
      </c>
      <c r="F46" s="7" t="n">
        <v>0</v>
      </c>
      <c r="G46" s="7" t="n">
        <v>0</v>
      </c>
      <c r="H46" s="7" t="n">
        <v>0</v>
      </c>
      <c r="I46" s="7" t="n">
        <v>0</v>
      </c>
      <c r="J46" s="7" t="n">
        <v>0</v>
      </c>
      <c r="K46" s="7" t="n">
        <v>0</v>
      </c>
      <c r="L46" s="7" t="n">
        <v>0</v>
      </c>
      <c r="M46" s="7" t="n">
        <v>0</v>
      </c>
      <c r="N46" s="7" t="n">
        <v>0</v>
      </c>
      <c r="O46" s="7" t="n">
        <v>0</v>
      </c>
      <c r="P46" s="7" t="n">
        <v>0</v>
      </c>
      <c r="Q46" s="7" t="n">
        <v>0</v>
      </c>
      <c r="R46" s="7" t="n">
        <v>0</v>
      </c>
    </row>
    <row r="47">
      <c r="A47" s="12" t="inlineStr">
        <is>
          <t>Projected on hand</t>
        </is>
      </c>
      <c r="B47" s="8">
        <f>0+B46+B49-B45</f>
        <v/>
      </c>
      <c r="C47" s="8">
        <f>B47+C46+C49-C45</f>
        <v/>
      </c>
      <c r="D47" s="8">
        <f>C47+D46+D49-D45</f>
        <v/>
      </c>
      <c r="E47" s="8">
        <f>D47+E46+E49-E45</f>
        <v/>
      </c>
      <c r="F47" s="8">
        <f>E47+F46+F49-F45</f>
        <v/>
      </c>
      <c r="G47" s="8">
        <f>F47+G46+G49-G45</f>
        <v/>
      </c>
      <c r="H47" s="8">
        <f>G47+H46+H49-H45</f>
        <v/>
      </c>
      <c r="I47" s="8">
        <f>H47+I46+I49-I45</f>
        <v/>
      </c>
      <c r="J47" s="8">
        <f>I47+J46+J49-J45</f>
        <v/>
      </c>
      <c r="K47" s="8">
        <f>J47+K46+K49-K45</f>
        <v/>
      </c>
      <c r="L47" s="8">
        <f>K47+L46+L49-L45</f>
        <v/>
      </c>
      <c r="M47" s="8">
        <f>L47+M46+M49-M45</f>
        <v/>
      </c>
      <c r="N47" s="8">
        <f>M47+N46+N49-N45</f>
        <v/>
      </c>
      <c r="O47" s="8">
        <f>N47+O46+O49-O45</f>
        <v/>
      </c>
      <c r="P47" s="8">
        <f>O47+P46+P49-P45</f>
        <v/>
      </c>
      <c r="Q47" s="8">
        <f>P47+Q46+Q49-Q45</f>
        <v/>
      </c>
      <c r="R47" s="8">
        <f>Q47+R46+R49-R45</f>
        <v/>
      </c>
    </row>
    <row r="48">
      <c r="A48" s="12" t="inlineStr">
        <is>
          <t>Net requirements</t>
        </is>
      </c>
      <c r="B48" s="8">
        <f>MAX(B45-B46-0,0)</f>
        <v/>
      </c>
      <c r="C48" s="8">
        <f>MAX(C45-C46-B47,0)</f>
        <v/>
      </c>
      <c r="D48" s="8">
        <f>MAX(D45-D46-C47,0)</f>
        <v/>
      </c>
      <c r="E48" s="8">
        <f>MAX(E45-E46-D47,0)</f>
        <v/>
      </c>
      <c r="F48" s="8">
        <f>MAX(F45-F46-E47,0)</f>
        <v/>
      </c>
      <c r="G48" s="8">
        <f>MAX(G45-G46-F47,0)</f>
        <v/>
      </c>
      <c r="H48" s="8">
        <f>MAX(H45-H46-G47,0)</f>
        <v/>
      </c>
      <c r="I48" s="8">
        <f>MAX(I45-I46-H47,0)</f>
        <v/>
      </c>
      <c r="J48" s="8">
        <f>MAX(J45-J46-I47,0)</f>
        <v/>
      </c>
      <c r="K48" s="8">
        <f>MAX(K45-K46-J47,0)</f>
        <v/>
      </c>
      <c r="L48" s="8">
        <f>MAX(L45-L46-K47,0)</f>
        <v/>
      </c>
      <c r="M48" s="8">
        <f>MAX(M45-M46-L47,0)</f>
        <v/>
      </c>
      <c r="N48" s="8">
        <f>MAX(N45-N46-M47,0)</f>
        <v/>
      </c>
      <c r="O48" s="8">
        <f>MAX(O45-O46-N47,0)</f>
        <v/>
      </c>
      <c r="P48" s="8">
        <f>MAX(P45-P46-O47,0)</f>
        <v/>
      </c>
      <c r="Q48" s="8">
        <f>MAX(Q45-Q46-P47,0)</f>
        <v/>
      </c>
      <c r="R48" s="8">
        <f>MAX(R45-R46-Q47,0)</f>
        <v/>
      </c>
    </row>
    <row r="49">
      <c r="A49" s="12" t="inlineStr">
        <is>
          <t>Planned order receipts</t>
        </is>
      </c>
      <c r="B49" s="11">
        <f>B48</f>
        <v/>
      </c>
      <c r="C49" s="11">
        <f>C48</f>
        <v/>
      </c>
      <c r="D49" s="11">
        <f>D48</f>
        <v/>
      </c>
      <c r="E49" s="11">
        <f>E48</f>
        <v/>
      </c>
      <c r="F49" s="11">
        <f>F48</f>
        <v/>
      </c>
      <c r="G49" s="11">
        <f>G48</f>
        <v/>
      </c>
      <c r="H49" s="11">
        <f>H48</f>
        <v/>
      </c>
      <c r="I49" s="11">
        <f>I48</f>
        <v/>
      </c>
      <c r="J49" s="11">
        <f>J48</f>
        <v/>
      </c>
      <c r="K49" s="11">
        <f>K48</f>
        <v/>
      </c>
      <c r="L49" s="11">
        <f>L48</f>
        <v/>
      </c>
      <c r="M49" s="11">
        <f>M48</f>
        <v/>
      </c>
      <c r="N49" s="11">
        <f>N48</f>
        <v/>
      </c>
      <c r="O49" s="11">
        <f>O48</f>
        <v/>
      </c>
      <c r="P49" s="11">
        <f>P48</f>
        <v/>
      </c>
      <c r="Q49" s="11">
        <f>Q48</f>
        <v/>
      </c>
      <c r="R49" s="11">
        <f>R48</f>
        <v/>
      </c>
    </row>
    <row r="50">
      <c r="A50" s="12" t="inlineStr">
        <is>
          <t>Planned order releases</t>
        </is>
      </c>
      <c r="B50" s="8">
        <f>E49</f>
        <v/>
      </c>
      <c r="C50" s="8">
        <f>F49</f>
        <v/>
      </c>
      <c r="D50" s="8">
        <f>G49</f>
        <v/>
      </c>
      <c r="E50" s="8">
        <f>H49</f>
        <v/>
      </c>
      <c r="F50" s="8">
        <f>I49</f>
        <v/>
      </c>
      <c r="G50" s="8">
        <f>J49</f>
        <v/>
      </c>
      <c r="H50" s="8">
        <f>K49</f>
        <v/>
      </c>
      <c r="I50" s="8">
        <f>L49</f>
        <v/>
      </c>
      <c r="J50" s="8">
        <f>M49</f>
        <v/>
      </c>
      <c r="K50" s="8">
        <f>N49</f>
        <v/>
      </c>
      <c r="L50" s="8">
        <f>O49</f>
        <v/>
      </c>
      <c r="M50" s="8">
        <f>P49</f>
        <v/>
      </c>
      <c r="N50" s="8">
        <f>Q49</f>
        <v/>
      </c>
      <c r="O50" s="8">
        <f>R49</f>
        <v/>
      </c>
      <c r="P50" s="8" t="n">
        <v>0</v>
      </c>
      <c r="Q50" s="8" t="n">
        <v>0</v>
      </c>
      <c r="R50" s="8" t="n">
        <v>0</v>
      </c>
    </row>
    <row r="52">
      <c r="A52" s="12" t="inlineStr">
        <is>
          <t>Period</t>
        </is>
      </c>
      <c r="B52" s="5" t="n">
        <v>1</v>
      </c>
      <c r="C52" s="5" t="n">
        <v>2</v>
      </c>
      <c r="D52" s="5" t="n">
        <v>3</v>
      </c>
      <c r="E52" s="5" t="n">
        <v>4</v>
      </c>
      <c r="F52" s="5" t="n">
        <v>5</v>
      </c>
      <c r="G52" s="5" t="n">
        <v>6</v>
      </c>
      <c r="H52" s="5" t="n">
        <v>7</v>
      </c>
      <c r="I52" s="5" t="n">
        <v>8</v>
      </c>
      <c r="J52" s="5" t="n">
        <v>9</v>
      </c>
      <c r="K52" s="5" t="n">
        <v>10</v>
      </c>
      <c r="L52" s="5" t="n">
        <v>11</v>
      </c>
      <c r="M52" s="5" t="n">
        <v>12</v>
      </c>
      <c r="N52" s="5" t="n">
        <v>13</v>
      </c>
      <c r="O52" s="5" t="n">
        <v>14</v>
      </c>
      <c r="P52" s="5" t="n">
        <v>15</v>
      </c>
      <c r="Q52" s="5" t="n">
        <v>16</v>
      </c>
      <c r="R52" s="5" t="n">
        <v>17</v>
      </c>
    </row>
    <row r="53">
      <c r="A53" s="3" t="inlineStr">
        <is>
          <t>H   Spindle housing      lead time 2</t>
        </is>
      </c>
    </row>
    <row r="54">
      <c r="A54" s="12" t="inlineStr">
        <is>
          <t>Gross requirements</t>
        </is>
      </c>
      <c r="B54" s="8">
        <f>$C$9*B41</f>
        <v/>
      </c>
      <c r="C54" s="8">
        <f>$C$9*C41</f>
        <v/>
      </c>
      <c r="D54" s="8">
        <f>$C$9*D41</f>
        <v/>
      </c>
      <c r="E54" s="8">
        <f>$C$9*E41</f>
        <v/>
      </c>
      <c r="F54" s="8">
        <f>$C$9*F41</f>
        <v/>
      </c>
      <c r="G54" s="8">
        <f>$C$9*G41</f>
        <v/>
      </c>
      <c r="H54" s="8">
        <f>$C$9*H41</f>
        <v/>
      </c>
      <c r="I54" s="8">
        <f>$C$9*I41</f>
        <v/>
      </c>
      <c r="J54" s="8">
        <f>$C$9*J41</f>
        <v/>
      </c>
      <c r="K54" s="8">
        <f>$C$9*K41</f>
        <v/>
      </c>
      <c r="L54" s="8">
        <f>$C$9*L41</f>
        <v/>
      </c>
      <c r="M54" s="8">
        <f>$C$9*M41</f>
        <v/>
      </c>
      <c r="N54" s="8">
        <f>$C$9*N41</f>
        <v/>
      </c>
      <c r="O54" s="8">
        <f>$C$9*O41</f>
        <v/>
      </c>
      <c r="P54" s="8">
        <f>$C$9*P41</f>
        <v/>
      </c>
      <c r="Q54" s="8">
        <f>$C$9*Q41</f>
        <v/>
      </c>
      <c r="R54" s="8">
        <f>$C$9*R41</f>
        <v/>
      </c>
    </row>
    <row r="55">
      <c r="A55" s="12" t="inlineStr">
        <is>
          <t>Scheduled receipts</t>
        </is>
      </c>
      <c r="B55" s="7" t="n">
        <v>0</v>
      </c>
      <c r="C55" s="7" t="n">
        <v>0</v>
      </c>
      <c r="D55" s="7" t="n">
        <v>0</v>
      </c>
      <c r="E55" s="7" t="n">
        <v>0</v>
      </c>
      <c r="F55" s="7" t="n">
        <v>0</v>
      </c>
      <c r="G55" s="7" t="n">
        <v>0</v>
      </c>
      <c r="H55" s="7" t="n">
        <v>0</v>
      </c>
      <c r="I55" s="7" t="n">
        <v>0</v>
      </c>
      <c r="J55" s="7" t="n">
        <v>0</v>
      </c>
      <c r="K55" s="7" t="n">
        <v>0</v>
      </c>
      <c r="L55" s="7" t="n">
        <v>0</v>
      </c>
      <c r="M55" s="7" t="n">
        <v>0</v>
      </c>
      <c r="N55" s="7" t="n">
        <v>0</v>
      </c>
      <c r="O55" s="7" t="n">
        <v>0</v>
      </c>
      <c r="P55" s="7" t="n">
        <v>0</v>
      </c>
      <c r="Q55" s="7" t="n">
        <v>0</v>
      </c>
      <c r="R55" s="7" t="n">
        <v>0</v>
      </c>
    </row>
    <row r="56">
      <c r="A56" s="12" t="inlineStr">
        <is>
          <t>Projected on hand</t>
        </is>
      </c>
      <c r="B56" s="8">
        <f>0+B55+B58-B54</f>
        <v/>
      </c>
      <c r="C56" s="8">
        <f>B56+C55+C58-C54</f>
        <v/>
      </c>
      <c r="D56" s="8">
        <f>C56+D55+D58-D54</f>
        <v/>
      </c>
      <c r="E56" s="8">
        <f>D56+E55+E58-E54</f>
        <v/>
      </c>
      <c r="F56" s="8">
        <f>E56+F55+F58-F54</f>
        <v/>
      </c>
      <c r="G56" s="8">
        <f>F56+G55+G58-G54</f>
        <v/>
      </c>
      <c r="H56" s="8">
        <f>G56+H55+H58-H54</f>
        <v/>
      </c>
      <c r="I56" s="8">
        <f>H56+I55+I58-I54</f>
        <v/>
      </c>
      <c r="J56" s="8">
        <f>I56+J55+J58-J54</f>
        <v/>
      </c>
      <c r="K56" s="8">
        <f>J56+K55+K58-K54</f>
        <v/>
      </c>
      <c r="L56" s="8">
        <f>K56+L55+L58-L54</f>
        <v/>
      </c>
      <c r="M56" s="8">
        <f>L56+M55+M58-M54</f>
        <v/>
      </c>
      <c r="N56" s="8">
        <f>M56+N55+N58-N54</f>
        <v/>
      </c>
      <c r="O56" s="8">
        <f>N56+O55+O58-O54</f>
        <v/>
      </c>
      <c r="P56" s="8">
        <f>O56+P55+P58-P54</f>
        <v/>
      </c>
      <c r="Q56" s="8">
        <f>P56+Q55+Q58-Q54</f>
        <v/>
      </c>
      <c r="R56" s="8">
        <f>Q56+R55+R58-R54</f>
        <v/>
      </c>
    </row>
    <row r="57">
      <c r="A57" s="12" t="inlineStr">
        <is>
          <t>Net requirements</t>
        </is>
      </c>
      <c r="B57" s="8">
        <f>MAX(B54-B55-0,0)</f>
        <v/>
      </c>
      <c r="C57" s="8">
        <f>MAX(C54-C55-B56,0)</f>
        <v/>
      </c>
      <c r="D57" s="8">
        <f>MAX(D54-D55-C56,0)</f>
        <v/>
      </c>
      <c r="E57" s="8">
        <f>MAX(E54-E55-D56,0)</f>
        <v/>
      </c>
      <c r="F57" s="8">
        <f>MAX(F54-F55-E56,0)</f>
        <v/>
      </c>
      <c r="G57" s="8">
        <f>MAX(G54-G55-F56,0)</f>
        <v/>
      </c>
      <c r="H57" s="8">
        <f>MAX(H54-H55-G56,0)</f>
        <v/>
      </c>
      <c r="I57" s="8">
        <f>MAX(I54-I55-H56,0)</f>
        <v/>
      </c>
      <c r="J57" s="8">
        <f>MAX(J54-J55-I56,0)</f>
        <v/>
      </c>
      <c r="K57" s="8">
        <f>MAX(K54-K55-J56,0)</f>
        <v/>
      </c>
      <c r="L57" s="8">
        <f>MAX(L54-L55-K56,0)</f>
        <v/>
      </c>
      <c r="M57" s="8">
        <f>MAX(M54-M55-L56,0)</f>
        <v/>
      </c>
      <c r="N57" s="8">
        <f>MAX(N54-N55-M56,0)</f>
        <v/>
      </c>
      <c r="O57" s="8">
        <f>MAX(O54-O55-N56,0)</f>
        <v/>
      </c>
      <c r="P57" s="8">
        <f>MAX(P54-P55-O56,0)</f>
        <v/>
      </c>
      <c r="Q57" s="8">
        <f>MAX(Q54-Q55-P56,0)</f>
        <v/>
      </c>
      <c r="R57" s="8">
        <f>MAX(R54-R55-Q56,0)</f>
        <v/>
      </c>
    </row>
    <row r="58">
      <c r="A58" s="12" t="inlineStr">
        <is>
          <t>Planned order receipts</t>
        </is>
      </c>
      <c r="B58" s="11">
        <f>B57</f>
        <v/>
      </c>
      <c r="C58" s="11">
        <f>C57</f>
        <v/>
      </c>
      <c r="D58" s="11">
        <f>D57</f>
        <v/>
      </c>
      <c r="E58" s="11">
        <f>E57</f>
        <v/>
      </c>
      <c r="F58" s="11">
        <f>F57</f>
        <v/>
      </c>
      <c r="G58" s="11">
        <f>G57</f>
        <v/>
      </c>
      <c r="H58" s="11">
        <f>H57</f>
        <v/>
      </c>
      <c r="I58" s="11">
        <f>I57</f>
        <v/>
      </c>
      <c r="J58" s="11">
        <f>J57</f>
        <v/>
      </c>
      <c r="K58" s="11">
        <f>K57</f>
        <v/>
      </c>
      <c r="L58" s="11">
        <f>L57</f>
        <v/>
      </c>
      <c r="M58" s="11">
        <f>M57</f>
        <v/>
      </c>
      <c r="N58" s="11">
        <f>N57</f>
        <v/>
      </c>
      <c r="O58" s="11">
        <f>O57</f>
        <v/>
      </c>
      <c r="P58" s="11">
        <f>P57</f>
        <v/>
      </c>
      <c r="Q58" s="11">
        <f>Q57</f>
        <v/>
      </c>
      <c r="R58" s="11">
        <f>R57</f>
        <v/>
      </c>
    </row>
    <row r="59">
      <c r="A59" s="12" t="inlineStr">
        <is>
          <t>Planned order releases</t>
        </is>
      </c>
      <c r="B59" s="8">
        <f>D58</f>
        <v/>
      </c>
      <c r="C59" s="8">
        <f>E58</f>
        <v/>
      </c>
      <c r="D59" s="8">
        <f>F58</f>
        <v/>
      </c>
      <c r="E59" s="8">
        <f>G58</f>
        <v/>
      </c>
      <c r="F59" s="8">
        <f>H58</f>
        <v/>
      </c>
      <c r="G59" s="8">
        <f>I58</f>
        <v/>
      </c>
      <c r="H59" s="8">
        <f>J58</f>
        <v/>
      </c>
      <c r="I59" s="8">
        <f>K58</f>
        <v/>
      </c>
      <c r="J59" s="8">
        <f>L58</f>
        <v/>
      </c>
      <c r="K59" s="8">
        <f>M58</f>
        <v/>
      </c>
      <c r="L59" s="8">
        <f>N58</f>
        <v/>
      </c>
      <c r="M59" s="8">
        <f>O58</f>
        <v/>
      </c>
      <c r="N59" s="8">
        <f>P58</f>
        <v/>
      </c>
      <c r="O59" s="8">
        <f>Q58</f>
        <v/>
      </c>
      <c r="P59" s="8">
        <f>R58</f>
        <v/>
      </c>
      <c r="Q59" s="8" t="n">
        <v>0</v>
      </c>
      <c r="R59" s="8" t="n">
        <v>0</v>
      </c>
    </row>
    <row r="63">
      <c r="A63" s="3" t="inlineStr">
        <is>
          <t>TOTALS</t>
        </is>
      </c>
    </row>
    <row r="64">
      <c r="A64" t="inlineStr">
        <is>
          <t>Orders placed, all five items</t>
        </is>
      </c>
      <c r="B64" s="8">
        <f>COUNTIF(B22:R22,"&gt;0")+COUNTIF(B31:R31,"&gt;0")+COUNTIF(B40:R40,"&gt;0")+COUNTIF(B49:R49,"&gt;0")+COUNTIF(B58:R58,"&gt;0")</f>
        <v/>
      </c>
    </row>
    <row r="65">
      <c r="A65" t="inlineStr">
        <is>
          <t>Setup cost, all five items</t>
        </is>
      </c>
      <c r="B65" s="13">
        <f>500*COUNTIF(B22:R22,"&gt;0")+300*COUNTIF(B31:R31,"&gt;0")+250*COUNTIF(B40:R40,"&gt;0")+100*COUNTIF(B49:R49,"&gt;0")+150*COUNTIF(B58:R58,"&gt;0")</f>
        <v/>
      </c>
    </row>
    <row r="66">
      <c r="A66" t="inlineStr">
        <is>
          <t>Carrying cost, all five items</t>
        </is>
      </c>
      <c r="B66" s="13">
        <f>3.6*SUM(B20:R20)+1*SUM(B29:R29)+0.75*SUM(B38:R38)+0.08*SUM(B47:R47)+0.24*SUM(B56:R56)</f>
        <v/>
      </c>
    </row>
    <row r="67">
      <c r="A67" s="2" t="inlineStr">
        <is>
          <t>Lot-for-lot never carries anything from one period to the next, so the carrying cost is zero and every dollar of the total is setup.</t>
        </is>
      </c>
    </row>
  </sheetData>
  <pageMargins left="0.75" right="0.75" top="1" bottom="1" header="0.5" footer="0.5"/>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2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12" customWidth="1" min="14" max="14"/>
    <col width="12" customWidth="1" min="15" max="15"/>
    <col width="12" customWidth="1" min="16" max="16"/>
    <col width="12" customWidth="1" min="17" max="17"/>
  </cols>
  <sheetData>
    <row r="1">
      <c r="A1" s="1" t="inlineStr">
        <is>
          <t>What the end item's rule does to everything below it</t>
        </is>
      </c>
    </row>
    <row r="2">
      <c r="A2" s="2" t="inlineStr">
        <is>
          <t>Chapter 6, section 6.5. Every component stays on lot-for-lot. Only the deck assembly's rule changes.</t>
        </is>
      </c>
    </row>
    <row r="4">
      <c r="A4" s="3" t="inlineStr">
        <is>
          <t>WHAT EACH RULE HAS ARRIVE AT THE DECK ASSEMBLY</t>
        </is>
      </c>
    </row>
    <row r="5">
      <c r="A5" s="2" t="inlineStr">
        <is>
          <t>The twelve scheduled months only. The lead-in of the Explosion sheet is a property of the horizon and not of this comparison, so it is left out.</t>
        </is>
      </c>
      <c r="M5" s="9" t="n"/>
      <c r="N5" s="12" t="inlineStr">
        <is>
          <t>Orders</t>
        </is>
      </c>
      <c r="O5" s="12" t="inlineStr">
        <is>
          <t>Largest</t>
        </is>
      </c>
      <c r="P5" s="12" t="inlineStr">
        <is>
          <t>Variability</t>
        </is>
      </c>
      <c r="Q5" s="12" t="inlineStr">
        <is>
          <t>Total</t>
        </is>
      </c>
    </row>
    <row r="6">
      <c r="A6" s="6" t="inlineStr">
        <is>
          <t>Period</t>
        </is>
      </c>
      <c r="B6" s="5" t="n">
        <v>1</v>
      </c>
      <c r="C6" s="5" t="n">
        <v>2</v>
      </c>
      <c r="D6" s="5" t="n">
        <v>3</v>
      </c>
      <c r="E6" s="5" t="n">
        <v>4</v>
      </c>
      <c r="F6" s="5" t="n">
        <v>5</v>
      </c>
      <c r="G6" s="5" t="n">
        <v>6</v>
      </c>
      <c r="H6" s="5" t="n">
        <v>7</v>
      </c>
      <c r="I6" s="5" t="n">
        <v>8</v>
      </c>
      <c r="J6" s="5" t="n">
        <v>9</v>
      </c>
      <c r="K6" s="5" t="n">
        <v>10</v>
      </c>
      <c r="L6" s="5" t="n">
        <v>11</v>
      </c>
      <c r="M6" s="14" t="n">
        <v>12</v>
      </c>
      <c r="N6" s="5" t="inlineStr">
        <is>
          <t>placed</t>
        </is>
      </c>
      <c r="O6" s="5" t="inlineStr">
        <is>
          <t>receipt</t>
        </is>
      </c>
      <c r="P6" s="5" t="inlineStr">
        <is>
          <t>coefficient</t>
        </is>
      </c>
      <c r="Q6" s="5" t="inlineStr">
        <is>
          <t>belts</t>
        </is>
      </c>
    </row>
    <row r="7">
      <c r="A7" s="6" t="inlineStr">
        <is>
          <t>Lot-for-lot</t>
        </is>
      </c>
      <c r="B7" s="7" t="n">
        <v>40</v>
      </c>
      <c r="C7" s="7" t="n">
        <v>60</v>
      </c>
      <c r="D7" s="7" t="n">
        <v>120</v>
      </c>
      <c r="E7" s="7" t="n">
        <v>300</v>
      </c>
      <c r="F7" s="7" t="n">
        <v>420</v>
      </c>
      <c r="G7" s="7" t="n">
        <v>260</v>
      </c>
      <c r="H7" s="7" t="n">
        <v>120</v>
      </c>
      <c r="I7" s="7" t="n">
        <v>40</v>
      </c>
      <c r="J7" s="7" t="n">
        <v>0</v>
      </c>
      <c r="K7" s="7" t="n">
        <v>80</v>
      </c>
      <c r="L7" s="7" t="n">
        <v>180</v>
      </c>
      <c r="M7" s="15" t="n">
        <v>220</v>
      </c>
      <c r="N7" s="8">
        <f>COUNTIF(B7:M7,"&gt;0")</f>
        <v/>
      </c>
      <c r="O7" s="8">
        <f>MAX(B7:M7)</f>
        <v/>
      </c>
      <c r="P7" s="16">
        <f>(SUMPRODUCT(B7:M7,B7:M7)/COUNT(B7:M7)-(SUM(B7:M7)/COUNT(B7:M7))^2)/(SUM(B7:M7)/COUNT(B7:M7))^2</f>
        <v/>
      </c>
      <c r="Q7" s="8">
        <f>SUM(B7:M7)</f>
        <v/>
      </c>
    </row>
    <row r="8">
      <c r="A8" s="6" t="inlineStr">
        <is>
          <t>Adjusted EOQ</t>
        </is>
      </c>
      <c r="B8" s="7" t="n">
        <v>220</v>
      </c>
      <c r="C8" s="7" t="n">
        <v>0</v>
      </c>
      <c r="D8" s="7" t="n">
        <v>0</v>
      </c>
      <c r="E8" s="7" t="n">
        <v>300</v>
      </c>
      <c r="F8" s="7" t="n">
        <v>420</v>
      </c>
      <c r="G8" s="7" t="n">
        <v>260</v>
      </c>
      <c r="H8" s="7" t="n">
        <v>240</v>
      </c>
      <c r="I8" s="7" t="n">
        <v>0</v>
      </c>
      <c r="J8" s="7" t="n">
        <v>0</v>
      </c>
      <c r="K8" s="7" t="n">
        <v>0</v>
      </c>
      <c r="L8" s="7" t="n">
        <v>180</v>
      </c>
      <c r="M8" s="15" t="n">
        <v>220</v>
      </c>
      <c r="N8" s="8">
        <f>COUNTIF(B8:M8,"&gt;0")</f>
        <v/>
      </c>
      <c r="O8" s="8">
        <f>MAX(B8:M8)</f>
        <v/>
      </c>
      <c r="P8" s="16">
        <f>(SUMPRODUCT(B8:M8,B8:M8)/COUNT(B8:M8)-(SUM(B8:M8)/COUNT(B8:M8))^2)/(SUM(B8:M8)/COUNT(B8:M8))^2</f>
        <v/>
      </c>
      <c r="Q8" s="8">
        <f>SUM(B8:M8)</f>
        <v/>
      </c>
    </row>
    <row r="9">
      <c r="A9" s="6" t="inlineStr">
        <is>
          <t>Periodic order quantity</t>
        </is>
      </c>
      <c r="B9" s="7" t="n">
        <v>40</v>
      </c>
      <c r="C9" s="7" t="n">
        <v>60</v>
      </c>
      <c r="D9" s="7" t="n">
        <v>120</v>
      </c>
      <c r="E9" s="7" t="n">
        <v>300</v>
      </c>
      <c r="F9" s="7" t="n">
        <v>420</v>
      </c>
      <c r="G9" s="7" t="n">
        <v>260</v>
      </c>
      <c r="H9" s="7" t="n">
        <v>120</v>
      </c>
      <c r="I9" s="7" t="n">
        <v>40</v>
      </c>
      <c r="J9" s="7" t="n">
        <v>0</v>
      </c>
      <c r="K9" s="7" t="n">
        <v>80</v>
      </c>
      <c r="L9" s="7" t="n">
        <v>180</v>
      </c>
      <c r="M9" s="15" t="n">
        <v>220</v>
      </c>
      <c r="N9" s="8">
        <f>COUNTIF(B9:M9,"&gt;0")</f>
        <v/>
      </c>
      <c r="O9" s="8">
        <f>MAX(B9:M9)</f>
        <v/>
      </c>
      <c r="P9" s="16">
        <f>(SUMPRODUCT(B9:M9,B9:M9)/COUNT(B9:M9)-(SUM(B9:M9)/COUNT(B9:M9))^2)/(SUM(B9:M9)/COUNT(B9:M9))^2</f>
        <v/>
      </c>
      <c r="Q9" s="8">
        <f>SUM(B9:M9)</f>
        <v/>
      </c>
    </row>
    <row r="10">
      <c r="A10" s="6" t="inlineStr">
        <is>
          <t>Least unit cost</t>
        </is>
      </c>
      <c r="B10" s="7" t="n">
        <v>100</v>
      </c>
      <c r="C10" s="7" t="n">
        <v>0</v>
      </c>
      <c r="D10" s="7" t="n">
        <v>420</v>
      </c>
      <c r="E10" s="7" t="n">
        <v>0</v>
      </c>
      <c r="F10" s="7" t="n">
        <v>420</v>
      </c>
      <c r="G10" s="7" t="n">
        <v>260</v>
      </c>
      <c r="H10" s="7" t="n">
        <v>160</v>
      </c>
      <c r="I10" s="7" t="n">
        <v>0</v>
      </c>
      <c r="J10" s="7" t="n">
        <v>0</v>
      </c>
      <c r="K10" s="7" t="n">
        <v>260</v>
      </c>
      <c r="L10" s="7" t="n">
        <v>0</v>
      </c>
      <c r="M10" s="15" t="n">
        <v>220</v>
      </c>
      <c r="N10" s="8">
        <f>COUNTIF(B10:M10,"&gt;0")</f>
        <v/>
      </c>
      <c r="O10" s="8">
        <f>MAX(B10:M10)</f>
        <v/>
      </c>
      <c r="P10" s="16">
        <f>(SUMPRODUCT(B10:M10,B10:M10)/COUNT(B10:M10)-(SUM(B10:M10)/COUNT(B10:M10))^2)/(SUM(B10:M10)/COUNT(B10:M10))^2</f>
        <v/>
      </c>
      <c r="Q10" s="8">
        <f>SUM(B10:M10)</f>
        <v/>
      </c>
    </row>
    <row r="11">
      <c r="A11" s="6" t="inlineStr">
        <is>
          <t>Part-period balancing</t>
        </is>
      </c>
      <c r="B11" s="7" t="n">
        <v>100</v>
      </c>
      <c r="C11" s="7" t="n">
        <v>0</v>
      </c>
      <c r="D11" s="7" t="n">
        <v>120</v>
      </c>
      <c r="E11" s="7" t="n">
        <v>300</v>
      </c>
      <c r="F11" s="7" t="n">
        <v>680</v>
      </c>
      <c r="G11" s="7" t="n">
        <v>0</v>
      </c>
      <c r="H11" s="7" t="n">
        <v>160</v>
      </c>
      <c r="I11" s="7" t="n">
        <v>0</v>
      </c>
      <c r="J11" s="7" t="n">
        <v>0</v>
      </c>
      <c r="K11" s="7" t="n">
        <v>260</v>
      </c>
      <c r="L11" s="7" t="n">
        <v>0</v>
      </c>
      <c r="M11" s="15" t="n">
        <v>220</v>
      </c>
      <c r="N11" s="8">
        <f>COUNTIF(B11:M11,"&gt;0")</f>
        <v/>
      </c>
      <c r="O11" s="8">
        <f>MAX(B11:M11)</f>
        <v/>
      </c>
      <c r="P11" s="16">
        <f>(SUMPRODUCT(B11:M11,B11:M11)/COUNT(B11:M11)-(SUM(B11:M11)/COUNT(B11:M11))^2)/(SUM(B11:M11)/COUNT(B11:M11))^2</f>
        <v/>
      </c>
      <c r="Q11" s="8">
        <f>SUM(B11:M11)</f>
        <v/>
      </c>
    </row>
    <row r="12">
      <c r="A12" s="6" t="inlineStr">
        <is>
          <t>Silver-Meal</t>
        </is>
      </c>
      <c r="B12" s="7" t="n">
        <v>100</v>
      </c>
      <c r="C12" s="7" t="n">
        <v>0</v>
      </c>
      <c r="D12" s="7" t="n">
        <v>120</v>
      </c>
      <c r="E12" s="7" t="n">
        <v>300</v>
      </c>
      <c r="F12" s="7" t="n">
        <v>420</v>
      </c>
      <c r="G12" s="7" t="n">
        <v>420</v>
      </c>
      <c r="H12" s="7" t="n">
        <v>0</v>
      </c>
      <c r="I12" s="7" t="n">
        <v>0</v>
      </c>
      <c r="J12" s="7" t="n">
        <v>0</v>
      </c>
      <c r="K12" s="7" t="n">
        <v>80</v>
      </c>
      <c r="L12" s="7" t="n">
        <v>180</v>
      </c>
      <c r="M12" s="15" t="n">
        <v>220</v>
      </c>
      <c r="N12" s="8">
        <f>COUNTIF(B12:M12,"&gt;0")</f>
        <v/>
      </c>
      <c r="O12" s="8">
        <f>MAX(B12:M12)</f>
        <v/>
      </c>
      <c r="P12" s="16">
        <f>(SUMPRODUCT(B12:M12,B12:M12)/COUNT(B12:M12)-(SUM(B12:M12)/COUNT(B12:M12))^2)/(SUM(B12:M12)/COUNT(B12:M12))^2</f>
        <v/>
      </c>
      <c r="Q12" s="8">
        <f>SUM(B12:M12)</f>
        <v/>
      </c>
    </row>
    <row r="13">
      <c r="A13" s="6" t="inlineStr">
        <is>
          <t>Wagner-Whitin</t>
        </is>
      </c>
      <c r="B13" s="7" t="n">
        <v>100</v>
      </c>
      <c r="C13" s="7" t="n">
        <v>0</v>
      </c>
      <c r="D13" s="7" t="n">
        <v>120</v>
      </c>
      <c r="E13" s="7" t="n">
        <v>300</v>
      </c>
      <c r="F13" s="7" t="n">
        <v>420</v>
      </c>
      <c r="G13" s="7" t="n">
        <v>260</v>
      </c>
      <c r="H13" s="7" t="n">
        <v>160</v>
      </c>
      <c r="I13" s="7" t="n">
        <v>0</v>
      </c>
      <c r="J13" s="7" t="n">
        <v>0</v>
      </c>
      <c r="K13" s="7" t="n">
        <v>80</v>
      </c>
      <c r="L13" s="7" t="n">
        <v>180</v>
      </c>
      <c r="M13" s="15" t="n">
        <v>220</v>
      </c>
      <c r="N13" s="8">
        <f>COUNTIF(B13:M13,"&gt;0")</f>
        <v/>
      </c>
      <c r="O13" s="8">
        <f>MAX(B13:M13)</f>
        <v/>
      </c>
      <c r="P13" s="16">
        <f>(SUMPRODUCT(B13:M13,B13:M13)/COUNT(B13:M13)-(SUM(B13:M13)/COUNT(B13:M13))^2)/(SUM(B13:M13)/COUNT(B13:M13))^2</f>
        <v/>
      </c>
      <c r="Q13" s="8">
        <f>SUM(B13:M13)</f>
        <v/>
      </c>
    </row>
    <row r="15">
      <c r="A15" s="3" t="inlineStr">
        <is>
          <t>CHECK      with the data as shipped</t>
        </is>
      </c>
    </row>
    <row r="16">
      <c r="A16" s="2" t="inlineStr">
        <is>
          <t>Lot-for-lot passes the schedule through unchanged, so its variability coefficient is the schedule's own, 0.6191.</t>
        </is>
      </c>
    </row>
    <row r="17">
      <c r="A17" s="2" t="inlineStr">
        <is>
          <t>Every rule that batches raises it, as far as 1.5463 under part-period balancing. Every row totals 1,840 belts.</t>
        </is>
      </c>
    </row>
    <row r="18">
      <c r="A18" s="2" t="inlineStr">
        <is>
          <t>Part-period balancing is also the only rule with a receipt larger than 420, and its single lot of 680 is why its coefficient is the highest on the sheet.</t>
        </is>
      </c>
    </row>
  </sheetData>
  <pageMargins left="0.75" right="0.75" top="1" bottom="1" header="0.5" footer="0.5"/>
  <drawing r:id="rId1"/>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43"/>
  <sheetViews>
    <sheetView workbookViewId="0">
      <selection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c r="A1" s="1" t="inlineStr">
        <is>
          <t>The distribution network</t>
        </is>
      </c>
    </row>
    <row r="2">
      <c r="A2" s="2" t="inlineStr">
        <is>
          <t>Chapter 6, section 6.6. The same arithmetic as the Explosion sheet, over a network instead of a bill of material.</t>
        </is>
      </c>
    </row>
    <row r="4">
      <c r="A4" s="3" t="inlineStr">
        <is>
          <t>CHECK      with the data as shipped</t>
        </is>
      </c>
    </row>
    <row r="5">
      <c r="A5" s="2" t="inlineStr">
        <is>
          <t>The three regions sell 1,840 belts between them, the same total the deck assembly schedule carries.</t>
        </is>
      </c>
    </row>
    <row r="6">
      <c r="A6" s="2" t="inlineStr">
        <is>
          <t>Nothing is past due: the horizon leads the first sale by four months, which is the southern region's two plus the centre's two.</t>
        </is>
      </c>
    </row>
    <row r="7">
      <c r="A7" s="12" t="inlineStr">
        <is>
          <t>Period</t>
        </is>
      </c>
      <c r="B7" s="5" t="n">
        <v>1</v>
      </c>
      <c r="C7" s="5" t="n">
        <v>2</v>
      </c>
      <c r="D7" s="5" t="n">
        <v>3</v>
      </c>
      <c r="E7" s="5" t="n">
        <v>4</v>
      </c>
      <c r="F7" s="5" t="n">
        <v>5</v>
      </c>
      <c r="G7" s="5" t="n">
        <v>6</v>
      </c>
      <c r="H7" s="5" t="n">
        <v>7</v>
      </c>
      <c r="I7" s="5" t="n">
        <v>8</v>
      </c>
      <c r="J7" s="5" t="n">
        <v>9</v>
      </c>
      <c r="K7" s="5" t="n">
        <v>10</v>
      </c>
      <c r="L7" s="5" t="n">
        <v>11</v>
      </c>
      <c r="M7" s="5" t="n">
        <v>12</v>
      </c>
      <c r="N7" s="5" t="n">
        <v>13</v>
      </c>
      <c r="O7" s="5" t="n">
        <v>14</v>
      </c>
      <c r="P7" s="5" t="n">
        <v>15</v>
      </c>
      <c r="Q7" s="5" t="n">
        <v>16</v>
      </c>
      <c r="R7" s="5" t="n">
        <v>17</v>
      </c>
    </row>
    <row r="8">
      <c r="A8" s="3" t="inlineStr">
        <is>
          <t>N   Northern region      transit time 1</t>
        </is>
      </c>
    </row>
    <row r="9">
      <c r="A9" s="12" t="inlineStr">
        <is>
          <t>Gross requirements</t>
        </is>
      </c>
      <c r="B9" s="7" t="n">
        <v>0</v>
      </c>
      <c r="C9" s="7" t="n">
        <v>0</v>
      </c>
      <c r="D9" s="7" t="n">
        <v>0</v>
      </c>
      <c r="E9" s="7" t="n">
        <v>0</v>
      </c>
      <c r="F9" s="7" t="n">
        <v>20</v>
      </c>
      <c r="G9" s="7" t="n">
        <v>30</v>
      </c>
      <c r="H9" s="7" t="n">
        <v>60</v>
      </c>
      <c r="I9" s="7" t="n">
        <v>140</v>
      </c>
      <c r="J9" s="7" t="n">
        <v>180</v>
      </c>
      <c r="K9" s="7" t="n">
        <v>110</v>
      </c>
      <c r="L9" s="7" t="n">
        <v>50</v>
      </c>
      <c r="M9" s="7" t="n">
        <v>20</v>
      </c>
      <c r="N9" s="7" t="n">
        <v>0</v>
      </c>
      <c r="O9" s="7" t="n">
        <v>40</v>
      </c>
      <c r="P9" s="7" t="n">
        <v>80</v>
      </c>
      <c r="Q9" s="7" t="n">
        <v>100</v>
      </c>
      <c r="R9" s="7" t="n">
        <v>0</v>
      </c>
    </row>
    <row r="10">
      <c r="A10" s="12" t="inlineStr">
        <is>
          <t>Scheduled receipts</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row>
    <row r="11">
      <c r="A11" s="12" t="inlineStr">
        <is>
          <t>Projected on hand</t>
        </is>
      </c>
      <c r="B11" s="8">
        <f>0+B10+B13-B9</f>
        <v/>
      </c>
      <c r="C11" s="8">
        <f>B11+C10+C13-C9</f>
        <v/>
      </c>
      <c r="D11" s="8">
        <f>C11+D10+D13-D9</f>
        <v/>
      </c>
      <c r="E11" s="8">
        <f>D11+E10+E13-E9</f>
        <v/>
      </c>
      <c r="F11" s="8">
        <f>E11+F10+F13-F9</f>
        <v/>
      </c>
      <c r="G11" s="8">
        <f>F11+G10+G13-G9</f>
        <v/>
      </c>
      <c r="H11" s="8">
        <f>G11+H10+H13-H9</f>
        <v/>
      </c>
      <c r="I11" s="8">
        <f>H11+I10+I13-I9</f>
        <v/>
      </c>
      <c r="J11" s="8">
        <f>I11+J10+J13-J9</f>
        <v/>
      </c>
      <c r="K11" s="8">
        <f>J11+K10+K13-K9</f>
        <v/>
      </c>
      <c r="L11" s="8">
        <f>K11+L10+L13-L9</f>
        <v/>
      </c>
      <c r="M11" s="8">
        <f>L11+M10+M13-M9</f>
        <v/>
      </c>
      <c r="N11" s="8">
        <f>M11+N10+N13-N9</f>
        <v/>
      </c>
      <c r="O11" s="8">
        <f>N11+O10+O13-O9</f>
        <v/>
      </c>
      <c r="P11" s="8">
        <f>O11+P10+P13-P9</f>
        <v/>
      </c>
      <c r="Q11" s="8">
        <f>P11+Q10+Q13-Q9</f>
        <v/>
      </c>
      <c r="R11" s="8">
        <f>Q11+R10+R13-R9</f>
        <v/>
      </c>
    </row>
    <row r="12">
      <c r="A12" s="12" t="inlineStr">
        <is>
          <t>Net requirements</t>
        </is>
      </c>
      <c r="B12" s="8">
        <f>MAX(B9-B10-0,0)</f>
        <v/>
      </c>
      <c r="C12" s="8">
        <f>MAX(C9-C10-B11,0)</f>
        <v/>
      </c>
      <c r="D12" s="8">
        <f>MAX(D9-D10-C11,0)</f>
        <v/>
      </c>
      <c r="E12" s="8">
        <f>MAX(E9-E10-D11,0)</f>
        <v/>
      </c>
      <c r="F12" s="8">
        <f>MAX(F9-F10-E11,0)</f>
        <v/>
      </c>
      <c r="G12" s="8">
        <f>MAX(G9-G10-F11,0)</f>
        <v/>
      </c>
      <c r="H12" s="8">
        <f>MAX(H9-H10-G11,0)</f>
        <v/>
      </c>
      <c r="I12" s="8">
        <f>MAX(I9-I10-H11,0)</f>
        <v/>
      </c>
      <c r="J12" s="8">
        <f>MAX(J9-J10-I11,0)</f>
        <v/>
      </c>
      <c r="K12" s="8">
        <f>MAX(K9-K10-J11,0)</f>
        <v/>
      </c>
      <c r="L12" s="8">
        <f>MAX(L9-L10-K11,0)</f>
        <v/>
      </c>
      <c r="M12" s="8">
        <f>MAX(M9-M10-L11,0)</f>
        <v/>
      </c>
      <c r="N12" s="8">
        <f>MAX(N9-N10-M11,0)</f>
        <v/>
      </c>
      <c r="O12" s="8">
        <f>MAX(O9-O10-N11,0)</f>
        <v/>
      </c>
      <c r="P12" s="8">
        <f>MAX(P9-P10-O11,0)</f>
        <v/>
      </c>
      <c r="Q12" s="8">
        <f>MAX(Q9-Q10-P11,0)</f>
        <v/>
      </c>
      <c r="R12" s="8">
        <f>MAX(R9-R10-Q11,0)</f>
        <v/>
      </c>
    </row>
    <row r="13">
      <c r="A13" s="12" t="inlineStr">
        <is>
          <t>Planned order receipts</t>
        </is>
      </c>
      <c r="B13" s="11">
        <f>B12</f>
        <v/>
      </c>
      <c r="C13" s="11">
        <f>C12</f>
        <v/>
      </c>
      <c r="D13" s="11">
        <f>D12</f>
        <v/>
      </c>
      <c r="E13" s="11">
        <f>E12</f>
        <v/>
      </c>
      <c r="F13" s="11">
        <f>F12</f>
        <v/>
      </c>
      <c r="G13" s="11">
        <f>G12</f>
        <v/>
      </c>
      <c r="H13" s="11">
        <f>H12</f>
        <v/>
      </c>
      <c r="I13" s="11">
        <f>I12</f>
        <v/>
      </c>
      <c r="J13" s="11">
        <f>J12</f>
        <v/>
      </c>
      <c r="K13" s="11">
        <f>K12</f>
        <v/>
      </c>
      <c r="L13" s="11">
        <f>L12</f>
        <v/>
      </c>
      <c r="M13" s="11">
        <f>M12</f>
        <v/>
      </c>
      <c r="N13" s="11">
        <f>N12</f>
        <v/>
      </c>
      <c r="O13" s="11">
        <f>O12</f>
        <v/>
      </c>
      <c r="P13" s="11">
        <f>P12</f>
        <v/>
      </c>
      <c r="Q13" s="11">
        <f>Q12</f>
        <v/>
      </c>
      <c r="R13" s="11">
        <f>R12</f>
        <v/>
      </c>
    </row>
    <row r="14">
      <c r="A14" s="12" t="inlineStr">
        <is>
          <t>Planned order releases</t>
        </is>
      </c>
      <c r="B14" s="8">
        <f>C13</f>
        <v/>
      </c>
      <c r="C14" s="8">
        <f>D13</f>
        <v/>
      </c>
      <c r="D14" s="8">
        <f>E13</f>
        <v/>
      </c>
      <c r="E14" s="8">
        <f>F13</f>
        <v/>
      </c>
      <c r="F14" s="8">
        <f>G13</f>
        <v/>
      </c>
      <c r="G14" s="8">
        <f>H13</f>
        <v/>
      </c>
      <c r="H14" s="8">
        <f>I13</f>
        <v/>
      </c>
      <c r="I14" s="8">
        <f>J13</f>
        <v/>
      </c>
      <c r="J14" s="8">
        <f>K13</f>
        <v/>
      </c>
      <c r="K14" s="8">
        <f>L13</f>
        <v/>
      </c>
      <c r="L14" s="8">
        <f>M13</f>
        <v/>
      </c>
      <c r="M14" s="8">
        <f>N13</f>
        <v/>
      </c>
      <c r="N14" s="8">
        <f>O13</f>
        <v/>
      </c>
      <c r="O14" s="8">
        <f>P13</f>
        <v/>
      </c>
      <c r="P14" s="8">
        <f>Q13</f>
        <v/>
      </c>
      <c r="Q14" s="8">
        <f>R13</f>
        <v/>
      </c>
      <c r="R14" s="8" t="n">
        <v>0</v>
      </c>
    </row>
    <row r="16">
      <c r="A16" s="12" t="inlineStr">
        <is>
          <t>Period</t>
        </is>
      </c>
      <c r="B16" s="5" t="n">
        <v>1</v>
      </c>
      <c r="C16" s="5" t="n">
        <v>2</v>
      </c>
      <c r="D16" s="5" t="n">
        <v>3</v>
      </c>
      <c r="E16" s="5" t="n">
        <v>4</v>
      </c>
      <c r="F16" s="5" t="n">
        <v>5</v>
      </c>
      <c r="G16" s="5" t="n">
        <v>6</v>
      </c>
      <c r="H16" s="5" t="n">
        <v>7</v>
      </c>
      <c r="I16" s="5" t="n">
        <v>8</v>
      </c>
      <c r="J16" s="5" t="n">
        <v>9</v>
      </c>
      <c r="K16" s="5" t="n">
        <v>10</v>
      </c>
      <c r="L16" s="5" t="n">
        <v>11</v>
      </c>
      <c r="M16" s="5" t="n">
        <v>12</v>
      </c>
      <c r="N16" s="5" t="n">
        <v>13</v>
      </c>
      <c r="O16" s="5" t="n">
        <v>14</v>
      </c>
      <c r="P16" s="5" t="n">
        <v>15</v>
      </c>
      <c r="Q16" s="5" t="n">
        <v>16</v>
      </c>
      <c r="R16" s="5" t="n">
        <v>17</v>
      </c>
    </row>
    <row r="17">
      <c r="A17" s="3" t="inlineStr">
        <is>
          <t>S   Southern region      transit time 2</t>
        </is>
      </c>
    </row>
    <row r="18">
      <c r="A18" s="12" t="inlineStr">
        <is>
          <t>Gross requirements</t>
        </is>
      </c>
      <c r="B18" s="7" t="n">
        <v>0</v>
      </c>
      <c r="C18" s="7" t="n">
        <v>0</v>
      </c>
      <c r="D18" s="7" t="n">
        <v>0</v>
      </c>
      <c r="E18" s="7" t="n">
        <v>0</v>
      </c>
      <c r="F18" s="7" t="n">
        <v>10</v>
      </c>
      <c r="G18" s="7" t="n">
        <v>20</v>
      </c>
      <c r="H18" s="7" t="n">
        <v>40</v>
      </c>
      <c r="I18" s="7" t="n">
        <v>100</v>
      </c>
      <c r="J18" s="7" t="n">
        <v>160</v>
      </c>
      <c r="K18" s="7" t="n">
        <v>100</v>
      </c>
      <c r="L18" s="7" t="n">
        <v>50</v>
      </c>
      <c r="M18" s="7" t="n">
        <v>10</v>
      </c>
      <c r="N18" s="7" t="n">
        <v>0</v>
      </c>
      <c r="O18" s="7" t="n">
        <v>20</v>
      </c>
      <c r="P18" s="7" t="n">
        <v>60</v>
      </c>
      <c r="Q18" s="7" t="n">
        <v>70</v>
      </c>
      <c r="R18" s="7" t="n">
        <v>0</v>
      </c>
    </row>
    <row r="19">
      <c r="A19" s="12" t="inlineStr">
        <is>
          <t>Scheduled receipts</t>
        </is>
      </c>
      <c r="B19" s="7" t="n">
        <v>0</v>
      </c>
      <c r="C19" s="7" t="n">
        <v>0</v>
      </c>
      <c r="D19" s="7" t="n">
        <v>0</v>
      </c>
      <c r="E19" s="7" t="n">
        <v>0</v>
      </c>
      <c r="F19" s="7" t="n">
        <v>0</v>
      </c>
      <c r="G19" s="7" t="n">
        <v>0</v>
      </c>
      <c r="H19" s="7" t="n">
        <v>0</v>
      </c>
      <c r="I19" s="7" t="n">
        <v>0</v>
      </c>
      <c r="J19" s="7" t="n">
        <v>0</v>
      </c>
      <c r="K19" s="7" t="n">
        <v>0</v>
      </c>
      <c r="L19" s="7" t="n">
        <v>0</v>
      </c>
      <c r="M19" s="7" t="n">
        <v>0</v>
      </c>
      <c r="N19" s="7" t="n">
        <v>0</v>
      </c>
      <c r="O19" s="7" t="n">
        <v>0</v>
      </c>
      <c r="P19" s="7" t="n">
        <v>0</v>
      </c>
      <c r="Q19" s="7" t="n">
        <v>0</v>
      </c>
      <c r="R19" s="7" t="n">
        <v>0</v>
      </c>
    </row>
    <row r="20">
      <c r="A20" s="12" t="inlineStr">
        <is>
          <t>Projected on hand</t>
        </is>
      </c>
      <c r="B20" s="8">
        <f>0+B19+B22-B18</f>
        <v/>
      </c>
      <c r="C20" s="8">
        <f>B20+C19+C22-C18</f>
        <v/>
      </c>
      <c r="D20" s="8">
        <f>C20+D19+D22-D18</f>
        <v/>
      </c>
      <c r="E20" s="8">
        <f>D20+E19+E22-E18</f>
        <v/>
      </c>
      <c r="F20" s="8">
        <f>E20+F19+F22-F18</f>
        <v/>
      </c>
      <c r="G20" s="8">
        <f>F20+G19+G22-G18</f>
        <v/>
      </c>
      <c r="H20" s="8">
        <f>G20+H19+H22-H18</f>
        <v/>
      </c>
      <c r="I20" s="8">
        <f>H20+I19+I22-I18</f>
        <v/>
      </c>
      <c r="J20" s="8">
        <f>I20+J19+J22-J18</f>
        <v/>
      </c>
      <c r="K20" s="8">
        <f>J20+K19+K22-K18</f>
        <v/>
      </c>
      <c r="L20" s="8">
        <f>K20+L19+L22-L18</f>
        <v/>
      </c>
      <c r="M20" s="8">
        <f>L20+M19+M22-M18</f>
        <v/>
      </c>
      <c r="N20" s="8">
        <f>M20+N19+N22-N18</f>
        <v/>
      </c>
      <c r="O20" s="8">
        <f>N20+O19+O22-O18</f>
        <v/>
      </c>
      <c r="P20" s="8">
        <f>O20+P19+P22-P18</f>
        <v/>
      </c>
      <c r="Q20" s="8">
        <f>P20+Q19+Q22-Q18</f>
        <v/>
      </c>
      <c r="R20" s="8">
        <f>Q20+R19+R22-R18</f>
        <v/>
      </c>
    </row>
    <row r="21">
      <c r="A21" s="12" t="inlineStr">
        <is>
          <t>Net requirements</t>
        </is>
      </c>
      <c r="B21" s="8">
        <f>MAX(B18-B19-0,0)</f>
        <v/>
      </c>
      <c r="C21" s="8">
        <f>MAX(C18-C19-B20,0)</f>
        <v/>
      </c>
      <c r="D21" s="8">
        <f>MAX(D18-D19-C20,0)</f>
        <v/>
      </c>
      <c r="E21" s="8">
        <f>MAX(E18-E19-D20,0)</f>
        <v/>
      </c>
      <c r="F21" s="8">
        <f>MAX(F18-F19-E20,0)</f>
        <v/>
      </c>
      <c r="G21" s="8">
        <f>MAX(G18-G19-F20,0)</f>
        <v/>
      </c>
      <c r="H21" s="8">
        <f>MAX(H18-H19-G20,0)</f>
        <v/>
      </c>
      <c r="I21" s="8">
        <f>MAX(I18-I19-H20,0)</f>
        <v/>
      </c>
      <c r="J21" s="8">
        <f>MAX(J18-J19-I20,0)</f>
        <v/>
      </c>
      <c r="K21" s="8">
        <f>MAX(K18-K19-J20,0)</f>
        <v/>
      </c>
      <c r="L21" s="8">
        <f>MAX(L18-L19-K20,0)</f>
        <v/>
      </c>
      <c r="M21" s="8">
        <f>MAX(M18-M19-L20,0)</f>
        <v/>
      </c>
      <c r="N21" s="8">
        <f>MAX(N18-N19-M20,0)</f>
        <v/>
      </c>
      <c r="O21" s="8">
        <f>MAX(O18-O19-N20,0)</f>
        <v/>
      </c>
      <c r="P21" s="8">
        <f>MAX(P18-P19-O20,0)</f>
        <v/>
      </c>
      <c r="Q21" s="8">
        <f>MAX(Q18-Q19-P20,0)</f>
        <v/>
      </c>
      <c r="R21" s="8">
        <f>MAX(R18-R19-Q20,0)</f>
        <v/>
      </c>
    </row>
    <row r="22">
      <c r="A22" s="12" t="inlineStr">
        <is>
          <t>Planned order receipts</t>
        </is>
      </c>
      <c r="B22" s="11">
        <f>B21</f>
        <v/>
      </c>
      <c r="C22" s="11">
        <f>C21</f>
        <v/>
      </c>
      <c r="D22" s="11">
        <f>D21</f>
        <v/>
      </c>
      <c r="E22" s="11">
        <f>E21</f>
        <v/>
      </c>
      <c r="F22" s="11">
        <f>F21</f>
        <v/>
      </c>
      <c r="G22" s="11">
        <f>G21</f>
        <v/>
      </c>
      <c r="H22" s="11">
        <f>H21</f>
        <v/>
      </c>
      <c r="I22" s="11">
        <f>I21</f>
        <v/>
      </c>
      <c r="J22" s="11">
        <f>J21</f>
        <v/>
      </c>
      <c r="K22" s="11">
        <f>K21</f>
        <v/>
      </c>
      <c r="L22" s="11">
        <f>L21</f>
        <v/>
      </c>
      <c r="M22" s="11">
        <f>M21</f>
        <v/>
      </c>
      <c r="N22" s="11">
        <f>N21</f>
        <v/>
      </c>
      <c r="O22" s="11">
        <f>O21</f>
        <v/>
      </c>
      <c r="P22" s="11">
        <f>P21</f>
        <v/>
      </c>
      <c r="Q22" s="11">
        <f>Q21</f>
        <v/>
      </c>
      <c r="R22" s="11">
        <f>R21</f>
        <v/>
      </c>
    </row>
    <row r="23">
      <c r="A23" s="12" t="inlineStr">
        <is>
          <t>Planned order releases</t>
        </is>
      </c>
      <c r="B23" s="8">
        <f>D22</f>
        <v/>
      </c>
      <c r="C23" s="8">
        <f>E22</f>
        <v/>
      </c>
      <c r="D23" s="8">
        <f>F22</f>
        <v/>
      </c>
      <c r="E23" s="8">
        <f>G22</f>
        <v/>
      </c>
      <c r="F23" s="8">
        <f>H22</f>
        <v/>
      </c>
      <c r="G23" s="8">
        <f>I22</f>
        <v/>
      </c>
      <c r="H23" s="8">
        <f>J22</f>
        <v/>
      </c>
      <c r="I23" s="8">
        <f>K22</f>
        <v/>
      </c>
      <c r="J23" s="8">
        <f>L22</f>
        <v/>
      </c>
      <c r="K23" s="8">
        <f>M22</f>
        <v/>
      </c>
      <c r="L23" s="8">
        <f>N22</f>
        <v/>
      </c>
      <c r="M23" s="8">
        <f>O22</f>
        <v/>
      </c>
      <c r="N23" s="8">
        <f>P22</f>
        <v/>
      </c>
      <c r="O23" s="8">
        <f>Q22</f>
        <v/>
      </c>
      <c r="P23" s="8">
        <f>R22</f>
        <v/>
      </c>
      <c r="Q23" s="8" t="n">
        <v>0</v>
      </c>
      <c r="R23" s="8" t="n">
        <v>0</v>
      </c>
    </row>
    <row r="25">
      <c r="A25" s="12" t="inlineStr">
        <is>
          <t>Period</t>
        </is>
      </c>
      <c r="B25" s="5" t="n">
        <v>1</v>
      </c>
      <c r="C25" s="5" t="n">
        <v>2</v>
      </c>
      <c r="D25" s="5" t="n">
        <v>3</v>
      </c>
      <c r="E25" s="5" t="n">
        <v>4</v>
      </c>
      <c r="F25" s="5" t="n">
        <v>5</v>
      </c>
      <c r="G25" s="5" t="n">
        <v>6</v>
      </c>
      <c r="H25" s="5" t="n">
        <v>7</v>
      </c>
      <c r="I25" s="5" t="n">
        <v>8</v>
      </c>
      <c r="J25" s="5" t="n">
        <v>9</v>
      </c>
      <c r="K25" s="5" t="n">
        <v>10</v>
      </c>
      <c r="L25" s="5" t="n">
        <v>11</v>
      </c>
      <c r="M25" s="5" t="n">
        <v>12</v>
      </c>
      <c r="N25" s="5" t="n">
        <v>13</v>
      </c>
      <c r="O25" s="5" t="n">
        <v>14</v>
      </c>
      <c r="P25" s="5" t="n">
        <v>15</v>
      </c>
      <c r="Q25" s="5" t="n">
        <v>16</v>
      </c>
      <c r="R25" s="5" t="n">
        <v>17</v>
      </c>
    </row>
    <row r="26">
      <c r="A26" s="3" t="inlineStr">
        <is>
          <t>W   Western region      transit time 1</t>
        </is>
      </c>
    </row>
    <row r="27">
      <c r="A27" s="12" t="inlineStr">
        <is>
          <t>Gross requirements</t>
        </is>
      </c>
      <c r="B27" s="7" t="n">
        <v>0</v>
      </c>
      <c r="C27" s="7" t="n">
        <v>0</v>
      </c>
      <c r="D27" s="7" t="n">
        <v>0</v>
      </c>
      <c r="E27" s="7" t="n">
        <v>0</v>
      </c>
      <c r="F27" s="7" t="n">
        <v>10</v>
      </c>
      <c r="G27" s="7" t="n">
        <v>10</v>
      </c>
      <c r="H27" s="7" t="n">
        <v>20</v>
      </c>
      <c r="I27" s="7" t="n">
        <v>60</v>
      </c>
      <c r="J27" s="7" t="n">
        <v>80</v>
      </c>
      <c r="K27" s="7" t="n">
        <v>50</v>
      </c>
      <c r="L27" s="7" t="n">
        <v>20</v>
      </c>
      <c r="M27" s="7" t="n">
        <v>10</v>
      </c>
      <c r="N27" s="7" t="n">
        <v>0</v>
      </c>
      <c r="O27" s="7" t="n">
        <v>20</v>
      </c>
      <c r="P27" s="7" t="n">
        <v>40</v>
      </c>
      <c r="Q27" s="7" t="n">
        <v>50</v>
      </c>
      <c r="R27" s="7" t="n">
        <v>0</v>
      </c>
    </row>
    <row r="28">
      <c r="A28" s="12" t="inlineStr">
        <is>
          <t>Scheduled receipts</t>
        </is>
      </c>
      <c r="B28" s="7" t="n">
        <v>0</v>
      </c>
      <c r="C28" s="7" t="n">
        <v>0</v>
      </c>
      <c r="D28" s="7" t="n">
        <v>0</v>
      </c>
      <c r="E28" s="7" t="n">
        <v>0</v>
      </c>
      <c r="F28" s="7" t="n">
        <v>0</v>
      </c>
      <c r="G28" s="7" t="n">
        <v>0</v>
      </c>
      <c r="H28" s="7" t="n">
        <v>0</v>
      </c>
      <c r="I28" s="7" t="n">
        <v>0</v>
      </c>
      <c r="J28" s="7" t="n">
        <v>0</v>
      </c>
      <c r="K28" s="7" t="n">
        <v>0</v>
      </c>
      <c r="L28" s="7" t="n">
        <v>0</v>
      </c>
      <c r="M28" s="7" t="n">
        <v>0</v>
      </c>
      <c r="N28" s="7" t="n">
        <v>0</v>
      </c>
      <c r="O28" s="7" t="n">
        <v>0</v>
      </c>
      <c r="P28" s="7" t="n">
        <v>0</v>
      </c>
      <c r="Q28" s="7" t="n">
        <v>0</v>
      </c>
      <c r="R28" s="7" t="n">
        <v>0</v>
      </c>
    </row>
    <row r="29">
      <c r="A29" s="12" t="inlineStr">
        <is>
          <t>Projected on hand</t>
        </is>
      </c>
      <c r="B29" s="8">
        <f>0+B28+B31-B27</f>
        <v/>
      </c>
      <c r="C29" s="8">
        <f>B29+C28+C31-C27</f>
        <v/>
      </c>
      <c r="D29" s="8">
        <f>C29+D28+D31-D27</f>
        <v/>
      </c>
      <c r="E29" s="8">
        <f>D29+E28+E31-E27</f>
        <v/>
      </c>
      <c r="F29" s="8">
        <f>E29+F28+F31-F27</f>
        <v/>
      </c>
      <c r="G29" s="8">
        <f>F29+G28+G31-G27</f>
        <v/>
      </c>
      <c r="H29" s="8">
        <f>G29+H28+H31-H27</f>
        <v/>
      </c>
      <c r="I29" s="8">
        <f>H29+I28+I31-I27</f>
        <v/>
      </c>
      <c r="J29" s="8">
        <f>I29+J28+J31-J27</f>
        <v/>
      </c>
      <c r="K29" s="8">
        <f>J29+K28+K31-K27</f>
        <v/>
      </c>
      <c r="L29" s="8">
        <f>K29+L28+L31-L27</f>
        <v/>
      </c>
      <c r="M29" s="8">
        <f>L29+M28+M31-M27</f>
        <v/>
      </c>
      <c r="N29" s="8">
        <f>M29+N28+N31-N27</f>
        <v/>
      </c>
      <c r="O29" s="8">
        <f>N29+O28+O31-O27</f>
        <v/>
      </c>
      <c r="P29" s="8">
        <f>O29+P28+P31-P27</f>
        <v/>
      </c>
      <c r="Q29" s="8">
        <f>P29+Q28+Q31-Q27</f>
        <v/>
      </c>
      <c r="R29" s="8">
        <f>Q29+R28+R31-R27</f>
        <v/>
      </c>
    </row>
    <row r="30">
      <c r="A30" s="12" t="inlineStr">
        <is>
          <t>Net requirements</t>
        </is>
      </c>
      <c r="B30" s="8">
        <f>MAX(B27-B28-0,0)</f>
        <v/>
      </c>
      <c r="C30" s="8">
        <f>MAX(C27-C28-B29,0)</f>
        <v/>
      </c>
      <c r="D30" s="8">
        <f>MAX(D27-D28-C29,0)</f>
        <v/>
      </c>
      <c r="E30" s="8">
        <f>MAX(E27-E28-D29,0)</f>
        <v/>
      </c>
      <c r="F30" s="8">
        <f>MAX(F27-F28-E29,0)</f>
        <v/>
      </c>
      <c r="G30" s="8">
        <f>MAX(G27-G28-F29,0)</f>
        <v/>
      </c>
      <c r="H30" s="8">
        <f>MAX(H27-H28-G29,0)</f>
        <v/>
      </c>
      <c r="I30" s="8">
        <f>MAX(I27-I28-H29,0)</f>
        <v/>
      </c>
      <c r="J30" s="8">
        <f>MAX(J27-J28-I29,0)</f>
        <v/>
      </c>
      <c r="K30" s="8">
        <f>MAX(K27-K28-J29,0)</f>
        <v/>
      </c>
      <c r="L30" s="8">
        <f>MAX(L27-L28-K29,0)</f>
        <v/>
      </c>
      <c r="M30" s="8">
        <f>MAX(M27-M28-L29,0)</f>
        <v/>
      </c>
      <c r="N30" s="8">
        <f>MAX(N27-N28-M29,0)</f>
        <v/>
      </c>
      <c r="O30" s="8">
        <f>MAX(O27-O28-N29,0)</f>
        <v/>
      </c>
      <c r="P30" s="8">
        <f>MAX(P27-P28-O29,0)</f>
        <v/>
      </c>
      <c r="Q30" s="8">
        <f>MAX(Q27-Q28-P29,0)</f>
        <v/>
      </c>
      <c r="R30" s="8">
        <f>MAX(R27-R28-Q29,0)</f>
        <v/>
      </c>
    </row>
    <row r="31">
      <c r="A31" s="12" t="inlineStr">
        <is>
          <t>Planned order receipts</t>
        </is>
      </c>
      <c r="B31" s="11">
        <f>B30</f>
        <v/>
      </c>
      <c r="C31" s="11">
        <f>C30</f>
        <v/>
      </c>
      <c r="D31" s="11">
        <f>D30</f>
        <v/>
      </c>
      <c r="E31" s="11">
        <f>E30</f>
        <v/>
      </c>
      <c r="F31" s="11">
        <f>F30</f>
        <v/>
      </c>
      <c r="G31" s="11">
        <f>G30</f>
        <v/>
      </c>
      <c r="H31" s="11">
        <f>H30</f>
        <v/>
      </c>
      <c r="I31" s="11">
        <f>I30</f>
        <v/>
      </c>
      <c r="J31" s="11">
        <f>J30</f>
        <v/>
      </c>
      <c r="K31" s="11">
        <f>K30</f>
        <v/>
      </c>
      <c r="L31" s="11">
        <f>L30</f>
        <v/>
      </c>
      <c r="M31" s="11">
        <f>M30</f>
        <v/>
      </c>
      <c r="N31" s="11">
        <f>N30</f>
        <v/>
      </c>
      <c r="O31" s="11">
        <f>O30</f>
        <v/>
      </c>
      <c r="P31" s="11">
        <f>P30</f>
        <v/>
      </c>
      <c r="Q31" s="11">
        <f>Q30</f>
        <v/>
      </c>
      <c r="R31" s="11">
        <f>R30</f>
        <v/>
      </c>
    </row>
    <row r="32">
      <c r="A32" s="12" t="inlineStr">
        <is>
          <t>Planned order releases</t>
        </is>
      </c>
      <c r="B32" s="8">
        <f>C31</f>
        <v/>
      </c>
      <c r="C32" s="8">
        <f>D31</f>
        <v/>
      </c>
      <c r="D32" s="8">
        <f>E31</f>
        <v/>
      </c>
      <c r="E32" s="8">
        <f>F31</f>
        <v/>
      </c>
      <c r="F32" s="8">
        <f>G31</f>
        <v/>
      </c>
      <c r="G32" s="8">
        <f>H31</f>
        <v/>
      </c>
      <c r="H32" s="8">
        <f>I31</f>
        <v/>
      </c>
      <c r="I32" s="8">
        <f>J31</f>
        <v/>
      </c>
      <c r="J32" s="8">
        <f>K31</f>
        <v/>
      </c>
      <c r="K32" s="8">
        <f>L31</f>
        <v/>
      </c>
      <c r="L32" s="8">
        <f>M31</f>
        <v/>
      </c>
      <c r="M32" s="8">
        <f>N31</f>
        <v/>
      </c>
      <c r="N32" s="8">
        <f>O31</f>
        <v/>
      </c>
      <c r="O32" s="8">
        <f>P31</f>
        <v/>
      </c>
      <c r="P32" s="8">
        <f>Q31</f>
        <v/>
      </c>
      <c r="Q32" s="8">
        <f>R31</f>
        <v/>
      </c>
      <c r="R32" s="8" t="n">
        <v>0</v>
      </c>
    </row>
    <row r="34">
      <c r="A34" s="12" t="inlineStr">
        <is>
          <t>Period</t>
        </is>
      </c>
      <c r="B34" s="5" t="n">
        <v>1</v>
      </c>
      <c r="C34" s="5" t="n">
        <v>2</v>
      </c>
      <c r="D34" s="5" t="n">
        <v>3</v>
      </c>
      <c r="E34" s="5" t="n">
        <v>4</v>
      </c>
      <c r="F34" s="5" t="n">
        <v>5</v>
      </c>
      <c r="G34" s="5" t="n">
        <v>6</v>
      </c>
      <c r="H34" s="5" t="n">
        <v>7</v>
      </c>
      <c r="I34" s="5" t="n">
        <v>8</v>
      </c>
      <c r="J34" s="5" t="n">
        <v>9</v>
      </c>
      <c r="K34" s="5" t="n">
        <v>10</v>
      </c>
      <c r="L34" s="5" t="n">
        <v>11</v>
      </c>
      <c r="M34" s="5" t="n">
        <v>12</v>
      </c>
      <c r="N34" s="5" t="n">
        <v>13</v>
      </c>
      <c r="O34" s="5" t="n">
        <v>14</v>
      </c>
      <c r="P34" s="5" t="n">
        <v>15</v>
      </c>
      <c r="Q34" s="5" t="n">
        <v>16</v>
      </c>
      <c r="R34" s="5" t="n">
        <v>17</v>
      </c>
    </row>
    <row r="35">
      <c r="A35" s="3" t="inlineStr">
        <is>
          <t>CW   Central warehouse      supplier lead time 2</t>
        </is>
      </c>
    </row>
    <row r="36">
      <c r="A36" s="12" t="inlineStr">
        <is>
          <t>Gross requirements</t>
        </is>
      </c>
      <c r="B36" s="8">
        <f>B14+B23+B32</f>
        <v/>
      </c>
      <c r="C36" s="8">
        <f>C14+C23+C32</f>
        <v/>
      </c>
      <c r="D36" s="8">
        <f>D14+D23+D32</f>
        <v/>
      </c>
      <c r="E36" s="8">
        <f>E14+E23+E32</f>
        <v/>
      </c>
      <c r="F36" s="8">
        <f>F14+F23+F32</f>
        <v/>
      </c>
      <c r="G36" s="8">
        <f>G14+G23+G32</f>
        <v/>
      </c>
      <c r="H36" s="8">
        <f>H14+H23+H32</f>
        <v/>
      </c>
      <c r="I36" s="8">
        <f>I14+I23+I32</f>
        <v/>
      </c>
      <c r="J36" s="8">
        <f>J14+J23+J32</f>
        <v/>
      </c>
      <c r="K36" s="8">
        <f>K14+K23+K32</f>
        <v/>
      </c>
      <c r="L36" s="8">
        <f>L14+L23+L32</f>
        <v/>
      </c>
      <c r="M36" s="8">
        <f>M14+M23+M32</f>
        <v/>
      </c>
      <c r="N36" s="8">
        <f>N14+N23+N32</f>
        <v/>
      </c>
      <c r="O36" s="8">
        <f>O14+O23+O32</f>
        <v/>
      </c>
      <c r="P36" s="8">
        <f>P14+P23+P32</f>
        <v/>
      </c>
      <c r="Q36" s="8">
        <f>Q14+Q23+Q32</f>
        <v/>
      </c>
      <c r="R36" s="8">
        <f>R14+R23+R32</f>
        <v/>
      </c>
    </row>
    <row r="37">
      <c r="A37" s="12" t="inlineStr">
        <is>
          <t>Scheduled receipts</t>
        </is>
      </c>
      <c r="B37" s="7" t="n">
        <v>0</v>
      </c>
      <c r="C37" s="7" t="n">
        <v>0</v>
      </c>
      <c r="D37" s="7" t="n">
        <v>0</v>
      </c>
      <c r="E37" s="7" t="n">
        <v>0</v>
      </c>
      <c r="F37" s="7" t="n">
        <v>0</v>
      </c>
      <c r="G37" s="7" t="n">
        <v>0</v>
      </c>
      <c r="H37" s="7" t="n">
        <v>0</v>
      </c>
      <c r="I37" s="7" t="n">
        <v>0</v>
      </c>
      <c r="J37" s="7" t="n">
        <v>0</v>
      </c>
      <c r="K37" s="7" t="n">
        <v>0</v>
      </c>
      <c r="L37" s="7" t="n">
        <v>0</v>
      </c>
      <c r="M37" s="7" t="n">
        <v>0</v>
      </c>
      <c r="N37" s="7" t="n">
        <v>0</v>
      </c>
      <c r="O37" s="7" t="n">
        <v>0</v>
      </c>
      <c r="P37" s="7" t="n">
        <v>0</v>
      </c>
      <c r="Q37" s="7" t="n">
        <v>0</v>
      </c>
      <c r="R37" s="7" t="n">
        <v>0</v>
      </c>
    </row>
    <row r="38">
      <c r="A38" s="12" t="inlineStr">
        <is>
          <t>Projected on hand</t>
        </is>
      </c>
      <c r="B38" s="8">
        <f>0+B37+B40-B36</f>
        <v/>
      </c>
      <c r="C38" s="8">
        <f>B38+C37+C40-C36</f>
        <v/>
      </c>
      <c r="D38" s="8">
        <f>C38+D37+D40-D36</f>
        <v/>
      </c>
      <c r="E38" s="8">
        <f>D38+E37+E40-E36</f>
        <v/>
      </c>
      <c r="F38" s="8">
        <f>E38+F37+F40-F36</f>
        <v/>
      </c>
      <c r="G38" s="8">
        <f>F38+G37+G40-G36</f>
        <v/>
      </c>
      <c r="H38" s="8">
        <f>G38+H37+H40-H36</f>
        <v/>
      </c>
      <c r="I38" s="8">
        <f>H38+I37+I40-I36</f>
        <v/>
      </c>
      <c r="J38" s="8">
        <f>I38+J37+J40-J36</f>
        <v/>
      </c>
      <c r="K38" s="8">
        <f>J38+K37+K40-K36</f>
        <v/>
      </c>
      <c r="L38" s="8">
        <f>K38+L37+L40-L36</f>
        <v/>
      </c>
      <c r="M38" s="8">
        <f>L38+M37+M40-M36</f>
        <v/>
      </c>
      <c r="N38" s="8">
        <f>M38+N37+N40-N36</f>
        <v/>
      </c>
      <c r="O38" s="8">
        <f>N38+O37+O40-O36</f>
        <v/>
      </c>
      <c r="P38" s="8">
        <f>O38+P37+P40-P36</f>
        <v/>
      </c>
      <c r="Q38" s="8">
        <f>P38+Q37+Q40-Q36</f>
        <v/>
      </c>
      <c r="R38" s="8">
        <f>Q38+R37+R40-R36</f>
        <v/>
      </c>
    </row>
    <row r="39">
      <c r="A39" s="12" t="inlineStr">
        <is>
          <t>Net requirements</t>
        </is>
      </c>
      <c r="B39" s="8">
        <f>MAX(B36-B37-0,0)</f>
        <v/>
      </c>
      <c r="C39" s="8">
        <f>MAX(C36-C37-B38,0)</f>
        <v/>
      </c>
      <c r="D39" s="8">
        <f>MAX(D36-D37-C38,0)</f>
        <v/>
      </c>
      <c r="E39" s="8">
        <f>MAX(E36-E37-D38,0)</f>
        <v/>
      </c>
      <c r="F39" s="8">
        <f>MAX(F36-F37-E38,0)</f>
        <v/>
      </c>
      <c r="G39" s="8">
        <f>MAX(G36-G37-F38,0)</f>
        <v/>
      </c>
      <c r="H39" s="8">
        <f>MAX(H36-H37-G38,0)</f>
        <v/>
      </c>
      <c r="I39" s="8">
        <f>MAX(I36-I37-H38,0)</f>
        <v/>
      </c>
      <c r="J39" s="8">
        <f>MAX(J36-J37-I38,0)</f>
        <v/>
      </c>
      <c r="K39" s="8">
        <f>MAX(K36-K37-J38,0)</f>
        <v/>
      </c>
      <c r="L39" s="8">
        <f>MAX(L36-L37-K38,0)</f>
        <v/>
      </c>
      <c r="M39" s="8">
        <f>MAX(M36-M37-L38,0)</f>
        <v/>
      </c>
      <c r="N39" s="8">
        <f>MAX(N36-N37-M38,0)</f>
        <v/>
      </c>
      <c r="O39" s="8">
        <f>MAX(O36-O37-N38,0)</f>
        <v/>
      </c>
      <c r="P39" s="8">
        <f>MAX(P36-P37-O38,0)</f>
        <v/>
      </c>
      <c r="Q39" s="8">
        <f>MAX(Q36-Q37-P38,0)</f>
        <v/>
      </c>
      <c r="R39" s="8">
        <f>MAX(R36-R37-Q38,0)</f>
        <v/>
      </c>
    </row>
    <row r="40">
      <c r="A40" s="12" t="inlineStr">
        <is>
          <t>Planned order receipts</t>
        </is>
      </c>
      <c r="B40" s="11">
        <f>B39</f>
        <v/>
      </c>
      <c r="C40" s="11">
        <f>C39</f>
        <v/>
      </c>
      <c r="D40" s="11">
        <f>D39</f>
        <v/>
      </c>
      <c r="E40" s="11">
        <f>E39</f>
        <v/>
      </c>
      <c r="F40" s="11">
        <f>F39</f>
        <v/>
      </c>
      <c r="G40" s="11">
        <f>G39</f>
        <v/>
      </c>
      <c r="H40" s="11">
        <f>H39</f>
        <v/>
      </c>
      <c r="I40" s="11">
        <f>I39</f>
        <v/>
      </c>
      <c r="J40" s="11">
        <f>J39</f>
        <v/>
      </c>
      <c r="K40" s="11">
        <f>K39</f>
        <v/>
      </c>
      <c r="L40" s="11">
        <f>L39</f>
        <v/>
      </c>
      <c r="M40" s="11">
        <f>M39</f>
        <v/>
      </c>
      <c r="N40" s="11">
        <f>N39</f>
        <v/>
      </c>
      <c r="O40" s="11">
        <f>O39</f>
        <v/>
      </c>
      <c r="P40" s="11">
        <f>P39</f>
        <v/>
      </c>
      <c r="Q40" s="11">
        <f>Q39</f>
        <v/>
      </c>
      <c r="R40" s="11">
        <f>R39</f>
        <v/>
      </c>
    </row>
    <row r="41">
      <c r="A41" s="12" t="inlineStr">
        <is>
          <t>Planned order releases</t>
        </is>
      </c>
      <c r="B41" s="8">
        <f>D40</f>
        <v/>
      </c>
      <c r="C41" s="8">
        <f>E40</f>
        <v/>
      </c>
      <c r="D41" s="8">
        <f>F40</f>
        <v/>
      </c>
      <c r="E41" s="8">
        <f>G40</f>
        <v/>
      </c>
      <c r="F41" s="8">
        <f>H40</f>
        <v/>
      </c>
      <c r="G41" s="8">
        <f>I40</f>
        <v/>
      </c>
      <c r="H41" s="8">
        <f>J40</f>
        <v/>
      </c>
      <c r="I41" s="8">
        <f>K40</f>
        <v/>
      </c>
      <c r="J41" s="8">
        <f>L40</f>
        <v/>
      </c>
      <c r="K41" s="8">
        <f>M40</f>
        <v/>
      </c>
      <c r="L41" s="8">
        <f>N40</f>
        <v/>
      </c>
      <c r="M41" s="8">
        <f>O40</f>
        <v/>
      </c>
      <c r="N41" s="8">
        <f>P40</f>
        <v/>
      </c>
      <c r="O41" s="8">
        <f>Q40</f>
        <v/>
      </c>
      <c r="P41" s="8">
        <f>R40</f>
        <v/>
      </c>
      <c r="Q41" s="8" t="n">
        <v>0</v>
      </c>
      <c r="R41" s="8" t="n">
        <v>0</v>
      </c>
    </row>
    <row r="43">
      <c r="A43" s="2" t="inlineStr">
        <is>
          <t>The centre's gross requirements are the sum of what the regions release. That is the explosion of section 6.4 with every quantity per equal to one.</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2026-09-13T16:48:57Z</dcterms:created>
  <dcterms:modified xsi:type="dcterms:W3CDTF">2026-09-13T16:48:57Z</dcterms:modified>
</cp:coreProperties>
</file>