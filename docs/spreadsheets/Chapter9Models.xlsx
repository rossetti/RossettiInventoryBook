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" sheetId="1" state="visible" r:id="rId1"/>
    <sheet name="Storeroom" sheetId="2" state="visible" r:id="rId2"/>
    <sheet name="Allocate" sheetId="3" state="visible" r:id="rId3"/>
    <sheet name="Ledger" sheetId="4" state="visible" r:id="rId4"/>
    <sheet name="Notes" sheetId="5" state="visible" r:id="rId5"/>
  </sheets>
  <definedNames>
    <definedName name="DepotPipelineMean">'Depot'!$B$13</definedName>
    <definedName name="DepotDemandRate">'Depot'!$B$12</definedName>
    <definedName name="DepotLoss">'Depot'!$D$24:$D$84</definedName>
    <definedName name="DepotSecondMoment">'Depot'!$E$24:$E$84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000000000"/>
    <numFmt numFmtId="167" formatCode="&quot;$&quot;#,##0.00"/>
  </numFmts>
  <fonts count="6">
    <font>
      <name val="Calibri"/>
      <family val="2"/>
      <color theme="1"/>
      <sz val="11"/>
      <scheme val="minor"/>
    </font>
    <font>
      <b val="1"/>
      <color rgb="00274060"/>
      <sz val="14"/>
    </font>
    <font>
      <i val="1"/>
      <color rgb="00666666"/>
      <sz val="9"/>
    </font>
    <font>
      <b val="1"/>
      <color rgb="00274060"/>
      <sz val="11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DE3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164" fontId="0" fillId="3" borderId="0" pivotButton="0" quotePrefix="0" xfId="0"/>
    <xf numFmtId="0" fontId="4" fillId="0" borderId="1" pivotButton="0" quotePrefix="0" xfId="0"/>
    <xf numFmtId="3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2" borderId="0" pivotButton="0" quotePrefix="0" xfId="0"/>
    <xf numFmtId="164" fontId="0" fillId="4" borderId="0" pivotButton="0" quotePrefix="0" xfId="0"/>
    <xf numFmtId="164" fontId="0" fillId="5" borderId="0" pivotButton="0" quotePrefix="0" xfId="0"/>
    <xf numFmtId="3" fontId="0" fillId="3" borderId="0" pivotButton="0" quotePrefix="0" xfId="0"/>
    <xf numFmtId="3" fontId="0" fillId="5" borderId="0" pivotButton="0" quotePrefix="0" xfId="0"/>
    <xf numFmtId="3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13" customWidth="1" min="4" max="4"/>
    <col width="14" customWidth="1" min="5" max="5"/>
  </cols>
  <sheetData>
    <row r="1">
      <c r="A1" s="1" t="inlineStr">
        <is>
          <t>The depot, and the delay it imposes</t>
        </is>
      </c>
    </row>
    <row r="2">
      <c r="A2" s="2" t="inlineStr">
        <is>
          <t>@sec-multiechelon-palm and @sec-multiechelon-delay. The depot depends on no storeroom, so it is solved first.</t>
        </is>
      </c>
    </row>
    <row r="3"/>
    <row r="4">
      <c r="A4" s="3" t="inlineStr">
        <is>
          <t>The item and the network</t>
        </is>
      </c>
    </row>
    <row r="5">
      <c r="A5" t="inlineStr">
        <is>
          <t>failures per storeroom</t>
        </is>
      </c>
      <c r="B5" s="4" t="n">
        <v>45</v>
      </c>
      <c r="C5" s="2" t="inlineStr">
        <is>
          <t>per year</t>
        </is>
      </c>
    </row>
    <row r="6">
      <c r="A6" t="inlineStr">
        <is>
          <t>storerooms J</t>
        </is>
      </c>
      <c r="B6" s="5" t="n">
        <v>4</v>
      </c>
      <c r="C6" s="2" t="inlineStr">
        <is>
          <t>locations</t>
        </is>
      </c>
    </row>
    <row r="7">
      <c r="A7" t="inlineStr">
        <is>
          <t>fraction rebuilt locally</t>
        </is>
      </c>
      <c r="B7" s="4" t="n">
        <v>0.3</v>
      </c>
      <c r="C7" s="2" t="inlineStr">
        <is>
          <t>phi_j</t>
        </is>
      </c>
    </row>
    <row r="8">
      <c r="A8" t="inlineStr">
        <is>
          <t>local repair time</t>
        </is>
      </c>
      <c r="B8" s="4" t="n">
        <v>30</v>
      </c>
      <c r="C8" s="2" t="inlineStr">
        <is>
          <t>days</t>
        </is>
      </c>
    </row>
    <row r="9">
      <c r="A9" t="inlineStr">
        <is>
          <t>order and ship time</t>
        </is>
      </c>
      <c r="B9" s="4" t="n">
        <v>10</v>
      </c>
      <c r="C9" s="2" t="inlineStr">
        <is>
          <t>days</t>
        </is>
      </c>
    </row>
    <row r="10">
      <c r="A10" t="inlineStr">
        <is>
          <t>depot repair time</t>
        </is>
      </c>
      <c r="B10" s="4" t="n">
        <v>60</v>
      </c>
      <c r="C10" s="2" t="inlineStr">
        <is>
          <t>days</t>
        </is>
      </c>
    </row>
    <row r="11">
      <c r="A11" t="inlineStr">
        <is>
          <t>requests per storeroom</t>
        </is>
      </c>
      <c r="B11" s="6">
        <f>(1-B7)*B5</f>
        <v/>
      </c>
      <c r="C11" s="2" t="inlineStr">
        <is>
          <t>lambda_j0 = (1-phi_j)*lambda_j, @eq-repairable-passup</t>
        </is>
      </c>
    </row>
    <row r="12">
      <c r="A12" t="inlineStr">
        <is>
          <t>depot demand rate</t>
        </is>
      </c>
      <c r="B12" s="6">
        <f>B6*B11</f>
        <v/>
      </c>
      <c r="C12" s="2" t="inlineStr">
        <is>
          <t>lambda_0, @eq-repairable-depotrate</t>
        </is>
      </c>
    </row>
    <row r="13">
      <c r="A13" t="inlineStr">
        <is>
          <t>depot pipeline mu_0</t>
        </is>
      </c>
      <c r="B13" s="6">
        <f>B12*B10/365</f>
        <v/>
      </c>
      <c r="C13" s="2" t="inlineStr">
        <is>
          <t>Palm's theorem, @eq-depot-pipeline</t>
        </is>
      </c>
    </row>
    <row r="14"/>
    <row r="15">
      <c r="A15" s="3" t="inlineStr">
        <is>
          <t>Depot policy</t>
        </is>
      </c>
    </row>
    <row r="16">
      <c r="A16" t="inlineStr">
        <is>
          <t>depot stock S_0</t>
        </is>
      </c>
      <c r="B16" s="5" t="n">
        <v>16</v>
      </c>
      <c r="C16" s="2" t="inlineStr">
        <is>
          <t>units</t>
        </is>
      </c>
    </row>
    <row r="17">
      <c r="A17" t="inlineStr">
        <is>
          <t>Bbar_0</t>
        </is>
      </c>
      <c r="B17" s="6">
        <f>INDEX($D$24:$D$84,$B$16+1)</f>
        <v/>
      </c>
      <c r="C17" s="2" t="inlineStr">
        <is>
          <t>units the depot owes, @eq-repairable-backorders at S_0</t>
        </is>
      </c>
    </row>
    <row r="18">
      <c r="A18" t="inlineStr">
        <is>
          <t>Var[B_0]</t>
        </is>
      </c>
      <c r="B18" s="6">
        <f>INDEX($E$24:$E$84,$B$16+1)-B17^2</f>
        <v/>
      </c>
      <c r="C18" s="2" t="inlineStr">
        <is>
          <t>Sherbrooke's recursion, @eq-backorder-secondmoment</t>
        </is>
      </c>
    </row>
    <row r="19">
      <c r="A19" t="inlineStr">
        <is>
          <t>Wbar, years</t>
        </is>
      </c>
      <c r="B19" s="6">
        <f>B17/B12</f>
        <v/>
      </c>
      <c r="C19" s="2" t="inlineStr">
        <is>
          <t>Little's Law, @eq-depot-wait</t>
        </is>
      </c>
    </row>
    <row r="20">
      <c r="A20" t="inlineStr">
        <is>
          <t>Wbar, days</t>
        </is>
      </c>
      <c r="B20" s="6">
        <f>B19*365</f>
        <v/>
      </c>
    </row>
    <row r="21"/>
    <row r="22">
      <c r="A22" s="2" t="inlineStr">
        <is>
          <t>Poisson at mu_0. G1 and E[B^2] are recursions; each row reads the row above.</t>
        </is>
      </c>
    </row>
    <row r="23">
      <c r="A23" s="7" t="inlineStr">
        <is>
          <t>x</t>
        </is>
      </c>
      <c r="B23" s="7" t="inlineStr">
        <is>
          <t>G(x)</t>
        </is>
      </c>
      <c r="C23" s="7" t="inlineStr">
        <is>
          <t>G0(x)</t>
        </is>
      </c>
      <c r="D23" s="7" t="inlineStr">
        <is>
          <t>G1(x)</t>
        </is>
      </c>
      <c r="E23" s="7" t="inlineStr">
        <is>
          <t>E[B^2(x)]</t>
        </is>
      </c>
    </row>
    <row r="24">
      <c r="A24" s="8" t="n">
        <v>0</v>
      </c>
      <c r="B24" s="9">
        <f>_xlfn.POISSON.DIST(A24,$B$13,TRUE)</f>
        <v/>
      </c>
      <c r="C24" s="9">
        <f>1-B24</f>
        <v/>
      </c>
      <c r="D24" s="9">
        <f>$B$13</f>
        <v/>
      </c>
      <c r="E24" s="9">
        <f>$B$13+$B$13^2</f>
        <v/>
      </c>
    </row>
    <row r="25">
      <c r="A25" s="8" t="n">
        <v>1</v>
      </c>
      <c r="B25" s="9">
        <f>_xlfn.POISSON.DIST(A25,$B$13,TRUE)</f>
        <v/>
      </c>
      <c r="C25" s="9">
        <f>1-B25</f>
        <v/>
      </c>
      <c r="D25" s="9">
        <f>D24-C24</f>
        <v/>
      </c>
      <c r="E25" s="9">
        <f>E24-D25-D24</f>
        <v/>
      </c>
    </row>
    <row r="26">
      <c r="A26" s="8" t="n">
        <v>2</v>
      </c>
      <c r="B26" s="9">
        <f>_xlfn.POISSON.DIST(A26,$B$13,TRUE)</f>
        <v/>
      </c>
      <c r="C26" s="9">
        <f>1-B26</f>
        <v/>
      </c>
      <c r="D26" s="9">
        <f>D25-C25</f>
        <v/>
      </c>
      <c r="E26" s="9">
        <f>E25-D26-D25</f>
        <v/>
      </c>
    </row>
    <row r="27">
      <c r="A27" s="8" t="n">
        <v>3</v>
      </c>
      <c r="B27" s="9">
        <f>_xlfn.POISSON.DIST(A27,$B$13,TRUE)</f>
        <v/>
      </c>
      <c r="C27" s="9">
        <f>1-B27</f>
        <v/>
      </c>
      <c r="D27" s="9">
        <f>D26-C26</f>
        <v/>
      </c>
      <c r="E27" s="9">
        <f>E26-D27-D26</f>
        <v/>
      </c>
    </row>
    <row r="28">
      <c r="A28" s="8" t="n">
        <v>4</v>
      </c>
      <c r="B28" s="9">
        <f>_xlfn.POISSON.DIST(A28,$B$13,TRUE)</f>
        <v/>
      </c>
      <c r="C28" s="9">
        <f>1-B28</f>
        <v/>
      </c>
      <c r="D28" s="9">
        <f>D27-C27</f>
        <v/>
      </c>
      <c r="E28" s="9">
        <f>E27-D28-D27</f>
        <v/>
      </c>
    </row>
    <row r="29">
      <c r="A29" s="8" t="n">
        <v>5</v>
      </c>
      <c r="B29" s="9">
        <f>_xlfn.POISSON.DIST(A29,$B$13,TRUE)</f>
        <v/>
      </c>
      <c r="C29" s="9">
        <f>1-B29</f>
        <v/>
      </c>
      <c r="D29" s="9">
        <f>D28-C28</f>
        <v/>
      </c>
      <c r="E29" s="9">
        <f>E28-D29-D28</f>
        <v/>
      </c>
    </row>
    <row r="30">
      <c r="A30" s="8" t="n">
        <v>6</v>
      </c>
      <c r="B30" s="9">
        <f>_xlfn.POISSON.DIST(A30,$B$13,TRUE)</f>
        <v/>
      </c>
      <c r="C30" s="9">
        <f>1-B30</f>
        <v/>
      </c>
      <c r="D30" s="9">
        <f>D29-C29</f>
        <v/>
      </c>
      <c r="E30" s="9">
        <f>E29-D30-D29</f>
        <v/>
      </c>
    </row>
    <row r="31">
      <c r="A31" s="8" t="n">
        <v>7</v>
      </c>
      <c r="B31" s="9">
        <f>_xlfn.POISSON.DIST(A31,$B$13,TRUE)</f>
        <v/>
      </c>
      <c r="C31" s="9">
        <f>1-B31</f>
        <v/>
      </c>
      <c r="D31" s="9">
        <f>D30-C30</f>
        <v/>
      </c>
      <c r="E31" s="9">
        <f>E30-D31-D30</f>
        <v/>
      </c>
    </row>
    <row r="32">
      <c r="A32" s="8" t="n">
        <v>8</v>
      </c>
      <c r="B32" s="9">
        <f>_xlfn.POISSON.DIST(A32,$B$13,TRUE)</f>
        <v/>
      </c>
      <c r="C32" s="9">
        <f>1-B32</f>
        <v/>
      </c>
      <c r="D32" s="9">
        <f>D31-C31</f>
        <v/>
      </c>
      <c r="E32" s="9">
        <f>E31-D32-D31</f>
        <v/>
      </c>
    </row>
    <row r="33">
      <c r="A33" s="8" t="n">
        <v>9</v>
      </c>
      <c r="B33" s="9">
        <f>_xlfn.POISSON.DIST(A33,$B$13,TRUE)</f>
        <v/>
      </c>
      <c r="C33" s="9">
        <f>1-B33</f>
        <v/>
      </c>
      <c r="D33" s="9">
        <f>D32-C32</f>
        <v/>
      </c>
      <c r="E33" s="9">
        <f>E32-D33-D32</f>
        <v/>
      </c>
    </row>
    <row r="34">
      <c r="A34" s="8" t="n">
        <v>10</v>
      </c>
      <c r="B34" s="9">
        <f>_xlfn.POISSON.DIST(A34,$B$13,TRUE)</f>
        <v/>
      </c>
      <c r="C34" s="9">
        <f>1-B34</f>
        <v/>
      </c>
      <c r="D34" s="9">
        <f>D33-C33</f>
        <v/>
      </c>
      <c r="E34" s="9">
        <f>E33-D34-D33</f>
        <v/>
      </c>
    </row>
    <row r="35">
      <c r="A35" s="8" t="n">
        <v>11</v>
      </c>
      <c r="B35" s="9">
        <f>_xlfn.POISSON.DIST(A35,$B$13,TRUE)</f>
        <v/>
      </c>
      <c r="C35" s="9">
        <f>1-B35</f>
        <v/>
      </c>
      <c r="D35" s="9">
        <f>D34-C34</f>
        <v/>
      </c>
      <c r="E35" s="9">
        <f>E34-D35-D34</f>
        <v/>
      </c>
    </row>
    <row r="36">
      <c r="A36" s="8" t="n">
        <v>12</v>
      </c>
      <c r="B36" s="9">
        <f>_xlfn.POISSON.DIST(A36,$B$13,TRUE)</f>
        <v/>
      </c>
      <c r="C36" s="9">
        <f>1-B36</f>
        <v/>
      </c>
      <c r="D36" s="9">
        <f>D35-C35</f>
        <v/>
      </c>
      <c r="E36" s="9">
        <f>E35-D36-D35</f>
        <v/>
      </c>
    </row>
    <row r="37">
      <c r="A37" s="8" t="n">
        <v>13</v>
      </c>
      <c r="B37" s="9">
        <f>_xlfn.POISSON.DIST(A37,$B$13,TRUE)</f>
        <v/>
      </c>
      <c r="C37" s="9">
        <f>1-B37</f>
        <v/>
      </c>
      <c r="D37" s="9">
        <f>D36-C36</f>
        <v/>
      </c>
      <c r="E37" s="9">
        <f>E36-D37-D36</f>
        <v/>
      </c>
    </row>
    <row r="38">
      <c r="A38" s="8" t="n">
        <v>14</v>
      </c>
      <c r="B38" s="9">
        <f>_xlfn.POISSON.DIST(A38,$B$13,TRUE)</f>
        <v/>
      </c>
      <c r="C38" s="9">
        <f>1-B38</f>
        <v/>
      </c>
      <c r="D38" s="9">
        <f>D37-C37</f>
        <v/>
      </c>
      <c r="E38" s="9">
        <f>E37-D38-D37</f>
        <v/>
      </c>
    </row>
    <row r="39">
      <c r="A39" s="8" t="n">
        <v>15</v>
      </c>
      <c r="B39" s="9">
        <f>_xlfn.POISSON.DIST(A39,$B$13,TRUE)</f>
        <v/>
      </c>
      <c r="C39" s="9">
        <f>1-B39</f>
        <v/>
      </c>
      <c r="D39" s="9">
        <f>D38-C38</f>
        <v/>
      </c>
      <c r="E39" s="9">
        <f>E38-D39-D38</f>
        <v/>
      </c>
    </row>
    <row r="40">
      <c r="A40" s="8" t="n">
        <v>16</v>
      </c>
      <c r="B40" s="9">
        <f>_xlfn.POISSON.DIST(A40,$B$13,TRUE)</f>
        <v/>
      </c>
      <c r="C40" s="9">
        <f>1-B40</f>
        <v/>
      </c>
      <c r="D40" s="9">
        <f>D39-C39</f>
        <v/>
      </c>
      <c r="E40" s="9">
        <f>E39-D40-D39</f>
        <v/>
      </c>
    </row>
    <row r="41">
      <c r="A41" s="8" t="n">
        <v>17</v>
      </c>
      <c r="B41" s="9">
        <f>_xlfn.POISSON.DIST(A41,$B$13,TRUE)</f>
        <v/>
      </c>
      <c r="C41" s="9">
        <f>1-B41</f>
        <v/>
      </c>
      <c r="D41" s="9">
        <f>D40-C40</f>
        <v/>
      </c>
      <c r="E41" s="9">
        <f>E40-D41-D40</f>
        <v/>
      </c>
    </row>
    <row r="42">
      <c r="A42" s="8" t="n">
        <v>18</v>
      </c>
      <c r="B42" s="9">
        <f>_xlfn.POISSON.DIST(A42,$B$13,TRUE)</f>
        <v/>
      </c>
      <c r="C42" s="9">
        <f>1-B42</f>
        <v/>
      </c>
      <c r="D42" s="9">
        <f>D41-C41</f>
        <v/>
      </c>
      <c r="E42" s="9">
        <f>E41-D42-D41</f>
        <v/>
      </c>
    </row>
    <row r="43">
      <c r="A43" s="8" t="n">
        <v>19</v>
      </c>
      <c r="B43" s="9">
        <f>_xlfn.POISSON.DIST(A43,$B$13,TRUE)</f>
        <v/>
      </c>
      <c r="C43" s="9">
        <f>1-B43</f>
        <v/>
      </c>
      <c r="D43" s="9">
        <f>D42-C42</f>
        <v/>
      </c>
      <c r="E43" s="9">
        <f>E42-D43-D42</f>
        <v/>
      </c>
    </row>
    <row r="44">
      <c r="A44" s="8" t="n">
        <v>20</v>
      </c>
      <c r="B44" s="9">
        <f>_xlfn.POISSON.DIST(A44,$B$13,TRUE)</f>
        <v/>
      </c>
      <c r="C44" s="9">
        <f>1-B44</f>
        <v/>
      </c>
      <c r="D44" s="9">
        <f>D43-C43</f>
        <v/>
      </c>
      <c r="E44" s="9">
        <f>E43-D44-D43</f>
        <v/>
      </c>
    </row>
    <row r="45">
      <c r="A45" s="8" t="n">
        <v>21</v>
      </c>
      <c r="B45" s="9">
        <f>_xlfn.POISSON.DIST(A45,$B$13,TRUE)</f>
        <v/>
      </c>
      <c r="C45" s="9">
        <f>1-B45</f>
        <v/>
      </c>
      <c r="D45" s="9">
        <f>D44-C44</f>
        <v/>
      </c>
      <c r="E45" s="9">
        <f>E44-D45-D44</f>
        <v/>
      </c>
    </row>
    <row r="46">
      <c r="A46" s="8" t="n">
        <v>22</v>
      </c>
      <c r="B46" s="9">
        <f>_xlfn.POISSON.DIST(A46,$B$13,TRUE)</f>
        <v/>
      </c>
      <c r="C46" s="9">
        <f>1-B46</f>
        <v/>
      </c>
      <c r="D46" s="9">
        <f>D45-C45</f>
        <v/>
      </c>
      <c r="E46" s="9">
        <f>E45-D46-D45</f>
        <v/>
      </c>
    </row>
    <row r="47">
      <c r="A47" s="8" t="n">
        <v>23</v>
      </c>
      <c r="B47" s="9">
        <f>_xlfn.POISSON.DIST(A47,$B$13,TRUE)</f>
        <v/>
      </c>
      <c r="C47" s="9">
        <f>1-B47</f>
        <v/>
      </c>
      <c r="D47" s="9">
        <f>D46-C46</f>
        <v/>
      </c>
      <c r="E47" s="9">
        <f>E46-D47-D46</f>
        <v/>
      </c>
    </row>
    <row r="48">
      <c r="A48" s="8" t="n">
        <v>24</v>
      </c>
      <c r="B48" s="9">
        <f>_xlfn.POISSON.DIST(A48,$B$13,TRUE)</f>
        <v/>
      </c>
      <c r="C48" s="9">
        <f>1-B48</f>
        <v/>
      </c>
      <c r="D48" s="9">
        <f>D47-C47</f>
        <v/>
      </c>
      <c r="E48" s="9">
        <f>E47-D48-D47</f>
        <v/>
      </c>
    </row>
    <row r="49">
      <c r="A49" s="8" t="n">
        <v>25</v>
      </c>
      <c r="B49" s="9">
        <f>_xlfn.POISSON.DIST(A49,$B$13,TRUE)</f>
        <v/>
      </c>
      <c r="C49" s="9">
        <f>1-B49</f>
        <v/>
      </c>
      <c r="D49" s="9">
        <f>D48-C48</f>
        <v/>
      </c>
      <c r="E49" s="9">
        <f>E48-D49-D48</f>
        <v/>
      </c>
    </row>
    <row r="50">
      <c r="A50" s="8" t="n">
        <v>26</v>
      </c>
      <c r="B50" s="9">
        <f>_xlfn.POISSON.DIST(A50,$B$13,TRUE)</f>
        <v/>
      </c>
      <c r="C50" s="9">
        <f>1-B50</f>
        <v/>
      </c>
      <c r="D50" s="9">
        <f>D49-C49</f>
        <v/>
      </c>
      <c r="E50" s="9">
        <f>E49-D50-D49</f>
        <v/>
      </c>
    </row>
    <row r="51">
      <c r="A51" s="8" t="n">
        <v>27</v>
      </c>
      <c r="B51" s="9">
        <f>_xlfn.POISSON.DIST(A51,$B$13,TRUE)</f>
        <v/>
      </c>
      <c r="C51" s="9">
        <f>1-B51</f>
        <v/>
      </c>
      <c r="D51" s="9">
        <f>D50-C50</f>
        <v/>
      </c>
      <c r="E51" s="9">
        <f>E50-D51-D50</f>
        <v/>
      </c>
    </row>
    <row r="52">
      <c r="A52" s="8" t="n">
        <v>28</v>
      </c>
      <c r="B52" s="9">
        <f>_xlfn.POISSON.DIST(A52,$B$13,TRUE)</f>
        <v/>
      </c>
      <c r="C52" s="9">
        <f>1-B52</f>
        <v/>
      </c>
      <c r="D52" s="9">
        <f>D51-C51</f>
        <v/>
      </c>
      <c r="E52" s="9">
        <f>E51-D52-D51</f>
        <v/>
      </c>
    </row>
    <row r="53">
      <c r="A53" s="8" t="n">
        <v>29</v>
      </c>
      <c r="B53" s="9">
        <f>_xlfn.POISSON.DIST(A53,$B$13,TRUE)</f>
        <v/>
      </c>
      <c r="C53" s="9">
        <f>1-B53</f>
        <v/>
      </c>
      <c r="D53" s="9">
        <f>D52-C52</f>
        <v/>
      </c>
      <c r="E53" s="9">
        <f>E52-D53-D52</f>
        <v/>
      </c>
    </row>
    <row r="54">
      <c r="A54" s="8" t="n">
        <v>30</v>
      </c>
      <c r="B54" s="9">
        <f>_xlfn.POISSON.DIST(A54,$B$13,TRUE)</f>
        <v/>
      </c>
      <c r="C54" s="9">
        <f>1-B54</f>
        <v/>
      </c>
      <c r="D54" s="9">
        <f>D53-C53</f>
        <v/>
      </c>
      <c r="E54" s="9">
        <f>E53-D54-D53</f>
        <v/>
      </c>
    </row>
    <row r="55">
      <c r="A55" s="8" t="n">
        <v>31</v>
      </c>
      <c r="B55" s="9">
        <f>_xlfn.POISSON.DIST(A55,$B$13,TRUE)</f>
        <v/>
      </c>
      <c r="C55" s="9">
        <f>1-B55</f>
        <v/>
      </c>
      <c r="D55" s="9">
        <f>D54-C54</f>
        <v/>
      </c>
      <c r="E55" s="9">
        <f>E54-D55-D54</f>
        <v/>
      </c>
    </row>
    <row r="56">
      <c r="A56" s="8" t="n">
        <v>32</v>
      </c>
      <c r="B56" s="9">
        <f>_xlfn.POISSON.DIST(A56,$B$13,TRUE)</f>
        <v/>
      </c>
      <c r="C56" s="9">
        <f>1-B56</f>
        <v/>
      </c>
      <c r="D56" s="9">
        <f>D55-C55</f>
        <v/>
      </c>
      <c r="E56" s="9">
        <f>E55-D56-D55</f>
        <v/>
      </c>
    </row>
    <row r="57">
      <c r="A57" s="8" t="n">
        <v>33</v>
      </c>
      <c r="B57" s="9">
        <f>_xlfn.POISSON.DIST(A57,$B$13,TRUE)</f>
        <v/>
      </c>
      <c r="C57" s="9">
        <f>1-B57</f>
        <v/>
      </c>
      <c r="D57" s="9">
        <f>D56-C56</f>
        <v/>
      </c>
      <c r="E57" s="9">
        <f>E56-D57-D56</f>
        <v/>
      </c>
    </row>
    <row r="58">
      <c r="A58" s="8" t="n">
        <v>34</v>
      </c>
      <c r="B58" s="9">
        <f>_xlfn.POISSON.DIST(A58,$B$13,TRUE)</f>
        <v/>
      </c>
      <c r="C58" s="9">
        <f>1-B58</f>
        <v/>
      </c>
      <c r="D58" s="9">
        <f>D57-C57</f>
        <v/>
      </c>
      <c r="E58" s="9">
        <f>E57-D58-D57</f>
        <v/>
      </c>
    </row>
    <row r="59">
      <c r="A59" s="8" t="n">
        <v>35</v>
      </c>
      <c r="B59" s="9">
        <f>_xlfn.POISSON.DIST(A59,$B$13,TRUE)</f>
        <v/>
      </c>
      <c r="C59" s="9">
        <f>1-B59</f>
        <v/>
      </c>
      <c r="D59" s="9">
        <f>D58-C58</f>
        <v/>
      </c>
      <c r="E59" s="9">
        <f>E58-D59-D58</f>
        <v/>
      </c>
    </row>
    <row r="60">
      <c r="A60" s="8" t="n">
        <v>36</v>
      </c>
      <c r="B60" s="9">
        <f>_xlfn.POISSON.DIST(A60,$B$13,TRUE)</f>
        <v/>
      </c>
      <c r="C60" s="9">
        <f>1-B60</f>
        <v/>
      </c>
      <c r="D60" s="9">
        <f>D59-C59</f>
        <v/>
      </c>
      <c r="E60" s="9">
        <f>E59-D60-D59</f>
        <v/>
      </c>
    </row>
    <row r="61">
      <c r="A61" s="8" t="n">
        <v>37</v>
      </c>
      <c r="B61" s="9">
        <f>_xlfn.POISSON.DIST(A61,$B$13,TRUE)</f>
        <v/>
      </c>
      <c r="C61" s="9">
        <f>1-B61</f>
        <v/>
      </c>
      <c r="D61" s="9">
        <f>D60-C60</f>
        <v/>
      </c>
      <c r="E61" s="9">
        <f>E60-D61-D60</f>
        <v/>
      </c>
    </row>
    <row r="62">
      <c r="A62" s="8" t="n">
        <v>38</v>
      </c>
      <c r="B62" s="9">
        <f>_xlfn.POISSON.DIST(A62,$B$13,TRUE)</f>
        <v/>
      </c>
      <c r="C62" s="9">
        <f>1-B62</f>
        <v/>
      </c>
      <c r="D62" s="9">
        <f>D61-C61</f>
        <v/>
      </c>
      <c r="E62" s="9">
        <f>E61-D62-D61</f>
        <v/>
      </c>
    </row>
    <row r="63">
      <c r="A63" s="8" t="n">
        <v>39</v>
      </c>
      <c r="B63" s="9">
        <f>_xlfn.POISSON.DIST(A63,$B$13,TRUE)</f>
        <v/>
      </c>
      <c r="C63" s="9">
        <f>1-B63</f>
        <v/>
      </c>
      <c r="D63" s="9">
        <f>D62-C62</f>
        <v/>
      </c>
      <c r="E63" s="9">
        <f>E62-D63-D62</f>
        <v/>
      </c>
    </row>
    <row r="64">
      <c r="A64" s="8" t="n">
        <v>40</v>
      </c>
      <c r="B64" s="9">
        <f>_xlfn.POISSON.DIST(A64,$B$13,TRUE)</f>
        <v/>
      </c>
      <c r="C64" s="9">
        <f>1-B64</f>
        <v/>
      </c>
      <c r="D64" s="9">
        <f>D63-C63</f>
        <v/>
      </c>
      <c r="E64" s="9">
        <f>E63-D64-D63</f>
        <v/>
      </c>
    </row>
    <row r="65">
      <c r="A65" s="8" t="n">
        <v>41</v>
      </c>
      <c r="B65" s="9">
        <f>_xlfn.POISSON.DIST(A65,$B$13,TRUE)</f>
        <v/>
      </c>
      <c r="C65" s="9">
        <f>1-B65</f>
        <v/>
      </c>
      <c r="D65" s="9">
        <f>D64-C64</f>
        <v/>
      </c>
      <c r="E65" s="9">
        <f>E64-D65-D64</f>
        <v/>
      </c>
    </row>
    <row r="66">
      <c r="A66" s="8" t="n">
        <v>42</v>
      </c>
      <c r="B66" s="9">
        <f>_xlfn.POISSON.DIST(A66,$B$13,TRUE)</f>
        <v/>
      </c>
      <c r="C66" s="9">
        <f>1-B66</f>
        <v/>
      </c>
      <c r="D66" s="9">
        <f>D65-C65</f>
        <v/>
      </c>
      <c r="E66" s="9">
        <f>E65-D66-D65</f>
        <v/>
      </c>
    </row>
    <row r="67">
      <c r="A67" s="8" t="n">
        <v>43</v>
      </c>
      <c r="B67" s="9">
        <f>_xlfn.POISSON.DIST(A67,$B$13,TRUE)</f>
        <v/>
      </c>
      <c r="C67" s="9">
        <f>1-B67</f>
        <v/>
      </c>
      <c r="D67" s="9">
        <f>D66-C66</f>
        <v/>
      </c>
      <c r="E67" s="9">
        <f>E66-D67-D66</f>
        <v/>
      </c>
    </row>
    <row r="68">
      <c r="A68" s="8" t="n">
        <v>44</v>
      </c>
      <c r="B68" s="9">
        <f>_xlfn.POISSON.DIST(A68,$B$13,TRUE)</f>
        <v/>
      </c>
      <c r="C68" s="9">
        <f>1-B68</f>
        <v/>
      </c>
      <c r="D68" s="9">
        <f>D67-C67</f>
        <v/>
      </c>
      <c r="E68" s="9">
        <f>E67-D68-D67</f>
        <v/>
      </c>
    </row>
    <row r="69">
      <c r="A69" s="8" t="n">
        <v>45</v>
      </c>
      <c r="B69" s="9">
        <f>_xlfn.POISSON.DIST(A69,$B$13,TRUE)</f>
        <v/>
      </c>
      <c r="C69" s="9">
        <f>1-B69</f>
        <v/>
      </c>
      <c r="D69" s="9">
        <f>D68-C68</f>
        <v/>
      </c>
      <c r="E69" s="9">
        <f>E68-D69-D68</f>
        <v/>
      </c>
    </row>
    <row r="70">
      <c r="A70" s="8" t="n">
        <v>46</v>
      </c>
      <c r="B70" s="9">
        <f>_xlfn.POISSON.DIST(A70,$B$13,TRUE)</f>
        <v/>
      </c>
      <c r="C70" s="9">
        <f>1-B70</f>
        <v/>
      </c>
      <c r="D70" s="9">
        <f>D69-C69</f>
        <v/>
      </c>
      <c r="E70" s="9">
        <f>E69-D70-D69</f>
        <v/>
      </c>
    </row>
    <row r="71">
      <c r="A71" s="8" t="n">
        <v>47</v>
      </c>
      <c r="B71" s="9">
        <f>_xlfn.POISSON.DIST(A71,$B$13,TRUE)</f>
        <v/>
      </c>
      <c r="C71" s="9">
        <f>1-B71</f>
        <v/>
      </c>
      <c r="D71" s="9">
        <f>D70-C70</f>
        <v/>
      </c>
      <c r="E71" s="9">
        <f>E70-D71-D70</f>
        <v/>
      </c>
    </row>
    <row r="72">
      <c r="A72" s="8" t="n">
        <v>48</v>
      </c>
      <c r="B72" s="9">
        <f>_xlfn.POISSON.DIST(A72,$B$13,TRUE)</f>
        <v/>
      </c>
      <c r="C72" s="9">
        <f>1-B72</f>
        <v/>
      </c>
      <c r="D72" s="9">
        <f>D71-C71</f>
        <v/>
      </c>
      <c r="E72" s="9">
        <f>E71-D72-D71</f>
        <v/>
      </c>
    </row>
    <row r="73">
      <c r="A73" s="8" t="n">
        <v>49</v>
      </c>
      <c r="B73" s="9">
        <f>_xlfn.POISSON.DIST(A73,$B$13,TRUE)</f>
        <v/>
      </c>
      <c r="C73" s="9">
        <f>1-B73</f>
        <v/>
      </c>
      <c r="D73" s="9">
        <f>D72-C72</f>
        <v/>
      </c>
      <c r="E73" s="9">
        <f>E72-D73-D72</f>
        <v/>
      </c>
    </row>
    <row r="74">
      <c r="A74" s="8" t="n">
        <v>50</v>
      </c>
      <c r="B74" s="9">
        <f>_xlfn.POISSON.DIST(A74,$B$13,TRUE)</f>
        <v/>
      </c>
      <c r="C74" s="9">
        <f>1-B74</f>
        <v/>
      </c>
      <c r="D74" s="9">
        <f>D73-C73</f>
        <v/>
      </c>
      <c r="E74" s="9">
        <f>E73-D74-D73</f>
        <v/>
      </c>
    </row>
    <row r="75">
      <c r="A75" s="8" t="n">
        <v>51</v>
      </c>
      <c r="B75" s="9">
        <f>_xlfn.POISSON.DIST(A75,$B$13,TRUE)</f>
        <v/>
      </c>
      <c r="C75" s="9">
        <f>1-B75</f>
        <v/>
      </c>
      <c r="D75" s="9">
        <f>D74-C74</f>
        <v/>
      </c>
      <c r="E75" s="9">
        <f>E74-D75-D74</f>
        <v/>
      </c>
    </row>
    <row r="76">
      <c r="A76" s="8" t="n">
        <v>52</v>
      </c>
      <c r="B76" s="9">
        <f>_xlfn.POISSON.DIST(A76,$B$13,TRUE)</f>
        <v/>
      </c>
      <c r="C76" s="9">
        <f>1-B76</f>
        <v/>
      </c>
      <c r="D76" s="9">
        <f>D75-C75</f>
        <v/>
      </c>
      <c r="E76" s="9">
        <f>E75-D76-D75</f>
        <v/>
      </c>
    </row>
    <row r="77">
      <c r="A77" s="8" t="n">
        <v>53</v>
      </c>
      <c r="B77" s="9">
        <f>_xlfn.POISSON.DIST(A77,$B$13,TRUE)</f>
        <v/>
      </c>
      <c r="C77" s="9">
        <f>1-B77</f>
        <v/>
      </c>
      <c r="D77" s="9">
        <f>D76-C76</f>
        <v/>
      </c>
      <c r="E77" s="9">
        <f>E76-D77-D76</f>
        <v/>
      </c>
    </row>
    <row r="78">
      <c r="A78" s="8" t="n">
        <v>54</v>
      </c>
      <c r="B78" s="9">
        <f>_xlfn.POISSON.DIST(A78,$B$13,TRUE)</f>
        <v/>
      </c>
      <c r="C78" s="9">
        <f>1-B78</f>
        <v/>
      </c>
      <c r="D78" s="9">
        <f>D77-C77</f>
        <v/>
      </c>
      <c r="E78" s="9">
        <f>E77-D78-D77</f>
        <v/>
      </c>
    </row>
    <row r="79">
      <c r="A79" s="8" t="n">
        <v>55</v>
      </c>
      <c r="B79" s="9">
        <f>_xlfn.POISSON.DIST(A79,$B$13,TRUE)</f>
        <v/>
      </c>
      <c r="C79" s="9">
        <f>1-B79</f>
        <v/>
      </c>
      <c r="D79" s="9">
        <f>D78-C78</f>
        <v/>
      </c>
      <c r="E79" s="9">
        <f>E78-D79-D78</f>
        <v/>
      </c>
    </row>
    <row r="80">
      <c r="A80" s="8" t="n">
        <v>56</v>
      </c>
      <c r="B80" s="9">
        <f>_xlfn.POISSON.DIST(A80,$B$13,TRUE)</f>
        <v/>
      </c>
      <c r="C80" s="9">
        <f>1-B80</f>
        <v/>
      </c>
      <c r="D80" s="9">
        <f>D79-C79</f>
        <v/>
      </c>
      <c r="E80" s="9">
        <f>E79-D80-D79</f>
        <v/>
      </c>
    </row>
    <row r="81">
      <c r="A81" s="8" t="n">
        <v>57</v>
      </c>
      <c r="B81" s="9">
        <f>_xlfn.POISSON.DIST(A81,$B$13,TRUE)</f>
        <v/>
      </c>
      <c r="C81" s="9">
        <f>1-B81</f>
        <v/>
      </c>
      <c r="D81" s="9">
        <f>D80-C80</f>
        <v/>
      </c>
      <c r="E81" s="9">
        <f>E80-D81-D80</f>
        <v/>
      </c>
    </row>
    <row r="82">
      <c r="A82" s="8" t="n">
        <v>58</v>
      </c>
      <c r="B82" s="9">
        <f>_xlfn.POISSON.DIST(A82,$B$13,TRUE)</f>
        <v/>
      </c>
      <c r="C82" s="9">
        <f>1-B82</f>
        <v/>
      </c>
      <c r="D82" s="9">
        <f>D81-C81</f>
        <v/>
      </c>
      <c r="E82" s="9">
        <f>E81-D82-D81</f>
        <v/>
      </c>
    </row>
    <row r="83">
      <c r="A83" s="8" t="n">
        <v>59</v>
      </c>
      <c r="B83" s="9">
        <f>_xlfn.POISSON.DIST(A83,$B$13,TRUE)</f>
        <v/>
      </c>
      <c r="C83" s="9">
        <f>1-B83</f>
        <v/>
      </c>
      <c r="D83" s="9">
        <f>D82-C82</f>
        <v/>
      </c>
      <c r="E83" s="9">
        <f>E82-D83-D82</f>
        <v/>
      </c>
    </row>
    <row r="84">
      <c r="A84" s="8" t="n">
        <v>60</v>
      </c>
      <c r="B84" s="9">
        <f>_xlfn.POISSON.DIST(A84,$B$13,TRUE)</f>
        <v/>
      </c>
      <c r="C84" s="9">
        <f>1-B84</f>
        <v/>
      </c>
      <c r="D84" s="9">
        <f>D83-C83</f>
        <v/>
      </c>
      <c r="E84" s="9">
        <f>E83-D84-D83</f>
        <v/>
      </c>
    </row>
    <row r="85"/>
    <row r="86">
      <c r="A86" s="2" t="inlineStr">
        <is>
          <t>Change S_0 above and the four figures move; the block below never does.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2" customWidth="1" min="3" max="3"/>
    <col width="13" customWidth="1" min="4" max="4"/>
  </cols>
  <sheetData>
    <row r="1">
      <c r="A1" s="1" t="inlineStr">
        <is>
          <t>One storeroom, both models</t>
        </is>
      </c>
    </row>
    <row r="2">
      <c r="A2" s="2" t="inlineStr">
        <is>
          <t>@sec-multiechelon-metric and @sec-multiechelon-varimetric. The means agree; only the second moment differs.</t>
        </is>
      </c>
    </row>
    <row r="3"/>
    <row r="4">
      <c r="A4" s="3" t="inlineStr">
        <is>
          <t>The item and the network</t>
        </is>
      </c>
    </row>
    <row r="5">
      <c r="A5" t="inlineStr">
        <is>
          <t>failures per storeroom</t>
        </is>
      </c>
      <c r="B5" s="4" t="n">
        <v>45</v>
      </c>
      <c r="C5" s="2" t="inlineStr">
        <is>
          <t>per year</t>
        </is>
      </c>
    </row>
    <row r="6">
      <c r="A6" t="inlineStr">
        <is>
          <t>storerooms J</t>
        </is>
      </c>
      <c r="B6" s="5" t="n">
        <v>4</v>
      </c>
      <c r="C6" s="2" t="inlineStr">
        <is>
          <t>locations</t>
        </is>
      </c>
    </row>
    <row r="7">
      <c r="A7" t="inlineStr">
        <is>
          <t>fraction rebuilt locally</t>
        </is>
      </c>
      <c r="B7" s="4" t="n">
        <v>0.3</v>
      </c>
      <c r="C7" s="2" t="inlineStr">
        <is>
          <t>phi_j</t>
        </is>
      </c>
    </row>
    <row r="8">
      <c r="A8" t="inlineStr">
        <is>
          <t>local repair time</t>
        </is>
      </c>
      <c r="B8" s="4" t="n">
        <v>30</v>
      </c>
      <c r="C8" s="2" t="inlineStr">
        <is>
          <t>days</t>
        </is>
      </c>
    </row>
    <row r="9">
      <c r="A9" t="inlineStr">
        <is>
          <t>order and ship time</t>
        </is>
      </c>
      <c r="B9" s="4" t="n">
        <v>10</v>
      </c>
      <c r="C9" s="2" t="inlineStr">
        <is>
          <t>days</t>
        </is>
      </c>
    </row>
    <row r="10">
      <c r="A10" t="inlineStr">
        <is>
          <t>depot repair time</t>
        </is>
      </c>
      <c r="B10" s="4" t="n">
        <v>60</v>
      </c>
      <c r="C10" s="2" t="inlineStr">
        <is>
          <t>days</t>
        </is>
      </c>
    </row>
    <row r="11">
      <c r="A11" t="inlineStr">
        <is>
          <t>requests per storeroom</t>
        </is>
      </c>
      <c r="B11" s="6">
        <f>(1-B7)*B5</f>
        <v/>
      </c>
      <c r="C11" s="2" t="inlineStr">
        <is>
          <t>lambda_j0 = (1-phi_j)*lambda_j, @eq-repairable-passup</t>
        </is>
      </c>
    </row>
    <row r="12">
      <c r="A12" t="inlineStr">
        <is>
          <t>depot demand rate</t>
        </is>
      </c>
      <c r="B12" s="6">
        <f>B6*B11</f>
        <v/>
      </c>
      <c r="C12" s="2" t="inlineStr">
        <is>
          <t>lambda_0, @eq-repairable-depotrate</t>
        </is>
      </c>
    </row>
    <row r="13">
      <c r="A13" t="inlineStr">
        <is>
          <t>depot pipeline mu_0</t>
        </is>
      </c>
      <c r="B13" s="6">
        <f>B12*B10/365</f>
        <v/>
      </c>
      <c r="C13" s="2" t="inlineStr">
        <is>
          <t>Palm's theorem, @eq-palm-pipeline</t>
        </is>
      </c>
    </row>
    <row r="14"/>
    <row r="15">
      <c r="A15" s="3" t="inlineStr">
        <is>
          <t>Read from the Depot sheet</t>
        </is>
      </c>
    </row>
    <row r="16">
      <c r="A16" t="inlineStr">
        <is>
          <t>Bbar_0</t>
        </is>
      </c>
      <c r="B16" s="6">
        <f>Depot!B17</f>
        <v/>
      </c>
    </row>
    <row r="17">
      <c r="A17" t="inlineStr">
        <is>
          <t>Var[B_0]</t>
        </is>
      </c>
      <c r="B17" s="6">
        <f>Depot!B18</f>
        <v/>
      </c>
    </row>
    <row r="18">
      <c r="A18" t="inlineStr">
        <is>
          <t>share f_j</t>
        </is>
      </c>
      <c r="B18" s="6">
        <f>B11/B12</f>
        <v/>
      </c>
      <c r="C18" s="2" t="inlineStr">
        <is>
          <t>@eq-varimetric-share, this storeroom's share of depot demand</t>
        </is>
      </c>
    </row>
    <row r="19"/>
    <row r="20">
      <c r="A20" s="3" t="inlineStr">
        <is>
          <t>The storeroom's pipeline</t>
        </is>
      </c>
    </row>
    <row r="21">
      <c r="A21" t="inlineStr">
        <is>
          <t>local and in transit</t>
        </is>
      </c>
      <c r="B21" s="6">
        <f>B5*(B7*B8+(1-B7)*B9)/365</f>
        <v/>
      </c>
      <c r="C21" s="2" t="inlineStr">
        <is>
          <t>the part Palm's theorem covers exactly</t>
        </is>
      </c>
    </row>
    <row r="22">
      <c r="A22" t="inlineStr">
        <is>
          <t>mu_j</t>
        </is>
      </c>
      <c r="B22" s="6">
        <f>B21+B18*B16</f>
        <v/>
      </c>
      <c r="C22" s="2" t="inlineStr">
        <is>
          <t>@eq-varimetric-mean; METRIC and VARI-METRIC share it</t>
        </is>
      </c>
    </row>
    <row r="23">
      <c r="A23" t="inlineStr">
        <is>
          <t>sigma^2_j</t>
        </is>
      </c>
      <c r="B23" s="6">
        <f>B21+B18*(1-B18)*B16+B18^2*B17</f>
        <v/>
      </c>
      <c r="C23" s="2" t="inlineStr">
        <is>
          <t>@eq-varimetric-variance; METRIC drops the last two terms</t>
        </is>
      </c>
    </row>
    <row r="24">
      <c r="A24" t="inlineStr">
        <is>
          <t>variance to mean</t>
        </is>
      </c>
      <c r="B24" s="6">
        <f>B23/B22</f>
        <v/>
      </c>
    </row>
    <row r="25"/>
    <row r="26">
      <c r="A26" s="3" t="inlineStr">
        <is>
          <t>Negative binomial fit, @eq-varimetric-fit</t>
        </is>
      </c>
    </row>
    <row r="27">
      <c r="A27" t="inlineStr">
        <is>
          <t>p</t>
        </is>
      </c>
      <c r="B27" s="6">
        <f>B22/B23</f>
        <v/>
      </c>
    </row>
    <row r="28">
      <c r="A28" t="inlineStr">
        <is>
          <t>beta</t>
        </is>
      </c>
      <c r="B28" s="6">
        <f>(1-B27)/B27</f>
        <v/>
      </c>
    </row>
    <row r="29">
      <c r="A29" t="inlineStr">
        <is>
          <t>r</t>
        </is>
      </c>
      <c r="B29" s="6">
        <f>B22/B28</f>
        <v/>
      </c>
      <c r="C29" s="2" t="inlineStr">
        <is>
          <t>not an integer, which is why the block below is a recursion</t>
        </is>
      </c>
    </row>
    <row r="30"/>
    <row r="31">
      <c r="A31" s="3" t="inlineStr">
        <is>
          <t>Storeroom policy</t>
        </is>
      </c>
    </row>
    <row r="32">
      <c r="A32" t="inlineStr">
        <is>
          <t>storeroom stock S_j</t>
        </is>
      </c>
      <c r="B32" s="5" t="n">
        <v>4</v>
      </c>
      <c r="C32" s="2" t="inlineStr">
        <is>
          <t>units</t>
        </is>
      </c>
    </row>
    <row r="33">
      <c r="A33" t="inlineStr">
        <is>
          <t>METRIC Bbar_j</t>
        </is>
      </c>
      <c r="B33" s="6">
        <f>IF(B32=0,B22,B22*(1-_xlfn.POISSON.DIST(B32-1,B22,TRUE))-B32*(1-_xlfn.POISSON.DIST(B32,B22,TRUE)))</f>
        <v/>
      </c>
      <c r="C33" s="2" t="inlineStr">
        <is>
          <t>Poisson, closed in one cell; variance forced equal to the mean</t>
        </is>
      </c>
    </row>
    <row r="34">
      <c r="A34" t="inlineStr">
        <is>
          <t>VARI-METRIC Bbar_j</t>
        </is>
      </c>
      <c r="B34" s="6">
        <f>INDEX($D$41:$D$65,B32+1)</f>
        <v/>
      </c>
      <c r="C34" s="2" t="inlineStr">
        <is>
          <t>read out of the block below, on both moments</t>
        </is>
      </c>
    </row>
    <row r="35">
      <c r="A35" t="inlineStr">
        <is>
          <t>VARI over METRIC</t>
        </is>
      </c>
      <c r="B35" s="6">
        <f>B34/B33</f>
        <v/>
      </c>
    </row>
    <row r="36">
      <c r="A36" t="inlineStr">
        <is>
          <t>Ibar_j, VARI-METRIC</t>
        </is>
      </c>
      <c r="B36" s="6">
        <f>B32-B22+B34</f>
        <v/>
      </c>
    </row>
    <row r="37">
      <c r="A37" t="inlineStr">
        <is>
          <t>check, Ibar-Bbar-(S-mu)</t>
        </is>
      </c>
      <c r="B37" s="10">
        <f>B36-B34-(B32-B22)</f>
        <v/>
      </c>
      <c r="C37" s="2" t="inlineStr">
        <is>
          <t>an identity, so this reads zero whatever the model</t>
        </is>
      </c>
    </row>
    <row r="38"/>
    <row r="39">
      <c r="A39" s="2" t="inlineStr">
        <is>
          <t>The negative binomial, built by its own recursion. No distribution function is used.</t>
        </is>
      </c>
    </row>
    <row r="40">
      <c r="A40" s="7" t="inlineStr">
        <is>
          <t>x</t>
        </is>
      </c>
      <c r="B40" s="7" t="inlineStr">
        <is>
          <t>g(x)</t>
        </is>
      </c>
      <c r="C40" s="7" t="inlineStr">
        <is>
          <t>G0(x)</t>
        </is>
      </c>
      <c r="D40" s="7" t="inlineStr">
        <is>
          <t>G1(x)</t>
        </is>
      </c>
    </row>
    <row r="41">
      <c r="A41" s="8" t="n">
        <v>0</v>
      </c>
      <c r="B41" s="9">
        <f>$B$27^$B$29</f>
        <v/>
      </c>
      <c r="C41" s="9">
        <f>1-B41</f>
        <v/>
      </c>
      <c r="D41" s="9">
        <f>$B$22</f>
        <v/>
      </c>
    </row>
    <row r="42">
      <c r="A42" s="8" t="n">
        <v>1</v>
      </c>
      <c r="B42" s="9">
        <f>B41*($B$29+A42-1)/A42*(1-$B$27)</f>
        <v/>
      </c>
      <c r="C42" s="9">
        <f>C41-B42</f>
        <v/>
      </c>
      <c r="D42" s="9">
        <f>D41-C41</f>
        <v/>
      </c>
    </row>
    <row r="43">
      <c r="A43" s="8" t="n">
        <v>2</v>
      </c>
      <c r="B43" s="9">
        <f>B42*($B$29+A43-1)/A43*(1-$B$27)</f>
        <v/>
      </c>
      <c r="C43" s="9">
        <f>C42-B43</f>
        <v/>
      </c>
      <c r="D43" s="9">
        <f>D42-C42</f>
        <v/>
      </c>
    </row>
    <row r="44">
      <c r="A44" s="8" t="n">
        <v>3</v>
      </c>
      <c r="B44" s="9">
        <f>B43*($B$29+A44-1)/A44*(1-$B$27)</f>
        <v/>
      </c>
      <c r="C44" s="9">
        <f>C43-B44</f>
        <v/>
      </c>
      <c r="D44" s="9">
        <f>D43-C43</f>
        <v/>
      </c>
    </row>
    <row r="45">
      <c r="A45" s="8" t="n">
        <v>4</v>
      </c>
      <c r="B45" s="9">
        <f>B44*($B$29+A45-1)/A45*(1-$B$27)</f>
        <v/>
      </c>
      <c r="C45" s="9">
        <f>C44-B45</f>
        <v/>
      </c>
      <c r="D45" s="9">
        <f>D44-C44</f>
        <v/>
      </c>
    </row>
    <row r="46">
      <c r="A46" s="8" t="n">
        <v>5</v>
      </c>
      <c r="B46" s="9">
        <f>B45*($B$29+A46-1)/A46*(1-$B$27)</f>
        <v/>
      </c>
      <c r="C46" s="9">
        <f>C45-B46</f>
        <v/>
      </c>
      <c r="D46" s="9">
        <f>D45-C45</f>
        <v/>
      </c>
    </row>
    <row r="47">
      <c r="A47" s="8" t="n">
        <v>6</v>
      </c>
      <c r="B47" s="9">
        <f>B46*($B$29+A47-1)/A47*(1-$B$27)</f>
        <v/>
      </c>
      <c r="C47" s="9">
        <f>C46-B47</f>
        <v/>
      </c>
      <c r="D47" s="9">
        <f>D46-C46</f>
        <v/>
      </c>
    </row>
    <row r="48">
      <c r="A48" s="8" t="n">
        <v>7</v>
      </c>
      <c r="B48" s="9">
        <f>B47*($B$29+A48-1)/A48*(1-$B$27)</f>
        <v/>
      </c>
      <c r="C48" s="9">
        <f>C47-B48</f>
        <v/>
      </c>
      <c r="D48" s="9">
        <f>D47-C47</f>
        <v/>
      </c>
    </row>
    <row r="49">
      <c r="A49" s="8" t="n">
        <v>8</v>
      </c>
      <c r="B49" s="9">
        <f>B48*($B$29+A49-1)/A49*(1-$B$27)</f>
        <v/>
      </c>
      <c r="C49" s="9">
        <f>C48-B49</f>
        <v/>
      </c>
      <c r="D49" s="9">
        <f>D48-C48</f>
        <v/>
      </c>
    </row>
    <row r="50">
      <c r="A50" s="8" t="n">
        <v>9</v>
      </c>
      <c r="B50" s="9">
        <f>B49*($B$29+A50-1)/A50*(1-$B$27)</f>
        <v/>
      </c>
      <c r="C50" s="9">
        <f>C49-B50</f>
        <v/>
      </c>
      <c r="D50" s="9">
        <f>D49-C49</f>
        <v/>
      </c>
    </row>
    <row r="51">
      <c r="A51" s="8" t="n">
        <v>10</v>
      </c>
      <c r="B51" s="9">
        <f>B50*($B$29+A51-1)/A51*(1-$B$27)</f>
        <v/>
      </c>
      <c r="C51" s="9">
        <f>C50-B51</f>
        <v/>
      </c>
      <c r="D51" s="9">
        <f>D50-C50</f>
        <v/>
      </c>
    </row>
    <row r="52">
      <c r="A52" s="8" t="n">
        <v>11</v>
      </c>
      <c r="B52" s="9">
        <f>B51*($B$29+A52-1)/A52*(1-$B$27)</f>
        <v/>
      </c>
      <c r="C52" s="9">
        <f>C51-B52</f>
        <v/>
      </c>
      <c r="D52" s="9">
        <f>D51-C51</f>
        <v/>
      </c>
    </row>
    <row r="53">
      <c r="A53" s="8" t="n">
        <v>12</v>
      </c>
      <c r="B53" s="9">
        <f>B52*($B$29+A53-1)/A53*(1-$B$27)</f>
        <v/>
      </c>
      <c r="C53" s="9">
        <f>C52-B53</f>
        <v/>
      </c>
      <c r="D53" s="9">
        <f>D52-C52</f>
        <v/>
      </c>
    </row>
    <row r="54">
      <c r="A54" s="8" t="n">
        <v>13</v>
      </c>
      <c r="B54" s="9">
        <f>B53*($B$29+A54-1)/A54*(1-$B$27)</f>
        <v/>
      </c>
      <c r="C54" s="9">
        <f>C53-B54</f>
        <v/>
      </c>
      <c r="D54" s="9">
        <f>D53-C53</f>
        <v/>
      </c>
    </row>
    <row r="55">
      <c r="A55" s="8" t="n">
        <v>14</v>
      </c>
      <c r="B55" s="9">
        <f>B54*($B$29+A55-1)/A55*(1-$B$27)</f>
        <v/>
      </c>
      <c r="C55" s="9">
        <f>C54-B55</f>
        <v/>
      </c>
      <c r="D55" s="9">
        <f>D54-C54</f>
        <v/>
      </c>
    </row>
    <row r="56">
      <c r="A56" s="8" t="n">
        <v>15</v>
      </c>
      <c r="B56" s="9">
        <f>B55*($B$29+A56-1)/A56*(1-$B$27)</f>
        <v/>
      </c>
      <c r="C56" s="9">
        <f>C55-B56</f>
        <v/>
      </c>
      <c r="D56" s="9">
        <f>D55-C55</f>
        <v/>
      </c>
    </row>
    <row r="57">
      <c r="A57" s="8" t="n">
        <v>16</v>
      </c>
      <c r="B57" s="9">
        <f>B56*($B$29+A57-1)/A57*(1-$B$27)</f>
        <v/>
      </c>
      <c r="C57" s="9">
        <f>C56-B57</f>
        <v/>
      </c>
      <c r="D57" s="9">
        <f>D56-C56</f>
        <v/>
      </c>
    </row>
    <row r="58">
      <c r="A58" s="8" t="n">
        <v>17</v>
      </c>
      <c r="B58" s="9">
        <f>B57*($B$29+A58-1)/A58*(1-$B$27)</f>
        <v/>
      </c>
      <c r="C58" s="9">
        <f>C57-B58</f>
        <v/>
      </c>
      <c r="D58" s="9">
        <f>D57-C57</f>
        <v/>
      </c>
    </row>
    <row r="59">
      <c r="A59" s="8" t="n">
        <v>18</v>
      </c>
      <c r="B59" s="9">
        <f>B58*($B$29+A59-1)/A59*(1-$B$27)</f>
        <v/>
      </c>
      <c r="C59" s="9">
        <f>C58-B59</f>
        <v/>
      </c>
      <c r="D59" s="9">
        <f>D58-C58</f>
        <v/>
      </c>
    </row>
    <row r="60">
      <c r="A60" s="8" t="n">
        <v>19</v>
      </c>
      <c r="B60" s="9">
        <f>B59*($B$29+A60-1)/A60*(1-$B$27)</f>
        <v/>
      </c>
      <c r="C60" s="9">
        <f>C59-B60</f>
        <v/>
      </c>
      <c r="D60" s="9">
        <f>D59-C59</f>
        <v/>
      </c>
    </row>
    <row r="61">
      <c r="A61" s="8" t="n">
        <v>20</v>
      </c>
      <c r="B61" s="9">
        <f>B60*($B$29+A61-1)/A61*(1-$B$27)</f>
        <v/>
      </c>
      <c r="C61" s="9">
        <f>C60-B61</f>
        <v/>
      </c>
      <c r="D61" s="9">
        <f>D60-C60</f>
        <v/>
      </c>
    </row>
    <row r="62">
      <c r="A62" s="8" t="n">
        <v>21</v>
      </c>
      <c r="B62" s="9">
        <f>B61*($B$29+A62-1)/A62*(1-$B$27)</f>
        <v/>
      </c>
      <c r="C62" s="9">
        <f>C61-B62</f>
        <v/>
      </c>
      <c r="D62" s="9">
        <f>D61-C61</f>
        <v/>
      </c>
    </row>
    <row r="63">
      <c r="A63" s="8" t="n">
        <v>22</v>
      </c>
      <c r="B63" s="9">
        <f>B62*($B$29+A63-1)/A63*(1-$B$27)</f>
        <v/>
      </c>
      <c r="C63" s="9">
        <f>C62-B63</f>
        <v/>
      </c>
      <c r="D63" s="9">
        <f>D62-C62</f>
        <v/>
      </c>
    </row>
    <row r="64">
      <c r="A64" s="8" t="n">
        <v>23</v>
      </c>
      <c r="B64" s="9">
        <f>B63*($B$29+A64-1)/A64*(1-$B$27)</f>
        <v/>
      </c>
      <c r="C64" s="9">
        <f>C63-B64</f>
        <v/>
      </c>
      <c r="D64" s="9">
        <f>D63-C63</f>
        <v/>
      </c>
    </row>
    <row r="65">
      <c r="A65" s="8" t="n">
        <v>24</v>
      </c>
      <c r="B65" s="9">
        <f>B64*($B$29+A65-1)/A65*(1-$B$27)</f>
        <v/>
      </c>
      <c r="C65" s="9">
        <f>C64-B65</f>
        <v/>
      </c>
      <c r="D65" s="9">
        <f>D64-C64</f>
        <v/>
      </c>
    </row>
    <row r="66"/>
    <row r="67">
      <c r="A67" s="2" t="inlineStr">
        <is>
          <t>Total mass below should be 1; the block is walked far enough that it is.</t>
        </is>
      </c>
    </row>
    <row r="68">
      <c r="A68" t="inlineStr">
        <is>
          <t>sum of g(x)</t>
        </is>
      </c>
      <c r="B68" s="9">
        <f>SUM($B$41:$B$65)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7" customWidth="1" min="14" max="14"/>
  </cols>
  <sheetData>
    <row r="1">
      <c r="A1" s="1" t="inlineStr">
        <is>
          <t>Allocating stock across the two levels</t>
        </is>
      </c>
    </row>
    <row r="2">
      <c r="A2" s="2" t="inlineStr">
        <is>
          <t>@sec-multiechelon-allocation, run with METRIC. @sec-multiechelon-build-allocate says why not VARI-METRIC.</t>
        </is>
      </c>
    </row>
    <row r="3"/>
    <row r="4">
      <c r="A4" t="inlineStr">
        <is>
          <t>unit cost</t>
        </is>
      </c>
      <c r="B4" s="11" t="n">
        <v>3800</v>
      </c>
      <c r="C4" s="2" t="inlineStr">
        <is>
          <t>dollars</t>
        </is>
      </c>
    </row>
    <row r="5">
      <c r="A5" s="2" t="inlineStr">
        <is>
          <t>Storerooms are alike, so a plan is a depot level S_0 and a common level s_j.</t>
        </is>
      </c>
    </row>
    <row r="6">
      <c r="A6" s="2" t="inlineStr">
        <is>
          <t>Each column is a way to split the same total. The sheet takes the best.</t>
        </is>
      </c>
    </row>
    <row r="7">
      <c r="A7" s="7" t="inlineStr">
        <is>
          <t>total</t>
        </is>
      </c>
      <c r="B7" s="7" t="inlineStr">
        <is>
          <t>s_j = 0</t>
        </is>
      </c>
      <c r="C7" s="7" t="inlineStr">
        <is>
          <t>s_j = 1</t>
        </is>
      </c>
      <c r="D7" s="7" t="inlineStr">
        <is>
          <t>s_j = 2</t>
        </is>
      </c>
      <c r="E7" s="7" t="inlineStr">
        <is>
          <t>s_j = 3</t>
        </is>
      </c>
      <c r="F7" s="7" t="inlineStr">
        <is>
          <t>s_j = 4</t>
        </is>
      </c>
      <c r="G7" s="7" t="inlineStr">
        <is>
          <t>s_j = 5</t>
        </is>
      </c>
      <c r="H7" s="7" t="inlineStr">
        <is>
          <t>s_j = 6</t>
        </is>
      </c>
      <c r="I7" s="7" t="inlineStr">
        <is>
          <t>best EBO</t>
        </is>
      </c>
      <c r="J7" s="7" t="inlineStr">
        <is>
          <t>best s_j</t>
        </is>
      </c>
      <c r="K7" s="7" t="inlineStr">
        <is>
          <t>best S_0</t>
        </is>
      </c>
      <c r="L7" s="7" t="inlineStr">
        <is>
          <t>reduction</t>
        </is>
      </c>
      <c r="M7" s="7" t="inlineStr">
        <is>
          <t>convex?</t>
        </is>
      </c>
      <c r="N7" s="7" t="inlineStr">
        <is>
          <t>delta per $1,000</t>
        </is>
      </c>
    </row>
    <row r="8">
      <c r="A8" s="8" t="n">
        <v>0</v>
      </c>
      <c r="B8" s="6">
        <f>Depot!$B$6*((Depot!$B$5*(Depot!$B$7*Depot!$B$8+(1-Depot!$B$7)*Depot!$B$9)/365+INDEX(DepotLoss,1)/Depot!$B$6))</f>
        <v/>
      </c>
      <c r="C8" s="12" t="inlineStr"/>
      <c r="D8" s="12" t="inlineStr"/>
      <c r="E8" s="12" t="inlineStr"/>
      <c r="F8" s="12" t="inlineStr"/>
      <c r="G8" s="12" t="inlineStr"/>
      <c r="H8" s="12" t="inlineStr"/>
      <c r="I8" s="13">
        <f>MIN(B8:H8)</f>
        <v/>
      </c>
      <c r="J8" s="14">
        <f>MATCH(I8,B8:H8,0)-1</f>
        <v/>
      </c>
      <c r="K8" s="14">
        <f>A8-Depot!$B$6*J8</f>
        <v/>
      </c>
      <c r="L8" s="6" t="inlineStr"/>
      <c r="M8" s="14" t="inlineStr"/>
      <c r="N8" s="6" t="inlineStr"/>
    </row>
    <row r="9">
      <c r="A9" s="8" t="n">
        <v>1</v>
      </c>
      <c r="B9" s="6">
        <f>Depot!$B$6*((Depot!$B$5*(Depot!$B$7*Depot!$B$8+(1-Depot!$B$7)*Depot!$B$9)/365+INDEX(DepotLoss,2)/Depot!$B$6))</f>
        <v/>
      </c>
      <c r="C9" s="12" t="inlineStr"/>
      <c r="D9" s="12" t="inlineStr"/>
      <c r="E9" s="12" t="inlineStr"/>
      <c r="F9" s="12" t="inlineStr"/>
      <c r="G9" s="12" t="inlineStr"/>
      <c r="H9" s="12" t="inlineStr"/>
      <c r="I9" s="13">
        <f>MIN(B9:H9)</f>
        <v/>
      </c>
      <c r="J9" s="14">
        <f>MATCH(I9,B9:H9,0)-1</f>
        <v/>
      </c>
      <c r="K9" s="14">
        <f>A9-Depot!$B$6*J9</f>
        <v/>
      </c>
      <c r="L9" s="6">
        <f>I8-I9</f>
        <v/>
      </c>
      <c r="M9" s="14">
        <f>IF(OR(L9="",L10=""),"",IF(L10&gt;L9,"drop",""))</f>
        <v/>
      </c>
      <c r="N9" s="6">
        <f>L9/($B$4/1000)</f>
        <v/>
      </c>
    </row>
    <row r="10">
      <c r="A10" s="8" t="n">
        <v>2</v>
      </c>
      <c r="B10" s="6">
        <f>Depot!$B$6*((Depot!$B$5*(Depot!$B$7*Depot!$B$8+(1-Depot!$B$7)*Depot!$B$9)/365+INDEX(DepotLoss,3)/Depot!$B$6))</f>
        <v/>
      </c>
      <c r="C10" s="12" t="inlineStr"/>
      <c r="D10" s="12" t="inlineStr"/>
      <c r="E10" s="12" t="inlineStr"/>
      <c r="F10" s="12" t="inlineStr"/>
      <c r="G10" s="12" t="inlineStr"/>
      <c r="H10" s="12" t="inlineStr"/>
      <c r="I10" s="13">
        <f>MIN(B10:H10)</f>
        <v/>
      </c>
      <c r="J10" s="14">
        <f>MATCH(I10,B10:H10,0)-1</f>
        <v/>
      </c>
      <c r="K10" s="14">
        <f>A10-Depot!$B$6*J10</f>
        <v/>
      </c>
      <c r="L10" s="6">
        <f>I9-I10</f>
        <v/>
      </c>
      <c r="M10" s="14">
        <f>IF(OR(L10="",L11=""),"",IF(L11&gt;L10,"drop",""))</f>
        <v/>
      </c>
      <c r="N10" s="6">
        <f>L10/($B$4/1000)</f>
        <v/>
      </c>
    </row>
    <row r="11">
      <c r="A11" s="8" t="n">
        <v>3</v>
      </c>
      <c r="B11" s="6">
        <f>Depot!$B$6*((Depot!$B$5*(Depot!$B$7*Depot!$B$8+(1-Depot!$B$7)*Depot!$B$9)/365+INDEX(DepotLoss,4)/Depot!$B$6))</f>
        <v/>
      </c>
      <c r="C11" s="12" t="inlineStr"/>
      <c r="D11" s="12" t="inlineStr"/>
      <c r="E11" s="12" t="inlineStr"/>
      <c r="F11" s="12" t="inlineStr"/>
      <c r="G11" s="12" t="inlineStr"/>
      <c r="H11" s="12" t="inlineStr"/>
      <c r="I11" s="13">
        <f>MIN(B11:H11)</f>
        <v/>
      </c>
      <c r="J11" s="14">
        <f>MATCH(I11,B11:H11,0)-1</f>
        <v/>
      </c>
      <c r="K11" s="14">
        <f>A11-Depot!$B$6*J11</f>
        <v/>
      </c>
      <c r="L11" s="6">
        <f>I10-I11</f>
        <v/>
      </c>
      <c r="M11" s="14">
        <f>IF(OR(L11="",L12=""),"",IF(L12&gt;L11,"drop",""))</f>
        <v/>
      </c>
      <c r="N11" s="6">
        <f>L11/($B$4/1000)</f>
        <v/>
      </c>
    </row>
    <row r="12">
      <c r="A12" s="8" t="n">
        <v>4</v>
      </c>
      <c r="B12" s="6">
        <f>Depot!$B$6*((Depot!$B$5*(Depot!$B$7*Depot!$B$8+(1-Depot!$B$7)*Depot!$B$9)/365+INDEX(DepotLoss,5)/Depot!$B$6))</f>
        <v/>
      </c>
      <c r="C12" s="6">
        <f>Depot!$B$6*((Depot!$B$5*(Depot!$B$7*Depot!$B$8+(1-Depot!$B$7)*Depot!$B$9)/365+INDEX(DepotLoss,1)/Depot!$B$6)*(1-_xlfn.POISSON.DIST(0,(Depot!$B$5*(Depot!$B$7*Depot!$B$8+(1-Depot!$B$7)*Depot!$B$9)/365+INDEX(DepotLoss,1)/Depot!$B$6),TRUE))-1*(1-_xlfn.POISSON.DIST(1,(Depot!$B$5*(Depot!$B$7*Depot!$B$8+(1-Depot!$B$7)*Depot!$B$9)/365+INDEX(DepotLoss,1)/Depot!$B$6),TRUE)))</f>
        <v/>
      </c>
      <c r="D12" s="12" t="inlineStr"/>
      <c r="E12" s="12" t="inlineStr"/>
      <c r="F12" s="12" t="inlineStr"/>
      <c r="G12" s="12" t="inlineStr"/>
      <c r="H12" s="12" t="inlineStr"/>
      <c r="I12" s="13">
        <f>MIN(B12:H12)</f>
        <v/>
      </c>
      <c r="J12" s="14">
        <f>MATCH(I12,B12:H12,0)-1</f>
        <v/>
      </c>
      <c r="K12" s="14">
        <f>A12-Depot!$B$6*J12</f>
        <v/>
      </c>
      <c r="L12" s="6">
        <f>I11-I12</f>
        <v/>
      </c>
      <c r="M12" s="14">
        <f>IF(OR(L12="",L13=""),"",IF(L13&gt;L12,"drop",""))</f>
        <v/>
      </c>
      <c r="N12" s="6">
        <f>L12/($B$4/1000)</f>
        <v/>
      </c>
    </row>
    <row r="13">
      <c r="A13" s="8" t="n">
        <v>5</v>
      </c>
      <c r="B13" s="6">
        <f>Depot!$B$6*((Depot!$B$5*(Depot!$B$7*Depot!$B$8+(1-Depot!$B$7)*Depot!$B$9)/365+INDEX(DepotLoss,6)/Depot!$B$6))</f>
        <v/>
      </c>
      <c r="C13" s="6">
        <f>Depot!$B$6*((Depot!$B$5*(Depot!$B$7*Depot!$B$8+(1-Depot!$B$7)*Depot!$B$9)/365+INDEX(DepotLoss,2)/Depot!$B$6)*(1-_xlfn.POISSON.DIST(0,(Depot!$B$5*(Depot!$B$7*Depot!$B$8+(1-Depot!$B$7)*Depot!$B$9)/365+INDEX(DepotLoss,2)/Depot!$B$6),TRUE))-1*(1-_xlfn.POISSON.DIST(1,(Depot!$B$5*(Depot!$B$7*Depot!$B$8+(1-Depot!$B$7)*Depot!$B$9)/365+INDEX(DepotLoss,2)/Depot!$B$6),TRUE)))</f>
        <v/>
      </c>
      <c r="D13" s="12" t="inlineStr"/>
      <c r="E13" s="12" t="inlineStr"/>
      <c r="F13" s="12" t="inlineStr"/>
      <c r="G13" s="12" t="inlineStr"/>
      <c r="H13" s="12" t="inlineStr"/>
      <c r="I13" s="13">
        <f>MIN(B13:H13)</f>
        <v/>
      </c>
      <c r="J13" s="14">
        <f>MATCH(I13,B13:H13,0)-1</f>
        <v/>
      </c>
      <c r="K13" s="14">
        <f>A13-Depot!$B$6*J13</f>
        <v/>
      </c>
      <c r="L13" s="6">
        <f>I12-I13</f>
        <v/>
      </c>
      <c r="M13" s="14">
        <f>IF(OR(L13="",L14=""),"",IF(L14&gt;L13,"drop",""))</f>
        <v/>
      </c>
      <c r="N13" s="6">
        <f>L13/($B$4/1000)</f>
        <v/>
      </c>
    </row>
    <row r="14">
      <c r="A14" s="8" t="n">
        <v>6</v>
      </c>
      <c r="B14" s="6">
        <f>Depot!$B$6*((Depot!$B$5*(Depot!$B$7*Depot!$B$8+(1-Depot!$B$7)*Depot!$B$9)/365+INDEX(DepotLoss,7)/Depot!$B$6))</f>
        <v/>
      </c>
      <c r="C14" s="6">
        <f>Depot!$B$6*((Depot!$B$5*(Depot!$B$7*Depot!$B$8+(1-Depot!$B$7)*Depot!$B$9)/365+INDEX(DepotLoss,3)/Depot!$B$6)*(1-_xlfn.POISSON.DIST(0,(Depot!$B$5*(Depot!$B$7*Depot!$B$8+(1-Depot!$B$7)*Depot!$B$9)/365+INDEX(DepotLoss,3)/Depot!$B$6),TRUE))-1*(1-_xlfn.POISSON.DIST(1,(Depot!$B$5*(Depot!$B$7*Depot!$B$8+(1-Depot!$B$7)*Depot!$B$9)/365+INDEX(DepotLoss,3)/Depot!$B$6),TRUE)))</f>
        <v/>
      </c>
      <c r="D14" s="12" t="inlineStr"/>
      <c r="E14" s="12" t="inlineStr"/>
      <c r="F14" s="12" t="inlineStr"/>
      <c r="G14" s="12" t="inlineStr"/>
      <c r="H14" s="12" t="inlineStr"/>
      <c r="I14" s="13">
        <f>MIN(B14:H14)</f>
        <v/>
      </c>
      <c r="J14" s="14">
        <f>MATCH(I14,B14:H14,0)-1</f>
        <v/>
      </c>
      <c r="K14" s="14">
        <f>A14-Depot!$B$6*J14</f>
        <v/>
      </c>
      <c r="L14" s="6">
        <f>I13-I14</f>
        <v/>
      </c>
      <c r="M14" s="14">
        <f>IF(OR(L14="",L15=""),"",IF(L15&gt;L14,"drop",""))</f>
        <v/>
      </c>
      <c r="N14" s="6">
        <f>L14/($B$4/1000)</f>
        <v/>
      </c>
    </row>
    <row r="15">
      <c r="A15" s="8" t="n">
        <v>7</v>
      </c>
      <c r="B15" s="6">
        <f>Depot!$B$6*((Depot!$B$5*(Depot!$B$7*Depot!$B$8+(1-Depot!$B$7)*Depot!$B$9)/365+INDEX(DepotLoss,8)/Depot!$B$6))</f>
        <v/>
      </c>
      <c r="C15" s="6">
        <f>Depot!$B$6*((Depot!$B$5*(Depot!$B$7*Depot!$B$8+(1-Depot!$B$7)*Depot!$B$9)/365+INDEX(DepotLoss,4)/Depot!$B$6)*(1-_xlfn.POISSON.DIST(0,(Depot!$B$5*(Depot!$B$7*Depot!$B$8+(1-Depot!$B$7)*Depot!$B$9)/365+INDEX(DepotLoss,4)/Depot!$B$6),TRUE))-1*(1-_xlfn.POISSON.DIST(1,(Depot!$B$5*(Depot!$B$7*Depot!$B$8+(1-Depot!$B$7)*Depot!$B$9)/365+INDEX(DepotLoss,4)/Depot!$B$6),TRUE)))</f>
        <v/>
      </c>
      <c r="D15" s="12" t="inlineStr"/>
      <c r="E15" s="12" t="inlineStr"/>
      <c r="F15" s="12" t="inlineStr"/>
      <c r="G15" s="12" t="inlineStr"/>
      <c r="H15" s="12" t="inlineStr"/>
      <c r="I15" s="13">
        <f>MIN(B15:H15)</f>
        <v/>
      </c>
      <c r="J15" s="14">
        <f>MATCH(I15,B15:H15,0)-1</f>
        <v/>
      </c>
      <c r="K15" s="14">
        <f>A15-Depot!$B$6*J15</f>
        <v/>
      </c>
      <c r="L15" s="6">
        <f>I14-I15</f>
        <v/>
      </c>
      <c r="M15" s="14">
        <f>IF(OR(L15="",L16=""),"",IF(L16&gt;L15,"drop",""))</f>
        <v/>
      </c>
      <c r="N15" s="6">
        <f>L15/($B$4/1000)</f>
        <v/>
      </c>
    </row>
    <row r="16">
      <c r="A16" s="8" t="n">
        <v>8</v>
      </c>
      <c r="B16" s="6">
        <f>Depot!$B$6*((Depot!$B$5*(Depot!$B$7*Depot!$B$8+(1-Depot!$B$7)*Depot!$B$9)/365+INDEX(DepotLoss,9)/Depot!$B$6))</f>
        <v/>
      </c>
      <c r="C16" s="6">
        <f>Depot!$B$6*((Depot!$B$5*(Depot!$B$7*Depot!$B$8+(1-Depot!$B$7)*Depot!$B$9)/365+INDEX(DepotLoss,5)/Depot!$B$6)*(1-_xlfn.POISSON.DIST(0,(Depot!$B$5*(Depot!$B$7*Depot!$B$8+(1-Depot!$B$7)*Depot!$B$9)/365+INDEX(DepotLoss,5)/Depot!$B$6),TRUE))-1*(1-_xlfn.POISSON.DIST(1,(Depot!$B$5*(Depot!$B$7*Depot!$B$8+(1-Depot!$B$7)*Depot!$B$9)/365+INDEX(DepotLoss,5)/Depot!$B$6),TRUE)))</f>
        <v/>
      </c>
      <c r="D16" s="6">
        <f>Depot!$B$6*((Depot!$B$5*(Depot!$B$7*Depot!$B$8+(1-Depot!$B$7)*Depot!$B$9)/365+INDEX(DepotLoss,1)/Depot!$B$6)*(1-_xlfn.POISSON.DIST(1,(Depot!$B$5*(Depot!$B$7*Depot!$B$8+(1-Depot!$B$7)*Depot!$B$9)/365+INDEX(DepotLoss,1)/Depot!$B$6),TRUE))-2*(1-_xlfn.POISSON.DIST(2,(Depot!$B$5*(Depot!$B$7*Depot!$B$8+(1-Depot!$B$7)*Depot!$B$9)/365+INDEX(DepotLoss,1)/Depot!$B$6),TRUE)))</f>
        <v/>
      </c>
      <c r="E16" s="12" t="inlineStr"/>
      <c r="F16" s="12" t="inlineStr"/>
      <c r="G16" s="12" t="inlineStr"/>
      <c r="H16" s="12" t="inlineStr"/>
      <c r="I16" s="13">
        <f>MIN(B16:H16)</f>
        <v/>
      </c>
      <c r="J16" s="14">
        <f>MATCH(I16,B16:H16,0)-1</f>
        <v/>
      </c>
      <c r="K16" s="14">
        <f>A16-Depot!$B$6*J16</f>
        <v/>
      </c>
      <c r="L16" s="6">
        <f>I15-I16</f>
        <v/>
      </c>
      <c r="M16" s="14">
        <f>IF(OR(L16="",L17=""),"",IF(L17&gt;L16,"drop",""))</f>
        <v/>
      </c>
      <c r="N16" s="6">
        <f>L16/($B$4/1000)</f>
        <v/>
      </c>
    </row>
    <row r="17">
      <c r="A17" s="8" t="n">
        <v>9</v>
      </c>
      <c r="B17" s="6">
        <f>Depot!$B$6*((Depot!$B$5*(Depot!$B$7*Depot!$B$8+(1-Depot!$B$7)*Depot!$B$9)/365+INDEX(DepotLoss,10)/Depot!$B$6))</f>
        <v/>
      </c>
      <c r="C17" s="6">
        <f>Depot!$B$6*((Depot!$B$5*(Depot!$B$7*Depot!$B$8+(1-Depot!$B$7)*Depot!$B$9)/365+INDEX(DepotLoss,6)/Depot!$B$6)*(1-_xlfn.POISSON.DIST(0,(Depot!$B$5*(Depot!$B$7*Depot!$B$8+(1-Depot!$B$7)*Depot!$B$9)/365+INDEX(DepotLoss,6)/Depot!$B$6),TRUE))-1*(1-_xlfn.POISSON.DIST(1,(Depot!$B$5*(Depot!$B$7*Depot!$B$8+(1-Depot!$B$7)*Depot!$B$9)/365+INDEX(DepotLoss,6)/Depot!$B$6),TRUE)))</f>
        <v/>
      </c>
      <c r="D17" s="6">
        <f>Depot!$B$6*((Depot!$B$5*(Depot!$B$7*Depot!$B$8+(1-Depot!$B$7)*Depot!$B$9)/365+INDEX(DepotLoss,2)/Depot!$B$6)*(1-_xlfn.POISSON.DIST(1,(Depot!$B$5*(Depot!$B$7*Depot!$B$8+(1-Depot!$B$7)*Depot!$B$9)/365+INDEX(DepotLoss,2)/Depot!$B$6),TRUE))-2*(1-_xlfn.POISSON.DIST(2,(Depot!$B$5*(Depot!$B$7*Depot!$B$8+(1-Depot!$B$7)*Depot!$B$9)/365+INDEX(DepotLoss,2)/Depot!$B$6),TRUE)))</f>
        <v/>
      </c>
      <c r="E17" s="12" t="inlineStr"/>
      <c r="F17" s="12" t="inlineStr"/>
      <c r="G17" s="12" t="inlineStr"/>
      <c r="H17" s="12" t="inlineStr"/>
      <c r="I17" s="13">
        <f>MIN(B17:H17)</f>
        <v/>
      </c>
      <c r="J17" s="14">
        <f>MATCH(I17,B17:H17,0)-1</f>
        <v/>
      </c>
      <c r="K17" s="14">
        <f>A17-Depot!$B$6*J17</f>
        <v/>
      </c>
      <c r="L17" s="6">
        <f>I16-I17</f>
        <v/>
      </c>
      <c r="M17" s="14">
        <f>IF(OR(L17="",L18=""),"",IF(L18&gt;L17,"drop",""))</f>
        <v/>
      </c>
      <c r="N17" s="6">
        <f>L17/($B$4/1000)</f>
        <v/>
      </c>
    </row>
    <row r="18">
      <c r="A18" s="8" t="n">
        <v>10</v>
      </c>
      <c r="B18" s="6">
        <f>Depot!$B$6*((Depot!$B$5*(Depot!$B$7*Depot!$B$8+(1-Depot!$B$7)*Depot!$B$9)/365+INDEX(DepotLoss,11)/Depot!$B$6))</f>
        <v/>
      </c>
      <c r="C18" s="6">
        <f>Depot!$B$6*((Depot!$B$5*(Depot!$B$7*Depot!$B$8+(1-Depot!$B$7)*Depot!$B$9)/365+INDEX(DepotLoss,7)/Depot!$B$6)*(1-_xlfn.POISSON.DIST(0,(Depot!$B$5*(Depot!$B$7*Depot!$B$8+(1-Depot!$B$7)*Depot!$B$9)/365+INDEX(DepotLoss,7)/Depot!$B$6),TRUE))-1*(1-_xlfn.POISSON.DIST(1,(Depot!$B$5*(Depot!$B$7*Depot!$B$8+(1-Depot!$B$7)*Depot!$B$9)/365+INDEX(DepotLoss,7)/Depot!$B$6),TRUE)))</f>
        <v/>
      </c>
      <c r="D18" s="6">
        <f>Depot!$B$6*((Depot!$B$5*(Depot!$B$7*Depot!$B$8+(1-Depot!$B$7)*Depot!$B$9)/365+INDEX(DepotLoss,3)/Depot!$B$6)*(1-_xlfn.POISSON.DIST(1,(Depot!$B$5*(Depot!$B$7*Depot!$B$8+(1-Depot!$B$7)*Depot!$B$9)/365+INDEX(DepotLoss,3)/Depot!$B$6),TRUE))-2*(1-_xlfn.POISSON.DIST(2,(Depot!$B$5*(Depot!$B$7*Depot!$B$8+(1-Depot!$B$7)*Depot!$B$9)/365+INDEX(DepotLoss,3)/Depot!$B$6),TRUE)))</f>
        <v/>
      </c>
      <c r="E18" s="12" t="inlineStr"/>
      <c r="F18" s="12" t="inlineStr"/>
      <c r="G18" s="12" t="inlineStr"/>
      <c r="H18" s="12" t="inlineStr"/>
      <c r="I18" s="13">
        <f>MIN(B18:H18)</f>
        <v/>
      </c>
      <c r="J18" s="14">
        <f>MATCH(I18,B18:H18,0)-1</f>
        <v/>
      </c>
      <c r="K18" s="14">
        <f>A18-Depot!$B$6*J18</f>
        <v/>
      </c>
      <c r="L18" s="6">
        <f>I17-I18</f>
        <v/>
      </c>
      <c r="M18" s="14">
        <f>IF(OR(L18="",L19=""),"",IF(L19&gt;L18,"drop",""))</f>
        <v/>
      </c>
      <c r="N18" s="6">
        <f>L18/($B$4/1000)</f>
        <v/>
      </c>
    </row>
    <row r="19">
      <c r="A19" s="8" t="n">
        <v>11</v>
      </c>
      <c r="B19" s="6">
        <f>Depot!$B$6*((Depot!$B$5*(Depot!$B$7*Depot!$B$8+(1-Depot!$B$7)*Depot!$B$9)/365+INDEX(DepotLoss,12)/Depot!$B$6))</f>
        <v/>
      </c>
      <c r="C19" s="6">
        <f>Depot!$B$6*((Depot!$B$5*(Depot!$B$7*Depot!$B$8+(1-Depot!$B$7)*Depot!$B$9)/365+INDEX(DepotLoss,8)/Depot!$B$6)*(1-_xlfn.POISSON.DIST(0,(Depot!$B$5*(Depot!$B$7*Depot!$B$8+(1-Depot!$B$7)*Depot!$B$9)/365+INDEX(DepotLoss,8)/Depot!$B$6),TRUE))-1*(1-_xlfn.POISSON.DIST(1,(Depot!$B$5*(Depot!$B$7*Depot!$B$8+(1-Depot!$B$7)*Depot!$B$9)/365+INDEX(DepotLoss,8)/Depot!$B$6),TRUE)))</f>
        <v/>
      </c>
      <c r="D19" s="6">
        <f>Depot!$B$6*((Depot!$B$5*(Depot!$B$7*Depot!$B$8+(1-Depot!$B$7)*Depot!$B$9)/365+INDEX(DepotLoss,4)/Depot!$B$6)*(1-_xlfn.POISSON.DIST(1,(Depot!$B$5*(Depot!$B$7*Depot!$B$8+(1-Depot!$B$7)*Depot!$B$9)/365+INDEX(DepotLoss,4)/Depot!$B$6),TRUE))-2*(1-_xlfn.POISSON.DIST(2,(Depot!$B$5*(Depot!$B$7*Depot!$B$8+(1-Depot!$B$7)*Depot!$B$9)/365+INDEX(DepotLoss,4)/Depot!$B$6),TRUE)))</f>
        <v/>
      </c>
      <c r="E19" s="12" t="inlineStr"/>
      <c r="F19" s="12" t="inlineStr"/>
      <c r="G19" s="12" t="inlineStr"/>
      <c r="H19" s="12" t="inlineStr"/>
      <c r="I19" s="13">
        <f>MIN(B19:H19)</f>
        <v/>
      </c>
      <c r="J19" s="14">
        <f>MATCH(I19,B19:H19,0)-1</f>
        <v/>
      </c>
      <c r="K19" s="14">
        <f>A19-Depot!$B$6*J19</f>
        <v/>
      </c>
      <c r="L19" s="6">
        <f>I18-I19</f>
        <v/>
      </c>
      <c r="M19" s="14">
        <f>IF(OR(L19="",L20=""),"",IF(L20&gt;L19,"drop",""))</f>
        <v/>
      </c>
      <c r="N19" s="6">
        <f>L19/($B$4/1000)</f>
        <v/>
      </c>
    </row>
    <row r="20">
      <c r="A20" s="8" t="n">
        <v>12</v>
      </c>
      <c r="B20" s="6">
        <f>Depot!$B$6*((Depot!$B$5*(Depot!$B$7*Depot!$B$8+(1-Depot!$B$7)*Depot!$B$9)/365+INDEX(DepotLoss,13)/Depot!$B$6))</f>
        <v/>
      </c>
      <c r="C20" s="6">
        <f>Depot!$B$6*((Depot!$B$5*(Depot!$B$7*Depot!$B$8+(1-Depot!$B$7)*Depot!$B$9)/365+INDEX(DepotLoss,9)/Depot!$B$6)*(1-_xlfn.POISSON.DIST(0,(Depot!$B$5*(Depot!$B$7*Depot!$B$8+(1-Depot!$B$7)*Depot!$B$9)/365+INDEX(DepotLoss,9)/Depot!$B$6),TRUE))-1*(1-_xlfn.POISSON.DIST(1,(Depot!$B$5*(Depot!$B$7*Depot!$B$8+(1-Depot!$B$7)*Depot!$B$9)/365+INDEX(DepotLoss,9)/Depot!$B$6),TRUE)))</f>
        <v/>
      </c>
      <c r="D20" s="6">
        <f>Depot!$B$6*((Depot!$B$5*(Depot!$B$7*Depot!$B$8+(1-Depot!$B$7)*Depot!$B$9)/365+INDEX(DepotLoss,5)/Depot!$B$6)*(1-_xlfn.POISSON.DIST(1,(Depot!$B$5*(Depot!$B$7*Depot!$B$8+(1-Depot!$B$7)*Depot!$B$9)/365+INDEX(DepotLoss,5)/Depot!$B$6),TRUE))-2*(1-_xlfn.POISSON.DIST(2,(Depot!$B$5*(Depot!$B$7*Depot!$B$8+(1-Depot!$B$7)*Depot!$B$9)/365+INDEX(DepotLoss,5)/Depot!$B$6),TRUE)))</f>
        <v/>
      </c>
      <c r="E20" s="6">
        <f>Depot!$B$6*((Depot!$B$5*(Depot!$B$7*Depot!$B$8+(1-Depot!$B$7)*Depot!$B$9)/365+INDEX(DepotLoss,1)/Depot!$B$6)*(1-_xlfn.POISSON.DIST(2,(Depot!$B$5*(Depot!$B$7*Depot!$B$8+(1-Depot!$B$7)*Depot!$B$9)/365+INDEX(DepotLoss,1)/Depot!$B$6),TRUE))-3*(1-_xlfn.POISSON.DIST(3,(Depot!$B$5*(Depot!$B$7*Depot!$B$8+(1-Depot!$B$7)*Depot!$B$9)/365+INDEX(DepotLoss,1)/Depot!$B$6),TRUE)))</f>
        <v/>
      </c>
      <c r="F20" s="12" t="inlineStr"/>
      <c r="G20" s="12" t="inlineStr"/>
      <c r="H20" s="12" t="inlineStr"/>
      <c r="I20" s="13">
        <f>MIN(B20:H20)</f>
        <v/>
      </c>
      <c r="J20" s="14">
        <f>MATCH(I20,B20:H20,0)-1</f>
        <v/>
      </c>
      <c r="K20" s="14">
        <f>A20-Depot!$B$6*J20</f>
        <v/>
      </c>
      <c r="L20" s="6">
        <f>I19-I20</f>
        <v/>
      </c>
      <c r="M20" s="14">
        <f>IF(OR(L20="",L21=""),"",IF(L21&gt;L20,"drop",""))</f>
        <v/>
      </c>
      <c r="N20" s="6">
        <f>L20/($B$4/1000)</f>
        <v/>
      </c>
    </row>
    <row r="21">
      <c r="A21" s="8" t="n">
        <v>13</v>
      </c>
      <c r="B21" s="6">
        <f>Depot!$B$6*((Depot!$B$5*(Depot!$B$7*Depot!$B$8+(1-Depot!$B$7)*Depot!$B$9)/365+INDEX(DepotLoss,14)/Depot!$B$6))</f>
        <v/>
      </c>
      <c r="C21" s="6">
        <f>Depot!$B$6*((Depot!$B$5*(Depot!$B$7*Depot!$B$8+(1-Depot!$B$7)*Depot!$B$9)/365+INDEX(DepotLoss,10)/Depot!$B$6)*(1-_xlfn.POISSON.DIST(0,(Depot!$B$5*(Depot!$B$7*Depot!$B$8+(1-Depot!$B$7)*Depot!$B$9)/365+INDEX(DepotLoss,10)/Depot!$B$6),TRUE))-1*(1-_xlfn.POISSON.DIST(1,(Depot!$B$5*(Depot!$B$7*Depot!$B$8+(1-Depot!$B$7)*Depot!$B$9)/365+INDEX(DepotLoss,10)/Depot!$B$6),TRUE)))</f>
        <v/>
      </c>
      <c r="D21" s="6">
        <f>Depot!$B$6*((Depot!$B$5*(Depot!$B$7*Depot!$B$8+(1-Depot!$B$7)*Depot!$B$9)/365+INDEX(DepotLoss,6)/Depot!$B$6)*(1-_xlfn.POISSON.DIST(1,(Depot!$B$5*(Depot!$B$7*Depot!$B$8+(1-Depot!$B$7)*Depot!$B$9)/365+INDEX(DepotLoss,6)/Depot!$B$6),TRUE))-2*(1-_xlfn.POISSON.DIST(2,(Depot!$B$5*(Depot!$B$7*Depot!$B$8+(1-Depot!$B$7)*Depot!$B$9)/365+INDEX(DepotLoss,6)/Depot!$B$6),TRUE)))</f>
        <v/>
      </c>
      <c r="E21" s="6">
        <f>Depot!$B$6*((Depot!$B$5*(Depot!$B$7*Depot!$B$8+(1-Depot!$B$7)*Depot!$B$9)/365+INDEX(DepotLoss,2)/Depot!$B$6)*(1-_xlfn.POISSON.DIST(2,(Depot!$B$5*(Depot!$B$7*Depot!$B$8+(1-Depot!$B$7)*Depot!$B$9)/365+INDEX(DepotLoss,2)/Depot!$B$6),TRUE))-3*(1-_xlfn.POISSON.DIST(3,(Depot!$B$5*(Depot!$B$7*Depot!$B$8+(1-Depot!$B$7)*Depot!$B$9)/365+INDEX(DepotLoss,2)/Depot!$B$6),TRUE)))</f>
        <v/>
      </c>
      <c r="F21" s="12" t="inlineStr"/>
      <c r="G21" s="12" t="inlineStr"/>
      <c r="H21" s="12" t="inlineStr"/>
      <c r="I21" s="13">
        <f>MIN(B21:H21)</f>
        <v/>
      </c>
      <c r="J21" s="14">
        <f>MATCH(I21,B21:H21,0)-1</f>
        <v/>
      </c>
      <c r="K21" s="14">
        <f>A21-Depot!$B$6*J21</f>
        <v/>
      </c>
      <c r="L21" s="6">
        <f>I20-I21</f>
        <v/>
      </c>
      <c r="M21" s="14">
        <f>IF(OR(L21="",L22=""),"",IF(L22&gt;L21,"drop",""))</f>
        <v/>
      </c>
      <c r="N21" s="6">
        <f>L21/($B$4/1000)</f>
        <v/>
      </c>
    </row>
    <row r="22">
      <c r="A22" s="8" t="n">
        <v>14</v>
      </c>
      <c r="B22" s="6">
        <f>Depot!$B$6*((Depot!$B$5*(Depot!$B$7*Depot!$B$8+(1-Depot!$B$7)*Depot!$B$9)/365+INDEX(DepotLoss,15)/Depot!$B$6))</f>
        <v/>
      </c>
      <c r="C22" s="6">
        <f>Depot!$B$6*((Depot!$B$5*(Depot!$B$7*Depot!$B$8+(1-Depot!$B$7)*Depot!$B$9)/365+INDEX(DepotLoss,11)/Depot!$B$6)*(1-_xlfn.POISSON.DIST(0,(Depot!$B$5*(Depot!$B$7*Depot!$B$8+(1-Depot!$B$7)*Depot!$B$9)/365+INDEX(DepotLoss,11)/Depot!$B$6),TRUE))-1*(1-_xlfn.POISSON.DIST(1,(Depot!$B$5*(Depot!$B$7*Depot!$B$8+(1-Depot!$B$7)*Depot!$B$9)/365+INDEX(DepotLoss,11)/Depot!$B$6),TRUE)))</f>
        <v/>
      </c>
      <c r="D22" s="6">
        <f>Depot!$B$6*((Depot!$B$5*(Depot!$B$7*Depot!$B$8+(1-Depot!$B$7)*Depot!$B$9)/365+INDEX(DepotLoss,7)/Depot!$B$6)*(1-_xlfn.POISSON.DIST(1,(Depot!$B$5*(Depot!$B$7*Depot!$B$8+(1-Depot!$B$7)*Depot!$B$9)/365+INDEX(DepotLoss,7)/Depot!$B$6),TRUE))-2*(1-_xlfn.POISSON.DIST(2,(Depot!$B$5*(Depot!$B$7*Depot!$B$8+(1-Depot!$B$7)*Depot!$B$9)/365+INDEX(DepotLoss,7)/Depot!$B$6),TRUE)))</f>
        <v/>
      </c>
      <c r="E22" s="6">
        <f>Depot!$B$6*((Depot!$B$5*(Depot!$B$7*Depot!$B$8+(1-Depot!$B$7)*Depot!$B$9)/365+INDEX(DepotLoss,3)/Depot!$B$6)*(1-_xlfn.POISSON.DIST(2,(Depot!$B$5*(Depot!$B$7*Depot!$B$8+(1-Depot!$B$7)*Depot!$B$9)/365+INDEX(DepotLoss,3)/Depot!$B$6),TRUE))-3*(1-_xlfn.POISSON.DIST(3,(Depot!$B$5*(Depot!$B$7*Depot!$B$8+(1-Depot!$B$7)*Depot!$B$9)/365+INDEX(DepotLoss,3)/Depot!$B$6),TRUE)))</f>
        <v/>
      </c>
      <c r="F22" s="12" t="inlineStr"/>
      <c r="G22" s="12" t="inlineStr"/>
      <c r="H22" s="12" t="inlineStr"/>
      <c r="I22" s="13">
        <f>MIN(B22:H22)</f>
        <v/>
      </c>
      <c r="J22" s="14">
        <f>MATCH(I22,B22:H22,0)-1</f>
        <v/>
      </c>
      <c r="K22" s="14">
        <f>A22-Depot!$B$6*J22</f>
        <v/>
      </c>
      <c r="L22" s="6">
        <f>I21-I22</f>
        <v/>
      </c>
      <c r="M22" s="14">
        <f>IF(OR(L22="",L23=""),"",IF(L23&gt;L22,"drop",""))</f>
        <v/>
      </c>
      <c r="N22" s="6">
        <f>L22/($B$4/1000)</f>
        <v/>
      </c>
    </row>
    <row r="23">
      <c r="A23" s="8" t="n">
        <v>15</v>
      </c>
      <c r="B23" s="6">
        <f>Depot!$B$6*((Depot!$B$5*(Depot!$B$7*Depot!$B$8+(1-Depot!$B$7)*Depot!$B$9)/365+INDEX(DepotLoss,16)/Depot!$B$6))</f>
        <v/>
      </c>
      <c r="C23" s="6">
        <f>Depot!$B$6*((Depot!$B$5*(Depot!$B$7*Depot!$B$8+(1-Depot!$B$7)*Depot!$B$9)/365+INDEX(DepotLoss,12)/Depot!$B$6)*(1-_xlfn.POISSON.DIST(0,(Depot!$B$5*(Depot!$B$7*Depot!$B$8+(1-Depot!$B$7)*Depot!$B$9)/365+INDEX(DepotLoss,12)/Depot!$B$6),TRUE))-1*(1-_xlfn.POISSON.DIST(1,(Depot!$B$5*(Depot!$B$7*Depot!$B$8+(1-Depot!$B$7)*Depot!$B$9)/365+INDEX(DepotLoss,12)/Depot!$B$6),TRUE)))</f>
        <v/>
      </c>
      <c r="D23" s="6">
        <f>Depot!$B$6*((Depot!$B$5*(Depot!$B$7*Depot!$B$8+(1-Depot!$B$7)*Depot!$B$9)/365+INDEX(DepotLoss,8)/Depot!$B$6)*(1-_xlfn.POISSON.DIST(1,(Depot!$B$5*(Depot!$B$7*Depot!$B$8+(1-Depot!$B$7)*Depot!$B$9)/365+INDEX(DepotLoss,8)/Depot!$B$6),TRUE))-2*(1-_xlfn.POISSON.DIST(2,(Depot!$B$5*(Depot!$B$7*Depot!$B$8+(1-Depot!$B$7)*Depot!$B$9)/365+INDEX(DepotLoss,8)/Depot!$B$6),TRUE)))</f>
        <v/>
      </c>
      <c r="E23" s="6">
        <f>Depot!$B$6*((Depot!$B$5*(Depot!$B$7*Depot!$B$8+(1-Depot!$B$7)*Depot!$B$9)/365+INDEX(DepotLoss,4)/Depot!$B$6)*(1-_xlfn.POISSON.DIST(2,(Depot!$B$5*(Depot!$B$7*Depot!$B$8+(1-Depot!$B$7)*Depot!$B$9)/365+INDEX(DepotLoss,4)/Depot!$B$6),TRUE))-3*(1-_xlfn.POISSON.DIST(3,(Depot!$B$5*(Depot!$B$7*Depot!$B$8+(1-Depot!$B$7)*Depot!$B$9)/365+INDEX(DepotLoss,4)/Depot!$B$6),TRUE)))</f>
        <v/>
      </c>
      <c r="F23" s="12" t="inlineStr"/>
      <c r="G23" s="12" t="inlineStr"/>
      <c r="H23" s="12" t="inlineStr"/>
      <c r="I23" s="13">
        <f>MIN(B23:H23)</f>
        <v/>
      </c>
      <c r="J23" s="14">
        <f>MATCH(I23,B23:H23,0)-1</f>
        <v/>
      </c>
      <c r="K23" s="14">
        <f>A23-Depot!$B$6*J23</f>
        <v/>
      </c>
      <c r="L23" s="6">
        <f>I22-I23</f>
        <v/>
      </c>
      <c r="M23" s="14">
        <f>IF(OR(L23="",L24=""),"",IF(L24&gt;L23,"drop",""))</f>
        <v/>
      </c>
      <c r="N23" s="6">
        <f>L23/($B$4/1000)</f>
        <v/>
      </c>
    </row>
    <row r="24">
      <c r="A24" s="8" t="n">
        <v>16</v>
      </c>
      <c r="B24" s="6">
        <f>Depot!$B$6*((Depot!$B$5*(Depot!$B$7*Depot!$B$8+(1-Depot!$B$7)*Depot!$B$9)/365+INDEX(DepotLoss,17)/Depot!$B$6))</f>
        <v/>
      </c>
      <c r="C24" s="6">
        <f>Depot!$B$6*((Depot!$B$5*(Depot!$B$7*Depot!$B$8+(1-Depot!$B$7)*Depot!$B$9)/365+INDEX(DepotLoss,13)/Depot!$B$6)*(1-_xlfn.POISSON.DIST(0,(Depot!$B$5*(Depot!$B$7*Depot!$B$8+(1-Depot!$B$7)*Depot!$B$9)/365+INDEX(DepotLoss,13)/Depot!$B$6),TRUE))-1*(1-_xlfn.POISSON.DIST(1,(Depot!$B$5*(Depot!$B$7*Depot!$B$8+(1-Depot!$B$7)*Depot!$B$9)/365+INDEX(DepotLoss,13)/Depot!$B$6),TRUE)))</f>
        <v/>
      </c>
      <c r="D24" s="6">
        <f>Depot!$B$6*((Depot!$B$5*(Depot!$B$7*Depot!$B$8+(1-Depot!$B$7)*Depot!$B$9)/365+INDEX(DepotLoss,9)/Depot!$B$6)*(1-_xlfn.POISSON.DIST(1,(Depot!$B$5*(Depot!$B$7*Depot!$B$8+(1-Depot!$B$7)*Depot!$B$9)/365+INDEX(DepotLoss,9)/Depot!$B$6),TRUE))-2*(1-_xlfn.POISSON.DIST(2,(Depot!$B$5*(Depot!$B$7*Depot!$B$8+(1-Depot!$B$7)*Depot!$B$9)/365+INDEX(DepotLoss,9)/Depot!$B$6),TRUE)))</f>
        <v/>
      </c>
      <c r="E24" s="6">
        <f>Depot!$B$6*((Depot!$B$5*(Depot!$B$7*Depot!$B$8+(1-Depot!$B$7)*Depot!$B$9)/365+INDEX(DepotLoss,5)/Depot!$B$6)*(1-_xlfn.POISSON.DIST(2,(Depot!$B$5*(Depot!$B$7*Depot!$B$8+(1-Depot!$B$7)*Depot!$B$9)/365+INDEX(DepotLoss,5)/Depot!$B$6),TRUE))-3*(1-_xlfn.POISSON.DIST(3,(Depot!$B$5*(Depot!$B$7*Depot!$B$8+(1-Depot!$B$7)*Depot!$B$9)/365+INDEX(DepotLoss,5)/Depot!$B$6),TRUE)))</f>
        <v/>
      </c>
      <c r="F24" s="6">
        <f>Depot!$B$6*((Depot!$B$5*(Depot!$B$7*Depot!$B$8+(1-Depot!$B$7)*Depot!$B$9)/365+INDEX(DepotLoss,1)/Depot!$B$6)*(1-_xlfn.POISSON.DIST(3,(Depot!$B$5*(Depot!$B$7*Depot!$B$8+(1-Depot!$B$7)*Depot!$B$9)/365+INDEX(DepotLoss,1)/Depot!$B$6),TRUE))-4*(1-_xlfn.POISSON.DIST(4,(Depot!$B$5*(Depot!$B$7*Depot!$B$8+(1-Depot!$B$7)*Depot!$B$9)/365+INDEX(DepotLoss,1)/Depot!$B$6),TRUE)))</f>
        <v/>
      </c>
      <c r="G24" s="12" t="inlineStr"/>
      <c r="H24" s="12" t="inlineStr"/>
      <c r="I24" s="13">
        <f>MIN(B24:H24)</f>
        <v/>
      </c>
      <c r="J24" s="14">
        <f>MATCH(I24,B24:H24,0)-1</f>
        <v/>
      </c>
      <c r="K24" s="14">
        <f>A24-Depot!$B$6*J24</f>
        <v/>
      </c>
      <c r="L24" s="6">
        <f>I23-I24</f>
        <v/>
      </c>
      <c r="M24" s="14">
        <f>IF(OR(L24="",L25=""),"",IF(L25&gt;L24,"drop",""))</f>
        <v/>
      </c>
      <c r="N24" s="6">
        <f>L24/($B$4/1000)</f>
        <v/>
      </c>
    </row>
    <row r="25">
      <c r="A25" s="8" t="n">
        <v>17</v>
      </c>
      <c r="B25" s="6">
        <f>Depot!$B$6*((Depot!$B$5*(Depot!$B$7*Depot!$B$8+(1-Depot!$B$7)*Depot!$B$9)/365+INDEX(DepotLoss,18)/Depot!$B$6))</f>
        <v/>
      </c>
      <c r="C25" s="6">
        <f>Depot!$B$6*((Depot!$B$5*(Depot!$B$7*Depot!$B$8+(1-Depot!$B$7)*Depot!$B$9)/365+INDEX(DepotLoss,14)/Depot!$B$6)*(1-_xlfn.POISSON.DIST(0,(Depot!$B$5*(Depot!$B$7*Depot!$B$8+(1-Depot!$B$7)*Depot!$B$9)/365+INDEX(DepotLoss,14)/Depot!$B$6),TRUE))-1*(1-_xlfn.POISSON.DIST(1,(Depot!$B$5*(Depot!$B$7*Depot!$B$8+(1-Depot!$B$7)*Depot!$B$9)/365+INDEX(DepotLoss,14)/Depot!$B$6),TRUE)))</f>
        <v/>
      </c>
      <c r="D25" s="6">
        <f>Depot!$B$6*((Depot!$B$5*(Depot!$B$7*Depot!$B$8+(1-Depot!$B$7)*Depot!$B$9)/365+INDEX(DepotLoss,10)/Depot!$B$6)*(1-_xlfn.POISSON.DIST(1,(Depot!$B$5*(Depot!$B$7*Depot!$B$8+(1-Depot!$B$7)*Depot!$B$9)/365+INDEX(DepotLoss,10)/Depot!$B$6),TRUE))-2*(1-_xlfn.POISSON.DIST(2,(Depot!$B$5*(Depot!$B$7*Depot!$B$8+(1-Depot!$B$7)*Depot!$B$9)/365+INDEX(DepotLoss,10)/Depot!$B$6),TRUE)))</f>
        <v/>
      </c>
      <c r="E25" s="6">
        <f>Depot!$B$6*((Depot!$B$5*(Depot!$B$7*Depot!$B$8+(1-Depot!$B$7)*Depot!$B$9)/365+INDEX(DepotLoss,6)/Depot!$B$6)*(1-_xlfn.POISSON.DIST(2,(Depot!$B$5*(Depot!$B$7*Depot!$B$8+(1-Depot!$B$7)*Depot!$B$9)/365+INDEX(DepotLoss,6)/Depot!$B$6),TRUE))-3*(1-_xlfn.POISSON.DIST(3,(Depot!$B$5*(Depot!$B$7*Depot!$B$8+(1-Depot!$B$7)*Depot!$B$9)/365+INDEX(DepotLoss,6)/Depot!$B$6),TRUE)))</f>
        <v/>
      </c>
      <c r="F25" s="6">
        <f>Depot!$B$6*((Depot!$B$5*(Depot!$B$7*Depot!$B$8+(1-Depot!$B$7)*Depot!$B$9)/365+INDEX(DepotLoss,2)/Depot!$B$6)*(1-_xlfn.POISSON.DIST(3,(Depot!$B$5*(Depot!$B$7*Depot!$B$8+(1-Depot!$B$7)*Depot!$B$9)/365+INDEX(DepotLoss,2)/Depot!$B$6),TRUE))-4*(1-_xlfn.POISSON.DIST(4,(Depot!$B$5*(Depot!$B$7*Depot!$B$8+(1-Depot!$B$7)*Depot!$B$9)/365+INDEX(DepotLoss,2)/Depot!$B$6),TRUE)))</f>
        <v/>
      </c>
      <c r="G25" s="12" t="inlineStr"/>
      <c r="H25" s="12" t="inlineStr"/>
      <c r="I25" s="13">
        <f>MIN(B25:H25)</f>
        <v/>
      </c>
      <c r="J25" s="14">
        <f>MATCH(I25,B25:H25,0)-1</f>
        <v/>
      </c>
      <c r="K25" s="14">
        <f>A25-Depot!$B$6*J25</f>
        <v/>
      </c>
      <c r="L25" s="6">
        <f>I24-I25</f>
        <v/>
      </c>
      <c r="M25" s="14">
        <f>IF(OR(L25="",L26=""),"",IF(L26&gt;L25,"drop",""))</f>
        <v/>
      </c>
      <c r="N25" s="6">
        <f>L25/($B$4/1000)</f>
        <v/>
      </c>
    </row>
    <row r="26">
      <c r="A26" s="8" t="n">
        <v>18</v>
      </c>
      <c r="B26" s="6">
        <f>Depot!$B$6*((Depot!$B$5*(Depot!$B$7*Depot!$B$8+(1-Depot!$B$7)*Depot!$B$9)/365+INDEX(DepotLoss,19)/Depot!$B$6))</f>
        <v/>
      </c>
      <c r="C26" s="6">
        <f>Depot!$B$6*((Depot!$B$5*(Depot!$B$7*Depot!$B$8+(1-Depot!$B$7)*Depot!$B$9)/365+INDEX(DepotLoss,15)/Depot!$B$6)*(1-_xlfn.POISSON.DIST(0,(Depot!$B$5*(Depot!$B$7*Depot!$B$8+(1-Depot!$B$7)*Depot!$B$9)/365+INDEX(DepotLoss,15)/Depot!$B$6),TRUE))-1*(1-_xlfn.POISSON.DIST(1,(Depot!$B$5*(Depot!$B$7*Depot!$B$8+(1-Depot!$B$7)*Depot!$B$9)/365+INDEX(DepotLoss,15)/Depot!$B$6),TRUE)))</f>
        <v/>
      </c>
      <c r="D26" s="6">
        <f>Depot!$B$6*((Depot!$B$5*(Depot!$B$7*Depot!$B$8+(1-Depot!$B$7)*Depot!$B$9)/365+INDEX(DepotLoss,11)/Depot!$B$6)*(1-_xlfn.POISSON.DIST(1,(Depot!$B$5*(Depot!$B$7*Depot!$B$8+(1-Depot!$B$7)*Depot!$B$9)/365+INDEX(DepotLoss,11)/Depot!$B$6),TRUE))-2*(1-_xlfn.POISSON.DIST(2,(Depot!$B$5*(Depot!$B$7*Depot!$B$8+(1-Depot!$B$7)*Depot!$B$9)/365+INDEX(DepotLoss,11)/Depot!$B$6),TRUE)))</f>
        <v/>
      </c>
      <c r="E26" s="6">
        <f>Depot!$B$6*((Depot!$B$5*(Depot!$B$7*Depot!$B$8+(1-Depot!$B$7)*Depot!$B$9)/365+INDEX(DepotLoss,7)/Depot!$B$6)*(1-_xlfn.POISSON.DIST(2,(Depot!$B$5*(Depot!$B$7*Depot!$B$8+(1-Depot!$B$7)*Depot!$B$9)/365+INDEX(DepotLoss,7)/Depot!$B$6),TRUE))-3*(1-_xlfn.POISSON.DIST(3,(Depot!$B$5*(Depot!$B$7*Depot!$B$8+(1-Depot!$B$7)*Depot!$B$9)/365+INDEX(DepotLoss,7)/Depot!$B$6),TRUE)))</f>
        <v/>
      </c>
      <c r="F26" s="6">
        <f>Depot!$B$6*((Depot!$B$5*(Depot!$B$7*Depot!$B$8+(1-Depot!$B$7)*Depot!$B$9)/365+INDEX(DepotLoss,3)/Depot!$B$6)*(1-_xlfn.POISSON.DIST(3,(Depot!$B$5*(Depot!$B$7*Depot!$B$8+(1-Depot!$B$7)*Depot!$B$9)/365+INDEX(DepotLoss,3)/Depot!$B$6),TRUE))-4*(1-_xlfn.POISSON.DIST(4,(Depot!$B$5*(Depot!$B$7*Depot!$B$8+(1-Depot!$B$7)*Depot!$B$9)/365+INDEX(DepotLoss,3)/Depot!$B$6),TRUE)))</f>
        <v/>
      </c>
      <c r="G26" s="12" t="inlineStr"/>
      <c r="H26" s="12" t="inlineStr"/>
      <c r="I26" s="13">
        <f>MIN(B26:H26)</f>
        <v/>
      </c>
      <c r="J26" s="14">
        <f>MATCH(I26,B26:H26,0)-1</f>
        <v/>
      </c>
      <c r="K26" s="14">
        <f>A26-Depot!$B$6*J26</f>
        <v/>
      </c>
      <c r="L26" s="6">
        <f>I25-I26</f>
        <v/>
      </c>
      <c r="M26" s="14">
        <f>IF(OR(L26="",L27=""),"",IF(L27&gt;L26,"drop",""))</f>
        <v/>
      </c>
      <c r="N26" s="6">
        <f>L26/($B$4/1000)</f>
        <v/>
      </c>
    </row>
    <row r="27">
      <c r="A27" s="8" t="n">
        <v>19</v>
      </c>
      <c r="B27" s="6">
        <f>Depot!$B$6*((Depot!$B$5*(Depot!$B$7*Depot!$B$8+(1-Depot!$B$7)*Depot!$B$9)/365+INDEX(DepotLoss,20)/Depot!$B$6))</f>
        <v/>
      </c>
      <c r="C27" s="6">
        <f>Depot!$B$6*((Depot!$B$5*(Depot!$B$7*Depot!$B$8+(1-Depot!$B$7)*Depot!$B$9)/365+INDEX(DepotLoss,16)/Depot!$B$6)*(1-_xlfn.POISSON.DIST(0,(Depot!$B$5*(Depot!$B$7*Depot!$B$8+(1-Depot!$B$7)*Depot!$B$9)/365+INDEX(DepotLoss,16)/Depot!$B$6),TRUE))-1*(1-_xlfn.POISSON.DIST(1,(Depot!$B$5*(Depot!$B$7*Depot!$B$8+(1-Depot!$B$7)*Depot!$B$9)/365+INDEX(DepotLoss,16)/Depot!$B$6),TRUE)))</f>
        <v/>
      </c>
      <c r="D27" s="6">
        <f>Depot!$B$6*((Depot!$B$5*(Depot!$B$7*Depot!$B$8+(1-Depot!$B$7)*Depot!$B$9)/365+INDEX(DepotLoss,12)/Depot!$B$6)*(1-_xlfn.POISSON.DIST(1,(Depot!$B$5*(Depot!$B$7*Depot!$B$8+(1-Depot!$B$7)*Depot!$B$9)/365+INDEX(DepotLoss,12)/Depot!$B$6),TRUE))-2*(1-_xlfn.POISSON.DIST(2,(Depot!$B$5*(Depot!$B$7*Depot!$B$8+(1-Depot!$B$7)*Depot!$B$9)/365+INDEX(DepotLoss,12)/Depot!$B$6),TRUE)))</f>
        <v/>
      </c>
      <c r="E27" s="6">
        <f>Depot!$B$6*((Depot!$B$5*(Depot!$B$7*Depot!$B$8+(1-Depot!$B$7)*Depot!$B$9)/365+INDEX(DepotLoss,8)/Depot!$B$6)*(1-_xlfn.POISSON.DIST(2,(Depot!$B$5*(Depot!$B$7*Depot!$B$8+(1-Depot!$B$7)*Depot!$B$9)/365+INDEX(DepotLoss,8)/Depot!$B$6),TRUE))-3*(1-_xlfn.POISSON.DIST(3,(Depot!$B$5*(Depot!$B$7*Depot!$B$8+(1-Depot!$B$7)*Depot!$B$9)/365+INDEX(DepotLoss,8)/Depot!$B$6),TRUE)))</f>
        <v/>
      </c>
      <c r="F27" s="6">
        <f>Depot!$B$6*((Depot!$B$5*(Depot!$B$7*Depot!$B$8+(1-Depot!$B$7)*Depot!$B$9)/365+INDEX(DepotLoss,4)/Depot!$B$6)*(1-_xlfn.POISSON.DIST(3,(Depot!$B$5*(Depot!$B$7*Depot!$B$8+(1-Depot!$B$7)*Depot!$B$9)/365+INDEX(DepotLoss,4)/Depot!$B$6),TRUE))-4*(1-_xlfn.POISSON.DIST(4,(Depot!$B$5*(Depot!$B$7*Depot!$B$8+(1-Depot!$B$7)*Depot!$B$9)/365+INDEX(DepotLoss,4)/Depot!$B$6),TRUE)))</f>
        <v/>
      </c>
      <c r="G27" s="12" t="inlineStr"/>
      <c r="H27" s="12" t="inlineStr"/>
      <c r="I27" s="13">
        <f>MIN(B27:H27)</f>
        <v/>
      </c>
      <c r="J27" s="14">
        <f>MATCH(I27,B27:H27,0)-1</f>
        <v/>
      </c>
      <c r="K27" s="14">
        <f>A27-Depot!$B$6*J27</f>
        <v/>
      </c>
      <c r="L27" s="6">
        <f>I26-I27</f>
        <v/>
      </c>
      <c r="M27" s="14">
        <f>IF(OR(L27="",L28=""),"",IF(L28&gt;L27,"drop",""))</f>
        <v/>
      </c>
      <c r="N27" s="6">
        <f>L27/($B$4/1000)</f>
        <v/>
      </c>
    </row>
    <row r="28">
      <c r="A28" s="8" t="n">
        <v>20</v>
      </c>
      <c r="B28" s="6">
        <f>Depot!$B$6*((Depot!$B$5*(Depot!$B$7*Depot!$B$8+(1-Depot!$B$7)*Depot!$B$9)/365+INDEX(DepotLoss,21)/Depot!$B$6))</f>
        <v/>
      </c>
      <c r="C28" s="6">
        <f>Depot!$B$6*((Depot!$B$5*(Depot!$B$7*Depot!$B$8+(1-Depot!$B$7)*Depot!$B$9)/365+INDEX(DepotLoss,17)/Depot!$B$6)*(1-_xlfn.POISSON.DIST(0,(Depot!$B$5*(Depot!$B$7*Depot!$B$8+(1-Depot!$B$7)*Depot!$B$9)/365+INDEX(DepotLoss,17)/Depot!$B$6),TRUE))-1*(1-_xlfn.POISSON.DIST(1,(Depot!$B$5*(Depot!$B$7*Depot!$B$8+(1-Depot!$B$7)*Depot!$B$9)/365+INDEX(DepotLoss,17)/Depot!$B$6),TRUE)))</f>
        <v/>
      </c>
      <c r="D28" s="6">
        <f>Depot!$B$6*((Depot!$B$5*(Depot!$B$7*Depot!$B$8+(1-Depot!$B$7)*Depot!$B$9)/365+INDEX(DepotLoss,13)/Depot!$B$6)*(1-_xlfn.POISSON.DIST(1,(Depot!$B$5*(Depot!$B$7*Depot!$B$8+(1-Depot!$B$7)*Depot!$B$9)/365+INDEX(DepotLoss,13)/Depot!$B$6),TRUE))-2*(1-_xlfn.POISSON.DIST(2,(Depot!$B$5*(Depot!$B$7*Depot!$B$8+(1-Depot!$B$7)*Depot!$B$9)/365+INDEX(DepotLoss,13)/Depot!$B$6),TRUE)))</f>
        <v/>
      </c>
      <c r="E28" s="6">
        <f>Depot!$B$6*((Depot!$B$5*(Depot!$B$7*Depot!$B$8+(1-Depot!$B$7)*Depot!$B$9)/365+INDEX(DepotLoss,9)/Depot!$B$6)*(1-_xlfn.POISSON.DIST(2,(Depot!$B$5*(Depot!$B$7*Depot!$B$8+(1-Depot!$B$7)*Depot!$B$9)/365+INDEX(DepotLoss,9)/Depot!$B$6),TRUE))-3*(1-_xlfn.POISSON.DIST(3,(Depot!$B$5*(Depot!$B$7*Depot!$B$8+(1-Depot!$B$7)*Depot!$B$9)/365+INDEX(DepotLoss,9)/Depot!$B$6),TRUE)))</f>
        <v/>
      </c>
      <c r="F28" s="6">
        <f>Depot!$B$6*((Depot!$B$5*(Depot!$B$7*Depot!$B$8+(1-Depot!$B$7)*Depot!$B$9)/365+INDEX(DepotLoss,5)/Depot!$B$6)*(1-_xlfn.POISSON.DIST(3,(Depot!$B$5*(Depot!$B$7*Depot!$B$8+(1-Depot!$B$7)*Depot!$B$9)/365+INDEX(DepotLoss,5)/Depot!$B$6),TRUE))-4*(1-_xlfn.POISSON.DIST(4,(Depot!$B$5*(Depot!$B$7*Depot!$B$8+(1-Depot!$B$7)*Depot!$B$9)/365+INDEX(DepotLoss,5)/Depot!$B$6),TRUE)))</f>
        <v/>
      </c>
      <c r="G28" s="6">
        <f>Depot!$B$6*((Depot!$B$5*(Depot!$B$7*Depot!$B$8+(1-Depot!$B$7)*Depot!$B$9)/365+INDEX(DepotLoss,1)/Depot!$B$6)*(1-_xlfn.POISSON.DIST(4,(Depot!$B$5*(Depot!$B$7*Depot!$B$8+(1-Depot!$B$7)*Depot!$B$9)/365+INDEX(DepotLoss,1)/Depot!$B$6),TRUE))-5*(1-_xlfn.POISSON.DIST(5,(Depot!$B$5*(Depot!$B$7*Depot!$B$8+(1-Depot!$B$7)*Depot!$B$9)/365+INDEX(DepotLoss,1)/Depot!$B$6),TRUE)))</f>
        <v/>
      </c>
      <c r="H28" s="12" t="inlineStr"/>
      <c r="I28" s="13">
        <f>MIN(B28:H28)</f>
        <v/>
      </c>
      <c r="J28" s="14">
        <f>MATCH(I28,B28:H28,0)-1</f>
        <v/>
      </c>
      <c r="K28" s="14">
        <f>A28-Depot!$B$6*J28</f>
        <v/>
      </c>
      <c r="L28" s="6">
        <f>I27-I28</f>
        <v/>
      </c>
      <c r="M28" s="14">
        <f>IF(OR(L28="",L29=""),"",IF(L29&gt;L28,"drop",""))</f>
        <v/>
      </c>
      <c r="N28" s="6">
        <f>L28/($B$4/1000)</f>
        <v/>
      </c>
    </row>
    <row r="29">
      <c r="A29" s="8" t="n">
        <v>21</v>
      </c>
      <c r="B29" s="6">
        <f>Depot!$B$6*((Depot!$B$5*(Depot!$B$7*Depot!$B$8+(1-Depot!$B$7)*Depot!$B$9)/365+INDEX(DepotLoss,22)/Depot!$B$6))</f>
        <v/>
      </c>
      <c r="C29" s="6">
        <f>Depot!$B$6*((Depot!$B$5*(Depot!$B$7*Depot!$B$8+(1-Depot!$B$7)*Depot!$B$9)/365+INDEX(DepotLoss,18)/Depot!$B$6)*(1-_xlfn.POISSON.DIST(0,(Depot!$B$5*(Depot!$B$7*Depot!$B$8+(1-Depot!$B$7)*Depot!$B$9)/365+INDEX(DepotLoss,18)/Depot!$B$6),TRUE))-1*(1-_xlfn.POISSON.DIST(1,(Depot!$B$5*(Depot!$B$7*Depot!$B$8+(1-Depot!$B$7)*Depot!$B$9)/365+INDEX(DepotLoss,18)/Depot!$B$6),TRUE)))</f>
        <v/>
      </c>
      <c r="D29" s="6">
        <f>Depot!$B$6*((Depot!$B$5*(Depot!$B$7*Depot!$B$8+(1-Depot!$B$7)*Depot!$B$9)/365+INDEX(DepotLoss,14)/Depot!$B$6)*(1-_xlfn.POISSON.DIST(1,(Depot!$B$5*(Depot!$B$7*Depot!$B$8+(1-Depot!$B$7)*Depot!$B$9)/365+INDEX(DepotLoss,14)/Depot!$B$6),TRUE))-2*(1-_xlfn.POISSON.DIST(2,(Depot!$B$5*(Depot!$B$7*Depot!$B$8+(1-Depot!$B$7)*Depot!$B$9)/365+INDEX(DepotLoss,14)/Depot!$B$6),TRUE)))</f>
        <v/>
      </c>
      <c r="E29" s="6">
        <f>Depot!$B$6*((Depot!$B$5*(Depot!$B$7*Depot!$B$8+(1-Depot!$B$7)*Depot!$B$9)/365+INDEX(DepotLoss,10)/Depot!$B$6)*(1-_xlfn.POISSON.DIST(2,(Depot!$B$5*(Depot!$B$7*Depot!$B$8+(1-Depot!$B$7)*Depot!$B$9)/365+INDEX(DepotLoss,10)/Depot!$B$6),TRUE))-3*(1-_xlfn.POISSON.DIST(3,(Depot!$B$5*(Depot!$B$7*Depot!$B$8+(1-Depot!$B$7)*Depot!$B$9)/365+INDEX(DepotLoss,10)/Depot!$B$6),TRUE)))</f>
        <v/>
      </c>
      <c r="F29" s="6">
        <f>Depot!$B$6*((Depot!$B$5*(Depot!$B$7*Depot!$B$8+(1-Depot!$B$7)*Depot!$B$9)/365+INDEX(DepotLoss,6)/Depot!$B$6)*(1-_xlfn.POISSON.DIST(3,(Depot!$B$5*(Depot!$B$7*Depot!$B$8+(1-Depot!$B$7)*Depot!$B$9)/365+INDEX(DepotLoss,6)/Depot!$B$6),TRUE))-4*(1-_xlfn.POISSON.DIST(4,(Depot!$B$5*(Depot!$B$7*Depot!$B$8+(1-Depot!$B$7)*Depot!$B$9)/365+INDEX(DepotLoss,6)/Depot!$B$6),TRUE)))</f>
        <v/>
      </c>
      <c r="G29" s="6">
        <f>Depot!$B$6*((Depot!$B$5*(Depot!$B$7*Depot!$B$8+(1-Depot!$B$7)*Depot!$B$9)/365+INDEX(DepotLoss,2)/Depot!$B$6)*(1-_xlfn.POISSON.DIST(4,(Depot!$B$5*(Depot!$B$7*Depot!$B$8+(1-Depot!$B$7)*Depot!$B$9)/365+INDEX(DepotLoss,2)/Depot!$B$6),TRUE))-5*(1-_xlfn.POISSON.DIST(5,(Depot!$B$5*(Depot!$B$7*Depot!$B$8+(1-Depot!$B$7)*Depot!$B$9)/365+INDEX(DepotLoss,2)/Depot!$B$6),TRUE)))</f>
        <v/>
      </c>
      <c r="H29" s="12" t="inlineStr"/>
      <c r="I29" s="13">
        <f>MIN(B29:H29)</f>
        <v/>
      </c>
      <c r="J29" s="14">
        <f>MATCH(I29,B29:H29,0)-1</f>
        <v/>
      </c>
      <c r="K29" s="14">
        <f>A29-Depot!$B$6*J29</f>
        <v/>
      </c>
      <c r="L29" s="6">
        <f>I28-I29</f>
        <v/>
      </c>
      <c r="M29" s="14">
        <f>IF(OR(L29="",L30=""),"",IF(L30&gt;L29,"drop",""))</f>
        <v/>
      </c>
      <c r="N29" s="6">
        <f>L29/($B$4/1000)</f>
        <v/>
      </c>
    </row>
    <row r="30">
      <c r="A30" s="8" t="n">
        <v>22</v>
      </c>
      <c r="B30" s="6">
        <f>Depot!$B$6*((Depot!$B$5*(Depot!$B$7*Depot!$B$8+(1-Depot!$B$7)*Depot!$B$9)/365+INDEX(DepotLoss,23)/Depot!$B$6))</f>
        <v/>
      </c>
      <c r="C30" s="6">
        <f>Depot!$B$6*((Depot!$B$5*(Depot!$B$7*Depot!$B$8+(1-Depot!$B$7)*Depot!$B$9)/365+INDEX(DepotLoss,19)/Depot!$B$6)*(1-_xlfn.POISSON.DIST(0,(Depot!$B$5*(Depot!$B$7*Depot!$B$8+(1-Depot!$B$7)*Depot!$B$9)/365+INDEX(DepotLoss,19)/Depot!$B$6),TRUE))-1*(1-_xlfn.POISSON.DIST(1,(Depot!$B$5*(Depot!$B$7*Depot!$B$8+(1-Depot!$B$7)*Depot!$B$9)/365+INDEX(DepotLoss,19)/Depot!$B$6),TRUE)))</f>
        <v/>
      </c>
      <c r="D30" s="6">
        <f>Depot!$B$6*((Depot!$B$5*(Depot!$B$7*Depot!$B$8+(1-Depot!$B$7)*Depot!$B$9)/365+INDEX(DepotLoss,15)/Depot!$B$6)*(1-_xlfn.POISSON.DIST(1,(Depot!$B$5*(Depot!$B$7*Depot!$B$8+(1-Depot!$B$7)*Depot!$B$9)/365+INDEX(DepotLoss,15)/Depot!$B$6),TRUE))-2*(1-_xlfn.POISSON.DIST(2,(Depot!$B$5*(Depot!$B$7*Depot!$B$8+(1-Depot!$B$7)*Depot!$B$9)/365+INDEX(DepotLoss,15)/Depot!$B$6),TRUE)))</f>
        <v/>
      </c>
      <c r="E30" s="6">
        <f>Depot!$B$6*((Depot!$B$5*(Depot!$B$7*Depot!$B$8+(1-Depot!$B$7)*Depot!$B$9)/365+INDEX(DepotLoss,11)/Depot!$B$6)*(1-_xlfn.POISSON.DIST(2,(Depot!$B$5*(Depot!$B$7*Depot!$B$8+(1-Depot!$B$7)*Depot!$B$9)/365+INDEX(DepotLoss,11)/Depot!$B$6),TRUE))-3*(1-_xlfn.POISSON.DIST(3,(Depot!$B$5*(Depot!$B$7*Depot!$B$8+(1-Depot!$B$7)*Depot!$B$9)/365+INDEX(DepotLoss,11)/Depot!$B$6),TRUE)))</f>
        <v/>
      </c>
      <c r="F30" s="6">
        <f>Depot!$B$6*((Depot!$B$5*(Depot!$B$7*Depot!$B$8+(1-Depot!$B$7)*Depot!$B$9)/365+INDEX(DepotLoss,7)/Depot!$B$6)*(1-_xlfn.POISSON.DIST(3,(Depot!$B$5*(Depot!$B$7*Depot!$B$8+(1-Depot!$B$7)*Depot!$B$9)/365+INDEX(DepotLoss,7)/Depot!$B$6),TRUE))-4*(1-_xlfn.POISSON.DIST(4,(Depot!$B$5*(Depot!$B$7*Depot!$B$8+(1-Depot!$B$7)*Depot!$B$9)/365+INDEX(DepotLoss,7)/Depot!$B$6),TRUE)))</f>
        <v/>
      </c>
      <c r="G30" s="6">
        <f>Depot!$B$6*((Depot!$B$5*(Depot!$B$7*Depot!$B$8+(1-Depot!$B$7)*Depot!$B$9)/365+INDEX(DepotLoss,3)/Depot!$B$6)*(1-_xlfn.POISSON.DIST(4,(Depot!$B$5*(Depot!$B$7*Depot!$B$8+(1-Depot!$B$7)*Depot!$B$9)/365+INDEX(DepotLoss,3)/Depot!$B$6),TRUE))-5*(1-_xlfn.POISSON.DIST(5,(Depot!$B$5*(Depot!$B$7*Depot!$B$8+(1-Depot!$B$7)*Depot!$B$9)/365+INDEX(DepotLoss,3)/Depot!$B$6),TRUE)))</f>
        <v/>
      </c>
      <c r="H30" s="12" t="inlineStr"/>
      <c r="I30" s="13">
        <f>MIN(B30:H30)</f>
        <v/>
      </c>
      <c r="J30" s="14">
        <f>MATCH(I30,B30:H30,0)-1</f>
        <v/>
      </c>
      <c r="K30" s="14">
        <f>A30-Depot!$B$6*J30</f>
        <v/>
      </c>
      <c r="L30" s="6">
        <f>I29-I30</f>
        <v/>
      </c>
      <c r="M30" s="14">
        <f>IF(OR(L30="",L31=""),"",IF(L31&gt;L30,"drop",""))</f>
        <v/>
      </c>
      <c r="N30" s="6">
        <f>L30/($B$4/1000)</f>
        <v/>
      </c>
    </row>
    <row r="31">
      <c r="A31" s="8" t="n">
        <v>23</v>
      </c>
      <c r="B31" s="6">
        <f>Depot!$B$6*((Depot!$B$5*(Depot!$B$7*Depot!$B$8+(1-Depot!$B$7)*Depot!$B$9)/365+INDEX(DepotLoss,24)/Depot!$B$6))</f>
        <v/>
      </c>
      <c r="C31" s="6">
        <f>Depot!$B$6*((Depot!$B$5*(Depot!$B$7*Depot!$B$8+(1-Depot!$B$7)*Depot!$B$9)/365+INDEX(DepotLoss,20)/Depot!$B$6)*(1-_xlfn.POISSON.DIST(0,(Depot!$B$5*(Depot!$B$7*Depot!$B$8+(1-Depot!$B$7)*Depot!$B$9)/365+INDEX(DepotLoss,20)/Depot!$B$6),TRUE))-1*(1-_xlfn.POISSON.DIST(1,(Depot!$B$5*(Depot!$B$7*Depot!$B$8+(1-Depot!$B$7)*Depot!$B$9)/365+INDEX(DepotLoss,20)/Depot!$B$6),TRUE)))</f>
        <v/>
      </c>
      <c r="D31" s="6">
        <f>Depot!$B$6*((Depot!$B$5*(Depot!$B$7*Depot!$B$8+(1-Depot!$B$7)*Depot!$B$9)/365+INDEX(DepotLoss,16)/Depot!$B$6)*(1-_xlfn.POISSON.DIST(1,(Depot!$B$5*(Depot!$B$7*Depot!$B$8+(1-Depot!$B$7)*Depot!$B$9)/365+INDEX(DepotLoss,16)/Depot!$B$6),TRUE))-2*(1-_xlfn.POISSON.DIST(2,(Depot!$B$5*(Depot!$B$7*Depot!$B$8+(1-Depot!$B$7)*Depot!$B$9)/365+INDEX(DepotLoss,16)/Depot!$B$6),TRUE)))</f>
        <v/>
      </c>
      <c r="E31" s="6">
        <f>Depot!$B$6*((Depot!$B$5*(Depot!$B$7*Depot!$B$8+(1-Depot!$B$7)*Depot!$B$9)/365+INDEX(DepotLoss,12)/Depot!$B$6)*(1-_xlfn.POISSON.DIST(2,(Depot!$B$5*(Depot!$B$7*Depot!$B$8+(1-Depot!$B$7)*Depot!$B$9)/365+INDEX(DepotLoss,12)/Depot!$B$6),TRUE))-3*(1-_xlfn.POISSON.DIST(3,(Depot!$B$5*(Depot!$B$7*Depot!$B$8+(1-Depot!$B$7)*Depot!$B$9)/365+INDEX(DepotLoss,12)/Depot!$B$6),TRUE)))</f>
        <v/>
      </c>
      <c r="F31" s="6">
        <f>Depot!$B$6*((Depot!$B$5*(Depot!$B$7*Depot!$B$8+(1-Depot!$B$7)*Depot!$B$9)/365+INDEX(DepotLoss,8)/Depot!$B$6)*(1-_xlfn.POISSON.DIST(3,(Depot!$B$5*(Depot!$B$7*Depot!$B$8+(1-Depot!$B$7)*Depot!$B$9)/365+INDEX(DepotLoss,8)/Depot!$B$6),TRUE))-4*(1-_xlfn.POISSON.DIST(4,(Depot!$B$5*(Depot!$B$7*Depot!$B$8+(1-Depot!$B$7)*Depot!$B$9)/365+INDEX(DepotLoss,8)/Depot!$B$6),TRUE)))</f>
        <v/>
      </c>
      <c r="G31" s="6">
        <f>Depot!$B$6*((Depot!$B$5*(Depot!$B$7*Depot!$B$8+(1-Depot!$B$7)*Depot!$B$9)/365+INDEX(DepotLoss,4)/Depot!$B$6)*(1-_xlfn.POISSON.DIST(4,(Depot!$B$5*(Depot!$B$7*Depot!$B$8+(1-Depot!$B$7)*Depot!$B$9)/365+INDEX(DepotLoss,4)/Depot!$B$6),TRUE))-5*(1-_xlfn.POISSON.DIST(5,(Depot!$B$5*(Depot!$B$7*Depot!$B$8+(1-Depot!$B$7)*Depot!$B$9)/365+INDEX(DepotLoss,4)/Depot!$B$6),TRUE)))</f>
        <v/>
      </c>
      <c r="H31" s="12" t="inlineStr"/>
      <c r="I31" s="13">
        <f>MIN(B31:H31)</f>
        <v/>
      </c>
      <c r="J31" s="14">
        <f>MATCH(I31,B31:H31,0)-1</f>
        <v/>
      </c>
      <c r="K31" s="14">
        <f>A31-Depot!$B$6*J31</f>
        <v/>
      </c>
      <c r="L31" s="6">
        <f>I30-I31</f>
        <v/>
      </c>
      <c r="M31" s="14">
        <f>IF(OR(L31="",L32=""),"",IF(L32&gt;L31,"drop",""))</f>
        <v/>
      </c>
      <c r="N31" s="6">
        <f>L31/($B$4/1000)</f>
        <v/>
      </c>
    </row>
    <row r="32">
      <c r="A32" s="8" t="n">
        <v>24</v>
      </c>
      <c r="B32" s="6">
        <f>Depot!$B$6*((Depot!$B$5*(Depot!$B$7*Depot!$B$8+(1-Depot!$B$7)*Depot!$B$9)/365+INDEX(DepotLoss,25)/Depot!$B$6))</f>
        <v/>
      </c>
      <c r="C32" s="6">
        <f>Depot!$B$6*((Depot!$B$5*(Depot!$B$7*Depot!$B$8+(1-Depot!$B$7)*Depot!$B$9)/365+INDEX(DepotLoss,21)/Depot!$B$6)*(1-_xlfn.POISSON.DIST(0,(Depot!$B$5*(Depot!$B$7*Depot!$B$8+(1-Depot!$B$7)*Depot!$B$9)/365+INDEX(DepotLoss,21)/Depot!$B$6),TRUE))-1*(1-_xlfn.POISSON.DIST(1,(Depot!$B$5*(Depot!$B$7*Depot!$B$8+(1-Depot!$B$7)*Depot!$B$9)/365+INDEX(DepotLoss,21)/Depot!$B$6),TRUE)))</f>
        <v/>
      </c>
      <c r="D32" s="6">
        <f>Depot!$B$6*((Depot!$B$5*(Depot!$B$7*Depot!$B$8+(1-Depot!$B$7)*Depot!$B$9)/365+INDEX(DepotLoss,17)/Depot!$B$6)*(1-_xlfn.POISSON.DIST(1,(Depot!$B$5*(Depot!$B$7*Depot!$B$8+(1-Depot!$B$7)*Depot!$B$9)/365+INDEX(DepotLoss,17)/Depot!$B$6),TRUE))-2*(1-_xlfn.POISSON.DIST(2,(Depot!$B$5*(Depot!$B$7*Depot!$B$8+(1-Depot!$B$7)*Depot!$B$9)/365+INDEX(DepotLoss,17)/Depot!$B$6),TRUE)))</f>
        <v/>
      </c>
      <c r="E32" s="6">
        <f>Depot!$B$6*((Depot!$B$5*(Depot!$B$7*Depot!$B$8+(1-Depot!$B$7)*Depot!$B$9)/365+INDEX(DepotLoss,13)/Depot!$B$6)*(1-_xlfn.POISSON.DIST(2,(Depot!$B$5*(Depot!$B$7*Depot!$B$8+(1-Depot!$B$7)*Depot!$B$9)/365+INDEX(DepotLoss,13)/Depot!$B$6),TRUE))-3*(1-_xlfn.POISSON.DIST(3,(Depot!$B$5*(Depot!$B$7*Depot!$B$8+(1-Depot!$B$7)*Depot!$B$9)/365+INDEX(DepotLoss,13)/Depot!$B$6),TRUE)))</f>
        <v/>
      </c>
      <c r="F32" s="6">
        <f>Depot!$B$6*((Depot!$B$5*(Depot!$B$7*Depot!$B$8+(1-Depot!$B$7)*Depot!$B$9)/365+INDEX(DepotLoss,9)/Depot!$B$6)*(1-_xlfn.POISSON.DIST(3,(Depot!$B$5*(Depot!$B$7*Depot!$B$8+(1-Depot!$B$7)*Depot!$B$9)/365+INDEX(DepotLoss,9)/Depot!$B$6),TRUE))-4*(1-_xlfn.POISSON.DIST(4,(Depot!$B$5*(Depot!$B$7*Depot!$B$8+(1-Depot!$B$7)*Depot!$B$9)/365+INDEX(DepotLoss,9)/Depot!$B$6),TRUE)))</f>
        <v/>
      </c>
      <c r="G32" s="6">
        <f>Depot!$B$6*((Depot!$B$5*(Depot!$B$7*Depot!$B$8+(1-Depot!$B$7)*Depot!$B$9)/365+INDEX(DepotLoss,5)/Depot!$B$6)*(1-_xlfn.POISSON.DIST(4,(Depot!$B$5*(Depot!$B$7*Depot!$B$8+(1-Depot!$B$7)*Depot!$B$9)/365+INDEX(DepotLoss,5)/Depot!$B$6),TRUE))-5*(1-_xlfn.POISSON.DIST(5,(Depot!$B$5*(Depot!$B$7*Depot!$B$8+(1-Depot!$B$7)*Depot!$B$9)/365+INDEX(DepotLoss,5)/Depot!$B$6),TRUE)))</f>
        <v/>
      </c>
      <c r="H32" s="6">
        <f>Depot!$B$6*((Depot!$B$5*(Depot!$B$7*Depot!$B$8+(1-Depot!$B$7)*Depot!$B$9)/365+INDEX(DepotLoss,1)/Depot!$B$6)*(1-_xlfn.POISSON.DIST(5,(Depot!$B$5*(Depot!$B$7*Depot!$B$8+(1-Depot!$B$7)*Depot!$B$9)/365+INDEX(DepotLoss,1)/Depot!$B$6),TRUE))-6*(1-_xlfn.POISSON.DIST(6,(Depot!$B$5*(Depot!$B$7*Depot!$B$8+(1-Depot!$B$7)*Depot!$B$9)/365+INDEX(DepotLoss,1)/Depot!$B$6),TRUE)))</f>
        <v/>
      </c>
      <c r="I32" s="13">
        <f>MIN(B32:H32)</f>
        <v/>
      </c>
      <c r="J32" s="14">
        <f>MATCH(I32,B32:H32,0)-1</f>
        <v/>
      </c>
      <c r="K32" s="14">
        <f>A32-Depot!$B$6*J32</f>
        <v/>
      </c>
      <c r="L32" s="6">
        <f>I31-I32</f>
        <v/>
      </c>
      <c r="M32" s="14">
        <f>IF(OR(L32="",L33=""),"",IF(L33&gt;L32,"drop",""))</f>
        <v/>
      </c>
      <c r="N32" s="6">
        <f>L32/($B$4/1000)</f>
        <v/>
      </c>
    </row>
    <row r="33">
      <c r="A33" s="8" t="n">
        <v>25</v>
      </c>
      <c r="B33" s="6">
        <f>Depot!$B$6*((Depot!$B$5*(Depot!$B$7*Depot!$B$8+(1-Depot!$B$7)*Depot!$B$9)/365+INDEX(DepotLoss,26)/Depot!$B$6))</f>
        <v/>
      </c>
      <c r="C33" s="6">
        <f>Depot!$B$6*((Depot!$B$5*(Depot!$B$7*Depot!$B$8+(1-Depot!$B$7)*Depot!$B$9)/365+INDEX(DepotLoss,22)/Depot!$B$6)*(1-_xlfn.POISSON.DIST(0,(Depot!$B$5*(Depot!$B$7*Depot!$B$8+(1-Depot!$B$7)*Depot!$B$9)/365+INDEX(DepotLoss,22)/Depot!$B$6),TRUE))-1*(1-_xlfn.POISSON.DIST(1,(Depot!$B$5*(Depot!$B$7*Depot!$B$8+(1-Depot!$B$7)*Depot!$B$9)/365+INDEX(DepotLoss,22)/Depot!$B$6),TRUE)))</f>
        <v/>
      </c>
      <c r="D33" s="6">
        <f>Depot!$B$6*((Depot!$B$5*(Depot!$B$7*Depot!$B$8+(1-Depot!$B$7)*Depot!$B$9)/365+INDEX(DepotLoss,18)/Depot!$B$6)*(1-_xlfn.POISSON.DIST(1,(Depot!$B$5*(Depot!$B$7*Depot!$B$8+(1-Depot!$B$7)*Depot!$B$9)/365+INDEX(DepotLoss,18)/Depot!$B$6),TRUE))-2*(1-_xlfn.POISSON.DIST(2,(Depot!$B$5*(Depot!$B$7*Depot!$B$8+(1-Depot!$B$7)*Depot!$B$9)/365+INDEX(DepotLoss,18)/Depot!$B$6),TRUE)))</f>
        <v/>
      </c>
      <c r="E33" s="6">
        <f>Depot!$B$6*((Depot!$B$5*(Depot!$B$7*Depot!$B$8+(1-Depot!$B$7)*Depot!$B$9)/365+INDEX(DepotLoss,14)/Depot!$B$6)*(1-_xlfn.POISSON.DIST(2,(Depot!$B$5*(Depot!$B$7*Depot!$B$8+(1-Depot!$B$7)*Depot!$B$9)/365+INDEX(DepotLoss,14)/Depot!$B$6),TRUE))-3*(1-_xlfn.POISSON.DIST(3,(Depot!$B$5*(Depot!$B$7*Depot!$B$8+(1-Depot!$B$7)*Depot!$B$9)/365+INDEX(DepotLoss,14)/Depot!$B$6),TRUE)))</f>
        <v/>
      </c>
      <c r="F33" s="6">
        <f>Depot!$B$6*((Depot!$B$5*(Depot!$B$7*Depot!$B$8+(1-Depot!$B$7)*Depot!$B$9)/365+INDEX(DepotLoss,10)/Depot!$B$6)*(1-_xlfn.POISSON.DIST(3,(Depot!$B$5*(Depot!$B$7*Depot!$B$8+(1-Depot!$B$7)*Depot!$B$9)/365+INDEX(DepotLoss,10)/Depot!$B$6),TRUE))-4*(1-_xlfn.POISSON.DIST(4,(Depot!$B$5*(Depot!$B$7*Depot!$B$8+(1-Depot!$B$7)*Depot!$B$9)/365+INDEX(DepotLoss,10)/Depot!$B$6),TRUE)))</f>
        <v/>
      </c>
      <c r="G33" s="6">
        <f>Depot!$B$6*((Depot!$B$5*(Depot!$B$7*Depot!$B$8+(1-Depot!$B$7)*Depot!$B$9)/365+INDEX(DepotLoss,6)/Depot!$B$6)*(1-_xlfn.POISSON.DIST(4,(Depot!$B$5*(Depot!$B$7*Depot!$B$8+(1-Depot!$B$7)*Depot!$B$9)/365+INDEX(DepotLoss,6)/Depot!$B$6),TRUE))-5*(1-_xlfn.POISSON.DIST(5,(Depot!$B$5*(Depot!$B$7*Depot!$B$8+(1-Depot!$B$7)*Depot!$B$9)/365+INDEX(DepotLoss,6)/Depot!$B$6),TRUE)))</f>
        <v/>
      </c>
      <c r="H33" s="6">
        <f>Depot!$B$6*((Depot!$B$5*(Depot!$B$7*Depot!$B$8+(1-Depot!$B$7)*Depot!$B$9)/365+INDEX(DepotLoss,2)/Depot!$B$6)*(1-_xlfn.POISSON.DIST(5,(Depot!$B$5*(Depot!$B$7*Depot!$B$8+(1-Depot!$B$7)*Depot!$B$9)/365+INDEX(DepotLoss,2)/Depot!$B$6),TRUE))-6*(1-_xlfn.POISSON.DIST(6,(Depot!$B$5*(Depot!$B$7*Depot!$B$8+(1-Depot!$B$7)*Depot!$B$9)/365+INDEX(DepotLoss,2)/Depot!$B$6),TRUE)))</f>
        <v/>
      </c>
      <c r="I33" s="13">
        <f>MIN(B33:H33)</f>
        <v/>
      </c>
      <c r="J33" s="14">
        <f>MATCH(I33,B33:H33,0)-1</f>
        <v/>
      </c>
      <c r="K33" s="14">
        <f>A33-Depot!$B$6*J33</f>
        <v/>
      </c>
      <c r="L33" s="6">
        <f>I32-I33</f>
        <v/>
      </c>
      <c r="M33" s="14">
        <f>IF(OR(L33="",L34=""),"",IF(L34&gt;L33,"drop",""))</f>
        <v/>
      </c>
      <c r="N33" s="6">
        <f>L33/($B$4/1000)</f>
        <v/>
      </c>
    </row>
    <row r="34">
      <c r="A34" s="8" t="n">
        <v>26</v>
      </c>
      <c r="B34" s="6">
        <f>Depot!$B$6*((Depot!$B$5*(Depot!$B$7*Depot!$B$8+(1-Depot!$B$7)*Depot!$B$9)/365+INDEX(DepotLoss,27)/Depot!$B$6))</f>
        <v/>
      </c>
      <c r="C34" s="6">
        <f>Depot!$B$6*((Depot!$B$5*(Depot!$B$7*Depot!$B$8+(1-Depot!$B$7)*Depot!$B$9)/365+INDEX(DepotLoss,23)/Depot!$B$6)*(1-_xlfn.POISSON.DIST(0,(Depot!$B$5*(Depot!$B$7*Depot!$B$8+(1-Depot!$B$7)*Depot!$B$9)/365+INDEX(DepotLoss,23)/Depot!$B$6),TRUE))-1*(1-_xlfn.POISSON.DIST(1,(Depot!$B$5*(Depot!$B$7*Depot!$B$8+(1-Depot!$B$7)*Depot!$B$9)/365+INDEX(DepotLoss,23)/Depot!$B$6),TRUE)))</f>
        <v/>
      </c>
      <c r="D34" s="6">
        <f>Depot!$B$6*((Depot!$B$5*(Depot!$B$7*Depot!$B$8+(1-Depot!$B$7)*Depot!$B$9)/365+INDEX(DepotLoss,19)/Depot!$B$6)*(1-_xlfn.POISSON.DIST(1,(Depot!$B$5*(Depot!$B$7*Depot!$B$8+(1-Depot!$B$7)*Depot!$B$9)/365+INDEX(DepotLoss,19)/Depot!$B$6),TRUE))-2*(1-_xlfn.POISSON.DIST(2,(Depot!$B$5*(Depot!$B$7*Depot!$B$8+(1-Depot!$B$7)*Depot!$B$9)/365+INDEX(DepotLoss,19)/Depot!$B$6),TRUE)))</f>
        <v/>
      </c>
      <c r="E34" s="6">
        <f>Depot!$B$6*((Depot!$B$5*(Depot!$B$7*Depot!$B$8+(1-Depot!$B$7)*Depot!$B$9)/365+INDEX(DepotLoss,15)/Depot!$B$6)*(1-_xlfn.POISSON.DIST(2,(Depot!$B$5*(Depot!$B$7*Depot!$B$8+(1-Depot!$B$7)*Depot!$B$9)/365+INDEX(DepotLoss,15)/Depot!$B$6),TRUE))-3*(1-_xlfn.POISSON.DIST(3,(Depot!$B$5*(Depot!$B$7*Depot!$B$8+(1-Depot!$B$7)*Depot!$B$9)/365+INDEX(DepotLoss,15)/Depot!$B$6),TRUE)))</f>
        <v/>
      </c>
      <c r="F34" s="6">
        <f>Depot!$B$6*((Depot!$B$5*(Depot!$B$7*Depot!$B$8+(1-Depot!$B$7)*Depot!$B$9)/365+INDEX(DepotLoss,11)/Depot!$B$6)*(1-_xlfn.POISSON.DIST(3,(Depot!$B$5*(Depot!$B$7*Depot!$B$8+(1-Depot!$B$7)*Depot!$B$9)/365+INDEX(DepotLoss,11)/Depot!$B$6),TRUE))-4*(1-_xlfn.POISSON.DIST(4,(Depot!$B$5*(Depot!$B$7*Depot!$B$8+(1-Depot!$B$7)*Depot!$B$9)/365+INDEX(DepotLoss,11)/Depot!$B$6),TRUE)))</f>
        <v/>
      </c>
      <c r="G34" s="6">
        <f>Depot!$B$6*((Depot!$B$5*(Depot!$B$7*Depot!$B$8+(1-Depot!$B$7)*Depot!$B$9)/365+INDEX(DepotLoss,7)/Depot!$B$6)*(1-_xlfn.POISSON.DIST(4,(Depot!$B$5*(Depot!$B$7*Depot!$B$8+(1-Depot!$B$7)*Depot!$B$9)/365+INDEX(DepotLoss,7)/Depot!$B$6),TRUE))-5*(1-_xlfn.POISSON.DIST(5,(Depot!$B$5*(Depot!$B$7*Depot!$B$8+(1-Depot!$B$7)*Depot!$B$9)/365+INDEX(DepotLoss,7)/Depot!$B$6),TRUE)))</f>
        <v/>
      </c>
      <c r="H34" s="6">
        <f>Depot!$B$6*((Depot!$B$5*(Depot!$B$7*Depot!$B$8+(1-Depot!$B$7)*Depot!$B$9)/365+INDEX(DepotLoss,3)/Depot!$B$6)*(1-_xlfn.POISSON.DIST(5,(Depot!$B$5*(Depot!$B$7*Depot!$B$8+(1-Depot!$B$7)*Depot!$B$9)/365+INDEX(DepotLoss,3)/Depot!$B$6),TRUE))-6*(1-_xlfn.POISSON.DIST(6,(Depot!$B$5*(Depot!$B$7*Depot!$B$8+(1-Depot!$B$7)*Depot!$B$9)/365+INDEX(DepotLoss,3)/Depot!$B$6),TRUE)))</f>
        <v/>
      </c>
      <c r="I34" s="13">
        <f>MIN(B34:H34)</f>
        <v/>
      </c>
      <c r="J34" s="14">
        <f>MATCH(I34,B34:H34,0)-1</f>
        <v/>
      </c>
      <c r="K34" s="14">
        <f>A34-Depot!$B$6*J34</f>
        <v/>
      </c>
      <c r="L34" s="6">
        <f>I33-I34</f>
        <v/>
      </c>
      <c r="M34" s="14">
        <f>IF(OR(L34="",L35=""),"",IF(L35&gt;L34,"drop",""))</f>
        <v/>
      </c>
      <c r="N34" s="6">
        <f>L34/($B$4/1000)</f>
        <v/>
      </c>
    </row>
    <row r="35">
      <c r="A35" s="8" t="n">
        <v>27</v>
      </c>
      <c r="B35" s="12" t="inlineStr"/>
      <c r="C35" s="6">
        <f>Depot!$B$6*((Depot!$B$5*(Depot!$B$7*Depot!$B$8+(1-Depot!$B$7)*Depot!$B$9)/365+INDEX(DepotLoss,24)/Depot!$B$6)*(1-_xlfn.POISSON.DIST(0,(Depot!$B$5*(Depot!$B$7*Depot!$B$8+(1-Depot!$B$7)*Depot!$B$9)/365+INDEX(DepotLoss,24)/Depot!$B$6),TRUE))-1*(1-_xlfn.POISSON.DIST(1,(Depot!$B$5*(Depot!$B$7*Depot!$B$8+(1-Depot!$B$7)*Depot!$B$9)/365+INDEX(DepotLoss,24)/Depot!$B$6),TRUE)))</f>
        <v/>
      </c>
      <c r="D35" s="6">
        <f>Depot!$B$6*((Depot!$B$5*(Depot!$B$7*Depot!$B$8+(1-Depot!$B$7)*Depot!$B$9)/365+INDEX(DepotLoss,20)/Depot!$B$6)*(1-_xlfn.POISSON.DIST(1,(Depot!$B$5*(Depot!$B$7*Depot!$B$8+(1-Depot!$B$7)*Depot!$B$9)/365+INDEX(DepotLoss,20)/Depot!$B$6),TRUE))-2*(1-_xlfn.POISSON.DIST(2,(Depot!$B$5*(Depot!$B$7*Depot!$B$8+(1-Depot!$B$7)*Depot!$B$9)/365+INDEX(DepotLoss,20)/Depot!$B$6),TRUE)))</f>
        <v/>
      </c>
      <c r="E35" s="6">
        <f>Depot!$B$6*((Depot!$B$5*(Depot!$B$7*Depot!$B$8+(1-Depot!$B$7)*Depot!$B$9)/365+INDEX(DepotLoss,16)/Depot!$B$6)*(1-_xlfn.POISSON.DIST(2,(Depot!$B$5*(Depot!$B$7*Depot!$B$8+(1-Depot!$B$7)*Depot!$B$9)/365+INDEX(DepotLoss,16)/Depot!$B$6),TRUE))-3*(1-_xlfn.POISSON.DIST(3,(Depot!$B$5*(Depot!$B$7*Depot!$B$8+(1-Depot!$B$7)*Depot!$B$9)/365+INDEX(DepotLoss,16)/Depot!$B$6),TRUE)))</f>
        <v/>
      </c>
      <c r="F35" s="6">
        <f>Depot!$B$6*((Depot!$B$5*(Depot!$B$7*Depot!$B$8+(1-Depot!$B$7)*Depot!$B$9)/365+INDEX(DepotLoss,12)/Depot!$B$6)*(1-_xlfn.POISSON.DIST(3,(Depot!$B$5*(Depot!$B$7*Depot!$B$8+(1-Depot!$B$7)*Depot!$B$9)/365+INDEX(DepotLoss,12)/Depot!$B$6),TRUE))-4*(1-_xlfn.POISSON.DIST(4,(Depot!$B$5*(Depot!$B$7*Depot!$B$8+(1-Depot!$B$7)*Depot!$B$9)/365+INDEX(DepotLoss,12)/Depot!$B$6),TRUE)))</f>
        <v/>
      </c>
      <c r="G35" s="6">
        <f>Depot!$B$6*((Depot!$B$5*(Depot!$B$7*Depot!$B$8+(1-Depot!$B$7)*Depot!$B$9)/365+INDEX(DepotLoss,8)/Depot!$B$6)*(1-_xlfn.POISSON.DIST(4,(Depot!$B$5*(Depot!$B$7*Depot!$B$8+(1-Depot!$B$7)*Depot!$B$9)/365+INDEX(DepotLoss,8)/Depot!$B$6),TRUE))-5*(1-_xlfn.POISSON.DIST(5,(Depot!$B$5*(Depot!$B$7*Depot!$B$8+(1-Depot!$B$7)*Depot!$B$9)/365+INDEX(DepotLoss,8)/Depot!$B$6),TRUE)))</f>
        <v/>
      </c>
      <c r="H35" s="6">
        <f>Depot!$B$6*((Depot!$B$5*(Depot!$B$7*Depot!$B$8+(1-Depot!$B$7)*Depot!$B$9)/365+INDEX(DepotLoss,4)/Depot!$B$6)*(1-_xlfn.POISSON.DIST(5,(Depot!$B$5*(Depot!$B$7*Depot!$B$8+(1-Depot!$B$7)*Depot!$B$9)/365+INDEX(DepotLoss,4)/Depot!$B$6),TRUE))-6*(1-_xlfn.POISSON.DIST(6,(Depot!$B$5*(Depot!$B$7*Depot!$B$8+(1-Depot!$B$7)*Depot!$B$9)/365+INDEX(DepotLoss,4)/Depot!$B$6),TRUE)))</f>
        <v/>
      </c>
      <c r="I35" s="13">
        <f>MIN(B35:H35)</f>
        <v/>
      </c>
      <c r="J35" s="14">
        <f>MATCH(I35,B35:H35,0)-1</f>
        <v/>
      </c>
      <c r="K35" s="14">
        <f>A35-Depot!$B$6*J35</f>
        <v/>
      </c>
      <c r="L35" s="6">
        <f>I34-I35</f>
        <v/>
      </c>
      <c r="M35" s="14">
        <f>IF(OR(L35="",L36=""),"",IF(L36&gt;L35,"drop",""))</f>
        <v/>
      </c>
      <c r="N35" s="6">
        <f>L35/($B$4/1000)</f>
        <v/>
      </c>
    </row>
    <row r="36">
      <c r="A36" s="8" t="n">
        <v>28</v>
      </c>
      <c r="B36" s="12" t="inlineStr"/>
      <c r="C36" s="6">
        <f>Depot!$B$6*((Depot!$B$5*(Depot!$B$7*Depot!$B$8+(1-Depot!$B$7)*Depot!$B$9)/365+INDEX(DepotLoss,25)/Depot!$B$6)*(1-_xlfn.POISSON.DIST(0,(Depot!$B$5*(Depot!$B$7*Depot!$B$8+(1-Depot!$B$7)*Depot!$B$9)/365+INDEX(DepotLoss,25)/Depot!$B$6),TRUE))-1*(1-_xlfn.POISSON.DIST(1,(Depot!$B$5*(Depot!$B$7*Depot!$B$8+(1-Depot!$B$7)*Depot!$B$9)/365+INDEX(DepotLoss,25)/Depot!$B$6),TRUE)))</f>
        <v/>
      </c>
      <c r="D36" s="6">
        <f>Depot!$B$6*((Depot!$B$5*(Depot!$B$7*Depot!$B$8+(1-Depot!$B$7)*Depot!$B$9)/365+INDEX(DepotLoss,21)/Depot!$B$6)*(1-_xlfn.POISSON.DIST(1,(Depot!$B$5*(Depot!$B$7*Depot!$B$8+(1-Depot!$B$7)*Depot!$B$9)/365+INDEX(DepotLoss,21)/Depot!$B$6),TRUE))-2*(1-_xlfn.POISSON.DIST(2,(Depot!$B$5*(Depot!$B$7*Depot!$B$8+(1-Depot!$B$7)*Depot!$B$9)/365+INDEX(DepotLoss,21)/Depot!$B$6),TRUE)))</f>
        <v/>
      </c>
      <c r="E36" s="6">
        <f>Depot!$B$6*((Depot!$B$5*(Depot!$B$7*Depot!$B$8+(1-Depot!$B$7)*Depot!$B$9)/365+INDEX(DepotLoss,17)/Depot!$B$6)*(1-_xlfn.POISSON.DIST(2,(Depot!$B$5*(Depot!$B$7*Depot!$B$8+(1-Depot!$B$7)*Depot!$B$9)/365+INDEX(DepotLoss,17)/Depot!$B$6),TRUE))-3*(1-_xlfn.POISSON.DIST(3,(Depot!$B$5*(Depot!$B$7*Depot!$B$8+(1-Depot!$B$7)*Depot!$B$9)/365+INDEX(DepotLoss,17)/Depot!$B$6),TRUE)))</f>
        <v/>
      </c>
      <c r="F36" s="6">
        <f>Depot!$B$6*((Depot!$B$5*(Depot!$B$7*Depot!$B$8+(1-Depot!$B$7)*Depot!$B$9)/365+INDEX(DepotLoss,13)/Depot!$B$6)*(1-_xlfn.POISSON.DIST(3,(Depot!$B$5*(Depot!$B$7*Depot!$B$8+(1-Depot!$B$7)*Depot!$B$9)/365+INDEX(DepotLoss,13)/Depot!$B$6),TRUE))-4*(1-_xlfn.POISSON.DIST(4,(Depot!$B$5*(Depot!$B$7*Depot!$B$8+(1-Depot!$B$7)*Depot!$B$9)/365+INDEX(DepotLoss,13)/Depot!$B$6),TRUE)))</f>
        <v/>
      </c>
      <c r="G36" s="6">
        <f>Depot!$B$6*((Depot!$B$5*(Depot!$B$7*Depot!$B$8+(1-Depot!$B$7)*Depot!$B$9)/365+INDEX(DepotLoss,9)/Depot!$B$6)*(1-_xlfn.POISSON.DIST(4,(Depot!$B$5*(Depot!$B$7*Depot!$B$8+(1-Depot!$B$7)*Depot!$B$9)/365+INDEX(DepotLoss,9)/Depot!$B$6),TRUE))-5*(1-_xlfn.POISSON.DIST(5,(Depot!$B$5*(Depot!$B$7*Depot!$B$8+(1-Depot!$B$7)*Depot!$B$9)/365+INDEX(DepotLoss,9)/Depot!$B$6),TRUE)))</f>
        <v/>
      </c>
      <c r="H36" s="6">
        <f>Depot!$B$6*((Depot!$B$5*(Depot!$B$7*Depot!$B$8+(1-Depot!$B$7)*Depot!$B$9)/365+INDEX(DepotLoss,5)/Depot!$B$6)*(1-_xlfn.POISSON.DIST(5,(Depot!$B$5*(Depot!$B$7*Depot!$B$8+(1-Depot!$B$7)*Depot!$B$9)/365+INDEX(DepotLoss,5)/Depot!$B$6),TRUE))-6*(1-_xlfn.POISSON.DIST(6,(Depot!$B$5*(Depot!$B$7*Depot!$B$8+(1-Depot!$B$7)*Depot!$B$9)/365+INDEX(DepotLoss,5)/Depot!$B$6),TRUE)))</f>
        <v/>
      </c>
      <c r="I36" s="13">
        <f>MIN(B36:H36)</f>
        <v/>
      </c>
      <c r="J36" s="14">
        <f>MATCH(I36,B36:H36,0)-1</f>
        <v/>
      </c>
      <c r="K36" s="14">
        <f>A36-Depot!$B$6*J36</f>
        <v/>
      </c>
      <c r="L36" s="6">
        <f>I35-I36</f>
        <v/>
      </c>
      <c r="M36" s="14">
        <f>IF(OR(L36="",L37=""),"",IF(L37&gt;L36,"drop",""))</f>
        <v/>
      </c>
      <c r="N36" s="6">
        <f>L36/($B$4/1000)</f>
        <v/>
      </c>
    </row>
    <row r="37">
      <c r="A37" s="8" t="n">
        <v>29</v>
      </c>
      <c r="B37" s="12" t="inlineStr"/>
      <c r="C37" s="6">
        <f>Depot!$B$6*((Depot!$B$5*(Depot!$B$7*Depot!$B$8+(1-Depot!$B$7)*Depot!$B$9)/365+INDEX(DepotLoss,26)/Depot!$B$6)*(1-_xlfn.POISSON.DIST(0,(Depot!$B$5*(Depot!$B$7*Depot!$B$8+(1-Depot!$B$7)*Depot!$B$9)/365+INDEX(DepotLoss,26)/Depot!$B$6),TRUE))-1*(1-_xlfn.POISSON.DIST(1,(Depot!$B$5*(Depot!$B$7*Depot!$B$8+(1-Depot!$B$7)*Depot!$B$9)/365+INDEX(DepotLoss,26)/Depot!$B$6),TRUE)))</f>
        <v/>
      </c>
      <c r="D37" s="6">
        <f>Depot!$B$6*((Depot!$B$5*(Depot!$B$7*Depot!$B$8+(1-Depot!$B$7)*Depot!$B$9)/365+INDEX(DepotLoss,22)/Depot!$B$6)*(1-_xlfn.POISSON.DIST(1,(Depot!$B$5*(Depot!$B$7*Depot!$B$8+(1-Depot!$B$7)*Depot!$B$9)/365+INDEX(DepotLoss,22)/Depot!$B$6),TRUE))-2*(1-_xlfn.POISSON.DIST(2,(Depot!$B$5*(Depot!$B$7*Depot!$B$8+(1-Depot!$B$7)*Depot!$B$9)/365+INDEX(DepotLoss,22)/Depot!$B$6),TRUE)))</f>
        <v/>
      </c>
      <c r="E37" s="6">
        <f>Depot!$B$6*((Depot!$B$5*(Depot!$B$7*Depot!$B$8+(1-Depot!$B$7)*Depot!$B$9)/365+INDEX(DepotLoss,18)/Depot!$B$6)*(1-_xlfn.POISSON.DIST(2,(Depot!$B$5*(Depot!$B$7*Depot!$B$8+(1-Depot!$B$7)*Depot!$B$9)/365+INDEX(DepotLoss,18)/Depot!$B$6),TRUE))-3*(1-_xlfn.POISSON.DIST(3,(Depot!$B$5*(Depot!$B$7*Depot!$B$8+(1-Depot!$B$7)*Depot!$B$9)/365+INDEX(DepotLoss,18)/Depot!$B$6),TRUE)))</f>
        <v/>
      </c>
      <c r="F37" s="6">
        <f>Depot!$B$6*((Depot!$B$5*(Depot!$B$7*Depot!$B$8+(1-Depot!$B$7)*Depot!$B$9)/365+INDEX(DepotLoss,14)/Depot!$B$6)*(1-_xlfn.POISSON.DIST(3,(Depot!$B$5*(Depot!$B$7*Depot!$B$8+(1-Depot!$B$7)*Depot!$B$9)/365+INDEX(DepotLoss,14)/Depot!$B$6),TRUE))-4*(1-_xlfn.POISSON.DIST(4,(Depot!$B$5*(Depot!$B$7*Depot!$B$8+(1-Depot!$B$7)*Depot!$B$9)/365+INDEX(DepotLoss,14)/Depot!$B$6),TRUE)))</f>
        <v/>
      </c>
      <c r="G37" s="6">
        <f>Depot!$B$6*((Depot!$B$5*(Depot!$B$7*Depot!$B$8+(1-Depot!$B$7)*Depot!$B$9)/365+INDEX(DepotLoss,10)/Depot!$B$6)*(1-_xlfn.POISSON.DIST(4,(Depot!$B$5*(Depot!$B$7*Depot!$B$8+(1-Depot!$B$7)*Depot!$B$9)/365+INDEX(DepotLoss,10)/Depot!$B$6),TRUE))-5*(1-_xlfn.POISSON.DIST(5,(Depot!$B$5*(Depot!$B$7*Depot!$B$8+(1-Depot!$B$7)*Depot!$B$9)/365+INDEX(DepotLoss,10)/Depot!$B$6),TRUE)))</f>
        <v/>
      </c>
      <c r="H37" s="6">
        <f>Depot!$B$6*((Depot!$B$5*(Depot!$B$7*Depot!$B$8+(1-Depot!$B$7)*Depot!$B$9)/365+INDEX(DepotLoss,6)/Depot!$B$6)*(1-_xlfn.POISSON.DIST(5,(Depot!$B$5*(Depot!$B$7*Depot!$B$8+(1-Depot!$B$7)*Depot!$B$9)/365+INDEX(DepotLoss,6)/Depot!$B$6),TRUE))-6*(1-_xlfn.POISSON.DIST(6,(Depot!$B$5*(Depot!$B$7*Depot!$B$8+(1-Depot!$B$7)*Depot!$B$9)/365+INDEX(DepotLoss,6)/Depot!$B$6),TRUE)))</f>
        <v/>
      </c>
      <c r="I37" s="13">
        <f>MIN(B37:H37)</f>
        <v/>
      </c>
      <c r="J37" s="14">
        <f>MATCH(I37,B37:H37,0)-1</f>
        <v/>
      </c>
      <c r="K37" s="14">
        <f>A37-Depot!$B$6*J37</f>
        <v/>
      </c>
      <c r="L37" s="6">
        <f>I36-I37</f>
        <v/>
      </c>
      <c r="M37" s="14">
        <f>IF(OR(L37="",L38=""),"",IF(L38&gt;L37,"drop",""))</f>
        <v/>
      </c>
      <c r="N37" s="6">
        <f>L37/($B$4/1000)</f>
        <v/>
      </c>
    </row>
    <row r="38">
      <c r="A38" s="8" t="n">
        <v>30</v>
      </c>
      <c r="B38" s="12" t="inlineStr"/>
      <c r="C38" s="6">
        <f>Depot!$B$6*((Depot!$B$5*(Depot!$B$7*Depot!$B$8+(1-Depot!$B$7)*Depot!$B$9)/365+INDEX(DepotLoss,27)/Depot!$B$6)*(1-_xlfn.POISSON.DIST(0,(Depot!$B$5*(Depot!$B$7*Depot!$B$8+(1-Depot!$B$7)*Depot!$B$9)/365+INDEX(DepotLoss,27)/Depot!$B$6),TRUE))-1*(1-_xlfn.POISSON.DIST(1,(Depot!$B$5*(Depot!$B$7*Depot!$B$8+(1-Depot!$B$7)*Depot!$B$9)/365+INDEX(DepotLoss,27)/Depot!$B$6),TRUE)))</f>
        <v/>
      </c>
      <c r="D38" s="6">
        <f>Depot!$B$6*((Depot!$B$5*(Depot!$B$7*Depot!$B$8+(1-Depot!$B$7)*Depot!$B$9)/365+INDEX(DepotLoss,23)/Depot!$B$6)*(1-_xlfn.POISSON.DIST(1,(Depot!$B$5*(Depot!$B$7*Depot!$B$8+(1-Depot!$B$7)*Depot!$B$9)/365+INDEX(DepotLoss,23)/Depot!$B$6),TRUE))-2*(1-_xlfn.POISSON.DIST(2,(Depot!$B$5*(Depot!$B$7*Depot!$B$8+(1-Depot!$B$7)*Depot!$B$9)/365+INDEX(DepotLoss,23)/Depot!$B$6),TRUE)))</f>
        <v/>
      </c>
      <c r="E38" s="6">
        <f>Depot!$B$6*((Depot!$B$5*(Depot!$B$7*Depot!$B$8+(1-Depot!$B$7)*Depot!$B$9)/365+INDEX(DepotLoss,19)/Depot!$B$6)*(1-_xlfn.POISSON.DIST(2,(Depot!$B$5*(Depot!$B$7*Depot!$B$8+(1-Depot!$B$7)*Depot!$B$9)/365+INDEX(DepotLoss,19)/Depot!$B$6),TRUE))-3*(1-_xlfn.POISSON.DIST(3,(Depot!$B$5*(Depot!$B$7*Depot!$B$8+(1-Depot!$B$7)*Depot!$B$9)/365+INDEX(DepotLoss,19)/Depot!$B$6),TRUE)))</f>
        <v/>
      </c>
      <c r="F38" s="6">
        <f>Depot!$B$6*((Depot!$B$5*(Depot!$B$7*Depot!$B$8+(1-Depot!$B$7)*Depot!$B$9)/365+INDEX(DepotLoss,15)/Depot!$B$6)*(1-_xlfn.POISSON.DIST(3,(Depot!$B$5*(Depot!$B$7*Depot!$B$8+(1-Depot!$B$7)*Depot!$B$9)/365+INDEX(DepotLoss,15)/Depot!$B$6),TRUE))-4*(1-_xlfn.POISSON.DIST(4,(Depot!$B$5*(Depot!$B$7*Depot!$B$8+(1-Depot!$B$7)*Depot!$B$9)/365+INDEX(DepotLoss,15)/Depot!$B$6),TRUE)))</f>
        <v/>
      </c>
      <c r="G38" s="6">
        <f>Depot!$B$6*((Depot!$B$5*(Depot!$B$7*Depot!$B$8+(1-Depot!$B$7)*Depot!$B$9)/365+INDEX(DepotLoss,11)/Depot!$B$6)*(1-_xlfn.POISSON.DIST(4,(Depot!$B$5*(Depot!$B$7*Depot!$B$8+(1-Depot!$B$7)*Depot!$B$9)/365+INDEX(DepotLoss,11)/Depot!$B$6),TRUE))-5*(1-_xlfn.POISSON.DIST(5,(Depot!$B$5*(Depot!$B$7*Depot!$B$8+(1-Depot!$B$7)*Depot!$B$9)/365+INDEX(DepotLoss,11)/Depot!$B$6),TRUE)))</f>
        <v/>
      </c>
      <c r="H38" s="6">
        <f>Depot!$B$6*((Depot!$B$5*(Depot!$B$7*Depot!$B$8+(1-Depot!$B$7)*Depot!$B$9)/365+INDEX(DepotLoss,7)/Depot!$B$6)*(1-_xlfn.POISSON.DIST(5,(Depot!$B$5*(Depot!$B$7*Depot!$B$8+(1-Depot!$B$7)*Depot!$B$9)/365+INDEX(DepotLoss,7)/Depot!$B$6),TRUE))-6*(1-_xlfn.POISSON.DIST(6,(Depot!$B$5*(Depot!$B$7*Depot!$B$8+(1-Depot!$B$7)*Depot!$B$9)/365+INDEX(DepotLoss,7)/Depot!$B$6),TRUE)))</f>
        <v/>
      </c>
      <c r="I38" s="13">
        <f>MIN(B38:H38)</f>
        <v/>
      </c>
      <c r="J38" s="14">
        <f>MATCH(I38,B38:H38,0)-1</f>
        <v/>
      </c>
      <c r="K38" s="14">
        <f>A38-Depot!$B$6*J38</f>
        <v/>
      </c>
      <c r="L38" s="6">
        <f>I37-I38</f>
        <v/>
      </c>
      <c r="M38" s="14">
        <f>IF(OR(L38="",L39=""),"",IF(L39&gt;L38,"drop",""))</f>
        <v/>
      </c>
      <c r="N38" s="6">
        <f>L38/($B$4/1000)</f>
        <v/>
      </c>
    </row>
    <row r="39">
      <c r="A39" s="8" t="n">
        <v>31</v>
      </c>
      <c r="B39" s="12" t="inlineStr"/>
      <c r="C39" s="12" t="inlineStr"/>
      <c r="D39" s="6">
        <f>Depot!$B$6*((Depot!$B$5*(Depot!$B$7*Depot!$B$8+(1-Depot!$B$7)*Depot!$B$9)/365+INDEX(DepotLoss,24)/Depot!$B$6)*(1-_xlfn.POISSON.DIST(1,(Depot!$B$5*(Depot!$B$7*Depot!$B$8+(1-Depot!$B$7)*Depot!$B$9)/365+INDEX(DepotLoss,24)/Depot!$B$6),TRUE))-2*(1-_xlfn.POISSON.DIST(2,(Depot!$B$5*(Depot!$B$7*Depot!$B$8+(1-Depot!$B$7)*Depot!$B$9)/365+INDEX(DepotLoss,24)/Depot!$B$6),TRUE)))</f>
        <v/>
      </c>
      <c r="E39" s="6">
        <f>Depot!$B$6*((Depot!$B$5*(Depot!$B$7*Depot!$B$8+(1-Depot!$B$7)*Depot!$B$9)/365+INDEX(DepotLoss,20)/Depot!$B$6)*(1-_xlfn.POISSON.DIST(2,(Depot!$B$5*(Depot!$B$7*Depot!$B$8+(1-Depot!$B$7)*Depot!$B$9)/365+INDEX(DepotLoss,20)/Depot!$B$6),TRUE))-3*(1-_xlfn.POISSON.DIST(3,(Depot!$B$5*(Depot!$B$7*Depot!$B$8+(1-Depot!$B$7)*Depot!$B$9)/365+INDEX(DepotLoss,20)/Depot!$B$6),TRUE)))</f>
        <v/>
      </c>
      <c r="F39" s="6">
        <f>Depot!$B$6*((Depot!$B$5*(Depot!$B$7*Depot!$B$8+(1-Depot!$B$7)*Depot!$B$9)/365+INDEX(DepotLoss,16)/Depot!$B$6)*(1-_xlfn.POISSON.DIST(3,(Depot!$B$5*(Depot!$B$7*Depot!$B$8+(1-Depot!$B$7)*Depot!$B$9)/365+INDEX(DepotLoss,16)/Depot!$B$6),TRUE))-4*(1-_xlfn.POISSON.DIST(4,(Depot!$B$5*(Depot!$B$7*Depot!$B$8+(1-Depot!$B$7)*Depot!$B$9)/365+INDEX(DepotLoss,16)/Depot!$B$6),TRUE)))</f>
        <v/>
      </c>
      <c r="G39" s="6">
        <f>Depot!$B$6*((Depot!$B$5*(Depot!$B$7*Depot!$B$8+(1-Depot!$B$7)*Depot!$B$9)/365+INDEX(DepotLoss,12)/Depot!$B$6)*(1-_xlfn.POISSON.DIST(4,(Depot!$B$5*(Depot!$B$7*Depot!$B$8+(1-Depot!$B$7)*Depot!$B$9)/365+INDEX(DepotLoss,12)/Depot!$B$6),TRUE))-5*(1-_xlfn.POISSON.DIST(5,(Depot!$B$5*(Depot!$B$7*Depot!$B$8+(1-Depot!$B$7)*Depot!$B$9)/365+INDEX(DepotLoss,12)/Depot!$B$6),TRUE)))</f>
        <v/>
      </c>
      <c r="H39" s="6">
        <f>Depot!$B$6*((Depot!$B$5*(Depot!$B$7*Depot!$B$8+(1-Depot!$B$7)*Depot!$B$9)/365+INDEX(DepotLoss,8)/Depot!$B$6)*(1-_xlfn.POISSON.DIST(5,(Depot!$B$5*(Depot!$B$7*Depot!$B$8+(1-Depot!$B$7)*Depot!$B$9)/365+INDEX(DepotLoss,8)/Depot!$B$6),TRUE))-6*(1-_xlfn.POISSON.DIST(6,(Depot!$B$5*(Depot!$B$7*Depot!$B$8+(1-Depot!$B$7)*Depot!$B$9)/365+INDEX(DepotLoss,8)/Depot!$B$6),TRUE)))</f>
        <v/>
      </c>
      <c r="I39" s="13">
        <f>MIN(B39:H39)</f>
        <v/>
      </c>
      <c r="J39" s="14">
        <f>MATCH(I39,B39:H39,0)-1</f>
        <v/>
      </c>
      <c r="K39" s="14">
        <f>A39-Depot!$B$6*J39</f>
        <v/>
      </c>
      <c r="L39" s="6">
        <f>I38-I39</f>
        <v/>
      </c>
      <c r="M39" s="14">
        <f>IF(OR(L39="",L40=""),"",IF(L40&gt;L39,"drop",""))</f>
        <v/>
      </c>
      <c r="N39" s="6">
        <f>L39/($B$4/1000)</f>
        <v/>
      </c>
    </row>
    <row r="40">
      <c r="A40" s="8" t="n">
        <v>32</v>
      </c>
      <c r="B40" s="12" t="inlineStr"/>
      <c r="C40" s="12" t="inlineStr"/>
      <c r="D40" s="6">
        <f>Depot!$B$6*((Depot!$B$5*(Depot!$B$7*Depot!$B$8+(1-Depot!$B$7)*Depot!$B$9)/365+INDEX(DepotLoss,25)/Depot!$B$6)*(1-_xlfn.POISSON.DIST(1,(Depot!$B$5*(Depot!$B$7*Depot!$B$8+(1-Depot!$B$7)*Depot!$B$9)/365+INDEX(DepotLoss,25)/Depot!$B$6),TRUE))-2*(1-_xlfn.POISSON.DIST(2,(Depot!$B$5*(Depot!$B$7*Depot!$B$8+(1-Depot!$B$7)*Depot!$B$9)/365+INDEX(DepotLoss,25)/Depot!$B$6),TRUE)))</f>
        <v/>
      </c>
      <c r="E40" s="6">
        <f>Depot!$B$6*((Depot!$B$5*(Depot!$B$7*Depot!$B$8+(1-Depot!$B$7)*Depot!$B$9)/365+INDEX(DepotLoss,21)/Depot!$B$6)*(1-_xlfn.POISSON.DIST(2,(Depot!$B$5*(Depot!$B$7*Depot!$B$8+(1-Depot!$B$7)*Depot!$B$9)/365+INDEX(DepotLoss,21)/Depot!$B$6),TRUE))-3*(1-_xlfn.POISSON.DIST(3,(Depot!$B$5*(Depot!$B$7*Depot!$B$8+(1-Depot!$B$7)*Depot!$B$9)/365+INDEX(DepotLoss,21)/Depot!$B$6),TRUE)))</f>
        <v/>
      </c>
      <c r="F40" s="6">
        <f>Depot!$B$6*((Depot!$B$5*(Depot!$B$7*Depot!$B$8+(1-Depot!$B$7)*Depot!$B$9)/365+INDEX(DepotLoss,17)/Depot!$B$6)*(1-_xlfn.POISSON.DIST(3,(Depot!$B$5*(Depot!$B$7*Depot!$B$8+(1-Depot!$B$7)*Depot!$B$9)/365+INDEX(DepotLoss,17)/Depot!$B$6),TRUE))-4*(1-_xlfn.POISSON.DIST(4,(Depot!$B$5*(Depot!$B$7*Depot!$B$8+(1-Depot!$B$7)*Depot!$B$9)/365+INDEX(DepotLoss,17)/Depot!$B$6),TRUE)))</f>
        <v/>
      </c>
      <c r="G40" s="6">
        <f>Depot!$B$6*((Depot!$B$5*(Depot!$B$7*Depot!$B$8+(1-Depot!$B$7)*Depot!$B$9)/365+INDEX(DepotLoss,13)/Depot!$B$6)*(1-_xlfn.POISSON.DIST(4,(Depot!$B$5*(Depot!$B$7*Depot!$B$8+(1-Depot!$B$7)*Depot!$B$9)/365+INDEX(DepotLoss,13)/Depot!$B$6),TRUE))-5*(1-_xlfn.POISSON.DIST(5,(Depot!$B$5*(Depot!$B$7*Depot!$B$8+(1-Depot!$B$7)*Depot!$B$9)/365+INDEX(DepotLoss,13)/Depot!$B$6),TRUE)))</f>
        <v/>
      </c>
      <c r="H40" s="6">
        <f>Depot!$B$6*((Depot!$B$5*(Depot!$B$7*Depot!$B$8+(1-Depot!$B$7)*Depot!$B$9)/365+INDEX(DepotLoss,9)/Depot!$B$6)*(1-_xlfn.POISSON.DIST(5,(Depot!$B$5*(Depot!$B$7*Depot!$B$8+(1-Depot!$B$7)*Depot!$B$9)/365+INDEX(DepotLoss,9)/Depot!$B$6),TRUE))-6*(1-_xlfn.POISSON.DIST(6,(Depot!$B$5*(Depot!$B$7*Depot!$B$8+(1-Depot!$B$7)*Depot!$B$9)/365+INDEX(DepotLoss,9)/Depot!$B$6),TRUE)))</f>
        <v/>
      </c>
      <c r="I40" s="13">
        <f>MIN(B40:H40)</f>
        <v/>
      </c>
      <c r="J40" s="14">
        <f>MATCH(I40,B40:H40,0)-1</f>
        <v/>
      </c>
      <c r="K40" s="14">
        <f>A40-Depot!$B$6*J40</f>
        <v/>
      </c>
      <c r="L40" s="6">
        <f>I39-I40</f>
        <v/>
      </c>
      <c r="M40" s="14">
        <f>IF(OR(L40="",L41=""),"",IF(L41&gt;L40,"drop",""))</f>
        <v/>
      </c>
      <c r="N40" s="6">
        <f>L40/($B$4/1000)</f>
        <v/>
      </c>
    </row>
    <row r="41">
      <c r="A41" s="8" t="n">
        <v>33</v>
      </c>
      <c r="B41" s="12" t="inlineStr"/>
      <c r="C41" s="12" t="inlineStr"/>
      <c r="D41" s="6">
        <f>Depot!$B$6*((Depot!$B$5*(Depot!$B$7*Depot!$B$8+(1-Depot!$B$7)*Depot!$B$9)/365+INDEX(DepotLoss,26)/Depot!$B$6)*(1-_xlfn.POISSON.DIST(1,(Depot!$B$5*(Depot!$B$7*Depot!$B$8+(1-Depot!$B$7)*Depot!$B$9)/365+INDEX(DepotLoss,26)/Depot!$B$6),TRUE))-2*(1-_xlfn.POISSON.DIST(2,(Depot!$B$5*(Depot!$B$7*Depot!$B$8+(1-Depot!$B$7)*Depot!$B$9)/365+INDEX(DepotLoss,26)/Depot!$B$6),TRUE)))</f>
        <v/>
      </c>
      <c r="E41" s="6">
        <f>Depot!$B$6*((Depot!$B$5*(Depot!$B$7*Depot!$B$8+(1-Depot!$B$7)*Depot!$B$9)/365+INDEX(DepotLoss,22)/Depot!$B$6)*(1-_xlfn.POISSON.DIST(2,(Depot!$B$5*(Depot!$B$7*Depot!$B$8+(1-Depot!$B$7)*Depot!$B$9)/365+INDEX(DepotLoss,22)/Depot!$B$6),TRUE))-3*(1-_xlfn.POISSON.DIST(3,(Depot!$B$5*(Depot!$B$7*Depot!$B$8+(1-Depot!$B$7)*Depot!$B$9)/365+INDEX(DepotLoss,22)/Depot!$B$6),TRUE)))</f>
        <v/>
      </c>
      <c r="F41" s="6">
        <f>Depot!$B$6*((Depot!$B$5*(Depot!$B$7*Depot!$B$8+(1-Depot!$B$7)*Depot!$B$9)/365+INDEX(DepotLoss,18)/Depot!$B$6)*(1-_xlfn.POISSON.DIST(3,(Depot!$B$5*(Depot!$B$7*Depot!$B$8+(1-Depot!$B$7)*Depot!$B$9)/365+INDEX(DepotLoss,18)/Depot!$B$6),TRUE))-4*(1-_xlfn.POISSON.DIST(4,(Depot!$B$5*(Depot!$B$7*Depot!$B$8+(1-Depot!$B$7)*Depot!$B$9)/365+INDEX(DepotLoss,18)/Depot!$B$6),TRUE)))</f>
        <v/>
      </c>
      <c r="G41" s="6">
        <f>Depot!$B$6*((Depot!$B$5*(Depot!$B$7*Depot!$B$8+(1-Depot!$B$7)*Depot!$B$9)/365+INDEX(DepotLoss,14)/Depot!$B$6)*(1-_xlfn.POISSON.DIST(4,(Depot!$B$5*(Depot!$B$7*Depot!$B$8+(1-Depot!$B$7)*Depot!$B$9)/365+INDEX(DepotLoss,14)/Depot!$B$6),TRUE))-5*(1-_xlfn.POISSON.DIST(5,(Depot!$B$5*(Depot!$B$7*Depot!$B$8+(1-Depot!$B$7)*Depot!$B$9)/365+INDEX(DepotLoss,14)/Depot!$B$6),TRUE)))</f>
        <v/>
      </c>
      <c r="H41" s="6">
        <f>Depot!$B$6*((Depot!$B$5*(Depot!$B$7*Depot!$B$8+(1-Depot!$B$7)*Depot!$B$9)/365+INDEX(DepotLoss,10)/Depot!$B$6)*(1-_xlfn.POISSON.DIST(5,(Depot!$B$5*(Depot!$B$7*Depot!$B$8+(1-Depot!$B$7)*Depot!$B$9)/365+INDEX(DepotLoss,10)/Depot!$B$6),TRUE))-6*(1-_xlfn.POISSON.DIST(6,(Depot!$B$5*(Depot!$B$7*Depot!$B$8+(1-Depot!$B$7)*Depot!$B$9)/365+INDEX(DepotLoss,10)/Depot!$B$6),TRUE)))</f>
        <v/>
      </c>
      <c r="I41" s="13">
        <f>MIN(B41:H41)</f>
        <v/>
      </c>
      <c r="J41" s="14">
        <f>MATCH(I41,B41:H41,0)-1</f>
        <v/>
      </c>
      <c r="K41" s="14">
        <f>A41-Depot!$B$6*J41</f>
        <v/>
      </c>
      <c r="L41" s="6">
        <f>I40-I41</f>
        <v/>
      </c>
      <c r="M41" s="14">
        <f>IF(OR(L41="",L42=""),"",IF(L42&gt;L41,"drop",""))</f>
        <v/>
      </c>
      <c r="N41" s="6">
        <f>L41/($B$4/1000)</f>
        <v/>
      </c>
    </row>
    <row r="42">
      <c r="A42" s="8" t="n">
        <v>34</v>
      </c>
      <c r="B42" s="12" t="inlineStr"/>
      <c r="C42" s="12" t="inlineStr"/>
      <c r="D42" s="6">
        <f>Depot!$B$6*((Depot!$B$5*(Depot!$B$7*Depot!$B$8+(1-Depot!$B$7)*Depot!$B$9)/365+INDEX(DepotLoss,27)/Depot!$B$6)*(1-_xlfn.POISSON.DIST(1,(Depot!$B$5*(Depot!$B$7*Depot!$B$8+(1-Depot!$B$7)*Depot!$B$9)/365+INDEX(DepotLoss,27)/Depot!$B$6),TRUE))-2*(1-_xlfn.POISSON.DIST(2,(Depot!$B$5*(Depot!$B$7*Depot!$B$8+(1-Depot!$B$7)*Depot!$B$9)/365+INDEX(DepotLoss,27)/Depot!$B$6),TRUE)))</f>
        <v/>
      </c>
      <c r="E42" s="6">
        <f>Depot!$B$6*((Depot!$B$5*(Depot!$B$7*Depot!$B$8+(1-Depot!$B$7)*Depot!$B$9)/365+INDEX(DepotLoss,23)/Depot!$B$6)*(1-_xlfn.POISSON.DIST(2,(Depot!$B$5*(Depot!$B$7*Depot!$B$8+(1-Depot!$B$7)*Depot!$B$9)/365+INDEX(DepotLoss,23)/Depot!$B$6),TRUE))-3*(1-_xlfn.POISSON.DIST(3,(Depot!$B$5*(Depot!$B$7*Depot!$B$8+(1-Depot!$B$7)*Depot!$B$9)/365+INDEX(DepotLoss,23)/Depot!$B$6),TRUE)))</f>
        <v/>
      </c>
      <c r="F42" s="6">
        <f>Depot!$B$6*((Depot!$B$5*(Depot!$B$7*Depot!$B$8+(1-Depot!$B$7)*Depot!$B$9)/365+INDEX(DepotLoss,19)/Depot!$B$6)*(1-_xlfn.POISSON.DIST(3,(Depot!$B$5*(Depot!$B$7*Depot!$B$8+(1-Depot!$B$7)*Depot!$B$9)/365+INDEX(DepotLoss,19)/Depot!$B$6),TRUE))-4*(1-_xlfn.POISSON.DIST(4,(Depot!$B$5*(Depot!$B$7*Depot!$B$8+(1-Depot!$B$7)*Depot!$B$9)/365+INDEX(DepotLoss,19)/Depot!$B$6),TRUE)))</f>
        <v/>
      </c>
      <c r="G42" s="6">
        <f>Depot!$B$6*((Depot!$B$5*(Depot!$B$7*Depot!$B$8+(1-Depot!$B$7)*Depot!$B$9)/365+INDEX(DepotLoss,15)/Depot!$B$6)*(1-_xlfn.POISSON.DIST(4,(Depot!$B$5*(Depot!$B$7*Depot!$B$8+(1-Depot!$B$7)*Depot!$B$9)/365+INDEX(DepotLoss,15)/Depot!$B$6),TRUE))-5*(1-_xlfn.POISSON.DIST(5,(Depot!$B$5*(Depot!$B$7*Depot!$B$8+(1-Depot!$B$7)*Depot!$B$9)/365+INDEX(DepotLoss,15)/Depot!$B$6),TRUE)))</f>
        <v/>
      </c>
      <c r="H42" s="6">
        <f>Depot!$B$6*((Depot!$B$5*(Depot!$B$7*Depot!$B$8+(1-Depot!$B$7)*Depot!$B$9)/365+INDEX(DepotLoss,11)/Depot!$B$6)*(1-_xlfn.POISSON.DIST(5,(Depot!$B$5*(Depot!$B$7*Depot!$B$8+(1-Depot!$B$7)*Depot!$B$9)/365+INDEX(DepotLoss,11)/Depot!$B$6),TRUE))-6*(1-_xlfn.POISSON.DIST(6,(Depot!$B$5*(Depot!$B$7*Depot!$B$8+(1-Depot!$B$7)*Depot!$B$9)/365+INDEX(DepotLoss,11)/Depot!$B$6),TRUE)))</f>
        <v/>
      </c>
      <c r="I42" s="13">
        <f>MIN(B42:H42)</f>
        <v/>
      </c>
      <c r="J42" s="14">
        <f>MATCH(I42,B42:H42,0)-1</f>
        <v/>
      </c>
      <c r="K42" s="14">
        <f>A42-Depot!$B$6*J42</f>
        <v/>
      </c>
      <c r="L42" s="6">
        <f>I41-I42</f>
        <v/>
      </c>
      <c r="M42" s="14">
        <f>IF(OR(L42="",L43=""),"",IF(L43&gt;L42,"drop",""))</f>
        <v/>
      </c>
      <c r="N42" s="6">
        <f>L42/($B$4/1000)</f>
        <v/>
      </c>
    </row>
    <row r="43">
      <c r="A43" s="8" t="n">
        <v>35</v>
      </c>
      <c r="B43" s="12" t="inlineStr"/>
      <c r="C43" s="12" t="inlineStr"/>
      <c r="D43" s="12" t="inlineStr"/>
      <c r="E43" s="6">
        <f>Depot!$B$6*((Depot!$B$5*(Depot!$B$7*Depot!$B$8+(1-Depot!$B$7)*Depot!$B$9)/365+INDEX(DepotLoss,24)/Depot!$B$6)*(1-_xlfn.POISSON.DIST(2,(Depot!$B$5*(Depot!$B$7*Depot!$B$8+(1-Depot!$B$7)*Depot!$B$9)/365+INDEX(DepotLoss,24)/Depot!$B$6),TRUE))-3*(1-_xlfn.POISSON.DIST(3,(Depot!$B$5*(Depot!$B$7*Depot!$B$8+(1-Depot!$B$7)*Depot!$B$9)/365+INDEX(DepotLoss,24)/Depot!$B$6),TRUE)))</f>
        <v/>
      </c>
      <c r="F43" s="6">
        <f>Depot!$B$6*((Depot!$B$5*(Depot!$B$7*Depot!$B$8+(1-Depot!$B$7)*Depot!$B$9)/365+INDEX(DepotLoss,20)/Depot!$B$6)*(1-_xlfn.POISSON.DIST(3,(Depot!$B$5*(Depot!$B$7*Depot!$B$8+(1-Depot!$B$7)*Depot!$B$9)/365+INDEX(DepotLoss,20)/Depot!$B$6),TRUE))-4*(1-_xlfn.POISSON.DIST(4,(Depot!$B$5*(Depot!$B$7*Depot!$B$8+(1-Depot!$B$7)*Depot!$B$9)/365+INDEX(DepotLoss,20)/Depot!$B$6),TRUE)))</f>
        <v/>
      </c>
      <c r="G43" s="6">
        <f>Depot!$B$6*((Depot!$B$5*(Depot!$B$7*Depot!$B$8+(1-Depot!$B$7)*Depot!$B$9)/365+INDEX(DepotLoss,16)/Depot!$B$6)*(1-_xlfn.POISSON.DIST(4,(Depot!$B$5*(Depot!$B$7*Depot!$B$8+(1-Depot!$B$7)*Depot!$B$9)/365+INDEX(DepotLoss,16)/Depot!$B$6),TRUE))-5*(1-_xlfn.POISSON.DIST(5,(Depot!$B$5*(Depot!$B$7*Depot!$B$8+(1-Depot!$B$7)*Depot!$B$9)/365+INDEX(DepotLoss,16)/Depot!$B$6),TRUE)))</f>
        <v/>
      </c>
      <c r="H43" s="6">
        <f>Depot!$B$6*((Depot!$B$5*(Depot!$B$7*Depot!$B$8+(1-Depot!$B$7)*Depot!$B$9)/365+INDEX(DepotLoss,12)/Depot!$B$6)*(1-_xlfn.POISSON.DIST(5,(Depot!$B$5*(Depot!$B$7*Depot!$B$8+(1-Depot!$B$7)*Depot!$B$9)/365+INDEX(DepotLoss,12)/Depot!$B$6),TRUE))-6*(1-_xlfn.POISSON.DIST(6,(Depot!$B$5*(Depot!$B$7*Depot!$B$8+(1-Depot!$B$7)*Depot!$B$9)/365+INDEX(DepotLoss,12)/Depot!$B$6),TRUE)))</f>
        <v/>
      </c>
      <c r="I43" s="13">
        <f>MIN(B43:H43)</f>
        <v/>
      </c>
      <c r="J43" s="14">
        <f>MATCH(I43,B43:H43,0)-1</f>
        <v/>
      </c>
      <c r="K43" s="14">
        <f>A43-Depot!$B$6*J43</f>
        <v/>
      </c>
      <c r="L43" s="6">
        <f>I42-I43</f>
        <v/>
      </c>
      <c r="M43" s="14">
        <f>IF(OR(L43="",L44=""),"",IF(L44&gt;L43,"drop",""))</f>
        <v/>
      </c>
      <c r="N43" s="6">
        <f>L43/($B$4/1000)</f>
        <v/>
      </c>
    </row>
    <row r="44">
      <c r="A44" s="8" t="n">
        <v>36</v>
      </c>
      <c r="B44" s="12" t="inlineStr"/>
      <c r="C44" s="12" t="inlineStr"/>
      <c r="D44" s="12" t="inlineStr"/>
      <c r="E44" s="6">
        <f>Depot!$B$6*((Depot!$B$5*(Depot!$B$7*Depot!$B$8+(1-Depot!$B$7)*Depot!$B$9)/365+INDEX(DepotLoss,25)/Depot!$B$6)*(1-_xlfn.POISSON.DIST(2,(Depot!$B$5*(Depot!$B$7*Depot!$B$8+(1-Depot!$B$7)*Depot!$B$9)/365+INDEX(DepotLoss,25)/Depot!$B$6),TRUE))-3*(1-_xlfn.POISSON.DIST(3,(Depot!$B$5*(Depot!$B$7*Depot!$B$8+(1-Depot!$B$7)*Depot!$B$9)/365+INDEX(DepotLoss,25)/Depot!$B$6),TRUE)))</f>
        <v/>
      </c>
      <c r="F44" s="6">
        <f>Depot!$B$6*((Depot!$B$5*(Depot!$B$7*Depot!$B$8+(1-Depot!$B$7)*Depot!$B$9)/365+INDEX(DepotLoss,21)/Depot!$B$6)*(1-_xlfn.POISSON.DIST(3,(Depot!$B$5*(Depot!$B$7*Depot!$B$8+(1-Depot!$B$7)*Depot!$B$9)/365+INDEX(DepotLoss,21)/Depot!$B$6),TRUE))-4*(1-_xlfn.POISSON.DIST(4,(Depot!$B$5*(Depot!$B$7*Depot!$B$8+(1-Depot!$B$7)*Depot!$B$9)/365+INDEX(DepotLoss,21)/Depot!$B$6),TRUE)))</f>
        <v/>
      </c>
      <c r="G44" s="6">
        <f>Depot!$B$6*((Depot!$B$5*(Depot!$B$7*Depot!$B$8+(1-Depot!$B$7)*Depot!$B$9)/365+INDEX(DepotLoss,17)/Depot!$B$6)*(1-_xlfn.POISSON.DIST(4,(Depot!$B$5*(Depot!$B$7*Depot!$B$8+(1-Depot!$B$7)*Depot!$B$9)/365+INDEX(DepotLoss,17)/Depot!$B$6),TRUE))-5*(1-_xlfn.POISSON.DIST(5,(Depot!$B$5*(Depot!$B$7*Depot!$B$8+(1-Depot!$B$7)*Depot!$B$9)/365+INDEX(DepotLoss,17)/Depot!$B$6),TRUE)))</f>
        <v/>
      </c>
      <c r="H44" s="6">
        <f>Depot!$B$6*((Depot!$B$5*(Depot!$B$7*Depot!$B$8+(1-Depot!$B$7)*Depot!$B$9)/365+INDEX(DepotLoss,13)/Depot!$B$6)*(1-_xlfn.POISSON.DIST(5,(Depot!$B$5*(Depot!$B$7*Depot!$B$8+(1-Depot!$B$7)*Depot!$B$9)/365+INDEX(DepotLoss,13)/Depot!$B$6),TRUE))-6*(1-_xlfn.POISSON.DIST(6,(Depot!$B$5*(Depot!$B$7*Depot!$B$8+(1-Depot!$B$7)*Depot!$B$9)/365+INDEX(DepotLoss,13)/Depot!$B$6),TRUE)))</f>
        <v/>
      </c>
      <c r="I44" s="13">
        <f>MIN(B44:H44)</f>
        <v/>
      </c>
      <c r="J44" s="14">
        <f>MATCH(I44,B44:H44,0)-1</f>
        <v/>
      </c>
      <c r="K44" s="14">
        <f>A44-Depot!$B$6*J44</f>
        <v/>
      </c>
      <c r="L44" s="6">
        <f>I43-I44</f>
        <v/>
      </c>
      <c r="M44" s="14">
        <f>IF(OR(L44="",L45=""),"",IF(L45&gt;L44,"drop",""))</f>
        <v/>
      </c>
      <c r="N44" s="6">
        <f>L44/($B$4/1000)</f>
        <v/>
      </c>
    </row>
    <row r="45">
      <c r="A45" s="8" t="n">
        <v>37</v>
      </c>
      <c r="B45" s="12" t="inlineStr"/>
      <c r="C45" s="12" t="inlineStr"/>
      <c r="D45" s="12" t="inlineStr"/>
      <c r="E45" s="6">
        <f>Depot!$B$6*((Depot!$B$5*(Depot!$B$7*Depot!$B$8+(1-Depot!$B$7)*Depot!$B$9)/365+INDEX(DepotLoss,26)/Depot!$B$6)*(1-_xlfn.POISSON.DIST(2,(Depot!$B$5*(Depot!$B$7*Depot!$B$8+(1-Depot!$B$7)*Depot!$B$9)/365+INDEX(DepotLoss,26)/Depot!$B$6),TRUE))-3*(1-_xlfn.POISSON.DIST(3,(Depot!$B$5*(Depot!$B$7*Depot!$B$8+(1-Depot!$B$7)*Depot!$B$9)/365+INDEX(DepotLoss,26)/Depot!$B$6),TRUE)))</f>
        <v/>
      </c>
      <c r="F45" s="6">
        <f>Depot!$B$6*((Depot!$B$5*(Depot!$B$7*Depot!$B$8+(1-Depot!$B$7)*Depot!$B$9)/365+INDEX(DepotLoss,22)/Depot!$B$6)*(1-_xlfn.POISSON.DIST(3,(Depot!$B$5*(Depot!$B$7*Depot!$B$8+(1-Depot!$B$7)*Depot!$B$9)/365+INDEX(DepotLoss,22)/Depot!$B$6),TRUE))-4*(1-_xlfn.POISSON.DIST(4,(Depot!$B$5*(Depot!$B$7*Depot!$B$8+(1-Depot!$B$7)*Depot!$B$9)/365+INDEX(DepotLoss,22)/Depot!$B$6),TRUE)))</f>
        <v/>
      </c>
      <c r="G45" s="6">
        <f>Depot!$B$6*((Depot!$B$5*(Depot!$B$7*Depot!$B$8+(1-Depot!$B$7)*Depot!$B$9)/365+INDEX(DepotLoss,18)/Depot!$B$6)*(1-_xlfn.POISSON.DIST(4,(Depot!$B$5*(Depot!$B$7*Depot!$B$8+(1-Depot!$B$7)*Depot!$B$9)/365+INDEX(DepotLoss,18)/Depot!$B$6),TRUE))-5*(1-_xlfn.POISSON.DIST(5,(Depot!$B$5*(Depot!$B$7*Depot!$B$8+(1-Depot!$B$7)*Depot!$B$9)/365+INDEX(DepotLoss,18)/Depot!$B$6),TRUE)))</f>
        <v/>
      </c>
      <c r="H45" s="6">
        <f>Depot!$B$6*((Depot!$B$5*(Depot!$B$7*Depot!$B$8+(1-Depot!$B$7)*Depot!$B$9)/365+INDEX(DepotLoss,14)/Depot!$B$6)*(1-_xlfn.POISSON.DIST(5,(Depot!$B$5*(Depot!$B$7*Depot!$B$8+(1-Depot!$B$7)*Depot!$B$9)/365+INDEX(DepotLoss,14)/Depot!$B$6),TRUE))-6*(1-_xlfn.POISSON.DIST(6,(Depot!$B$5*(Depot!$B$7*Depot!$B$8+(1-Depot!$B$7)*Depot!$B$9)/365+INDEX(DepotLoss,14)/Depot!$B$6),TRUE)))</f>
        <v/>
      </c>
      <c r="I45" s="13">
        <f>MIN(B45:H45)</f>
        <v/>
      </c>
      <c r="J45" s="14">
        <f>MATCH(I45,B45:H45,0)-1</f>
        <v/>
      </c>
      <c r="K45" s="14">
        <f>A45-Depot!$B$6*J45</f>
        <v/>
      </c>
      <c r="L45" s="6">
        <f>I44-I45</f>
        <v/>
      </c>
      <c r="M45" s="14">
        <f>IF(OR(L45="",L46=""),"",IF(L46&gt;L45,"drop",""))</f>
        <v/>
      </c>
      <c r="N45" s="6">
        <f>L45/($B$4/1000)</f>
        <v/>
      </c>
    </row>
    <row r="46">
      <c r="A46" s="8" t="n">
        <v>38</v>
      </c>
      <c r="B46" s="12" t="inlineStr"/>
      <c r="C46" s="12" t="inlineStr"/>
      <c r="D46" s="12" t="inlineStr"/>
      <c r="E46" s="6">
        <f>Depot!$B$6*((Depot!$B$5*(Depot!$B$7*Depot!$B$8+(1-Depot!$B$7)*Depot!$B$9)/365+INDEX(DepotLoss,27)/Depot!$B$6)*(1-_xlfn.POISSON.DIST(2,(Depot!$B$5*(Depot!$B$7*Depot!$B$8+(1-Depot!$B$7)*Depot!$B$9)/365+INDEX(DepotLoss,27)/Depot!$B$6),TRUE))-3*(1-_xlfn.POISSON.DIST(3,(Depot!$B$5*(Depot!$B$7*Depot!$B$8+(1-Depot!$B$7)*Depot!$B$9)/365+INDEX(DepotLoss,27)/Depot!$B$6),TRUE)))</f>
        <v/>
      </c>
      <c r="F46" s="6">
        <f>Depot!$B$6*((Depot!$B$5*(Depot!$B$7*Depot!$B$8+(1-Depot!$B$7)*Depot!$B$9)/365+INDEX(DepotLoss,23)/Depot!$B$6)*(1-_xlfn.POISSON.DIST(3,(Depot!$B$5*(Depot!$B$7*Depot!$B$8+(1-Depot!$B$7)*Depot!$B$9)/365+INDEX(DepotLoss,23)/Depot!$B$6),TRUE))-4*(1-_xlfn.POISSON.DIST(4,(Depot!$B$5*(Depot!$B$7*Depot!$B$8+(1-Depot!$B$7)*Depot!$B$9)/365+INDEX(DepotLoss,23)/Depot!$B$6),TRUE)))</f>
        <v/>
      </c>
      <c r="G46" s="6">
        <f>Depot!$B$6*((Depot!$B$5*(Depot!$B$7*Depot!$B$8+(1-Depot!$B$7)*Depot!$B$9)/365+INDEX(DepotLoss,19)/Depot!$B$6)*(1-_xlfn.POISSON.DIST(4,(Depot!$B$5*(Depot!$B$7*Depot!$B$8+(1-Depot!$B$7)*Depot!$B$9)/365+INDEX(DepotLoss,19)/Depot!$B$6),TRUE))-5*(1-_xlfn.POISSON.DIST(5,(Depot!$B$5*(Depot!$B$7*Depot!$B$8+(1-Depot!$B$7)*Depot!$B$9)/365+INDEX(DepotLoss,19)/Depot!$B$6),TRUE)))</f>
        <v/>
      </c>
      <c r="H46" s="6">
        <f>Depot!$B$6*((Depot!$B$5*(Depot!$B$7*Depot!$B$8+(1-Depot!$B$7)*Depot!$B$9)/365+INDEX(DepotLoss,15)/Depot!$B$6)*(1-_xlfn.POISSON.DIST(5,(Depot!$B$5*(Depot!$B$7*Depot!$B$8+(1-Depot!$B$7)*Depot!$B$9)/365+INDEX(DepotLoss,15)/Depot!$B$6),TRUE))-6*(1-_xlfn.POISSON.DIST(6,(Depot!$B$5*(Depot!$B$7*Depot!$B$8+(1-Depot!$B$7)*Depot!$B$9)/365+INDEX(DepotLoss,15)/Depot!$B$6),TRUE)))</f>
        <v/>
      </c>
      <c r="I46" s="13">
        <f>MIN(B46:H46)</f>
        <v/>
      </c>
      <c r="J46" s="14">
        <f>MATCH(I46,B46:H46,0)-1</f>
        <v/>
      </c>
      <c r="K46" s="14">
        <f>A46-Depot!$B$6*J46</f>
        <v/>
      </c>
      <c r="L46" s="6">
        <f>I45-I46</f>
        <v/>
      </c>
      <c r="M46" s="14">
        <f>IF(OR(L46="",L47=""),"",IF(L47&gt;L46,"drop",""))</f>
        <v/>
      </c>
      <c r="N46" s="6">
        <f>L46/($B$4/1000)</f>
        <v/>
      </c>
    </row>
    <row r="47">
      <c r="A47" s="8" t="n">
        <v>39</v>
      </c>
      <c r="B47" s="12" t="inlineStr"/>
      <c r="C47" s="12" t="inlineStr"/>
      <c r="D47" s="12" t="inlineStr"/>
      <c r="E47" s="12" t="inlineStr"/>
      <c r="F47" s="6">
        <f>Depot!$B$6*((Depot!$B$5*(Depot!$B$7*Depot!$B$8+(1-Depot!$B$7)*Depot!$B$9)/365+INDEX(DepotLoss,24)/Depot!$B$6)*(1-_xlfn.POISSON.DIST(3,(Depot!$B$5*(Depot!$B$7*Depot!$B$8+(1-Depot!$B$7)*Depot!$B$9)/365+INDEX(DepotLoss,24)/Depot!$B$6),TRUE))-4*(1-_xlfn.POISSON.DIST(4,(Depot!$B$5*(Depot!$B$7*Depot!$B$8+(1-Depot!$B$7)*Depot!$B$9)/365+INDEX(DepotLoss,24)/Depot!$B$6),TRUE)))</f>
        <v/>
      </c>
      <c r="G47" s="6">
        <f>Depot!$B$6*((Depot!$B$5*(Depot!$B$7*Depot!$B$8+(1-Depot!$B$7)*Depot!$B$9)/365+INDEX(DepotLoss,20)/Depot!$B$6)*(1-_xlfn.POISSON.DIST(4,(Depot!$B$5*(Depot!$B$7*Depot!$B$8+(1-Depot!$B$7)*Depot!$B$9)/365+INDEX(DepotLoss,20)/Depot!$B$6),TRUE))-5*(1-_xlfn.POISSON.DIST(5,(Depot!$B$5*(Depot!$B$7*Depot!$B$8+(1-Depot!$B$7)*Depot!$B$9)/365+INDEX(DepotLoss,20)/Depot!$B$6),TRUE)))</f>
        <v/>
      </c>
      <c r="H47" s="6">
        <f>Depot!$B$6*((Depot!$B$5*(Depot!$B$7*Depot!$B$8+(1-Depot!$B$7)*Depot!$B$9)/365+INDEX(DepotLoss,16)/Depot!$B$6)*(1-_xlfn.POISSON.DIST(5,(Depot!$B$5*(Depot!$B$7*Depot!$B$8+(1-Depot!$B$7)*Depot!$B$9)/365+INDEX(DepotLoss,16)/Depot!$B$6),TRUE))-6*(1-_xlfn.POISSON.DIST(6,(Depot!$B$5*(Depot!$B$7*Depot!$B$8+(1-Depot!$B$7)*Depot!$B$9)/365+INDEX(DepotLoss,16)/Depot!$B$6),TRUE)))</f>
        <v/>
      </c>
      <c r="I47" s="13">
        <f>MIN(B47:H47)</f>
        <v/>
      </c>
      <c r="J47" s="14">
        <f>MATCH(I47,B47:H47,0)-1</f>
        <v/>
      </c>
      <c r="K47" s="14">
        <f>A47-Depot!$B$6*J47</f>
        <v/>
      </c>
      <c r="L47" s="6">
        <f>I46-I47</f>
        <v/>
      </c>
      <c r="M47" s="14">
        <f>IF(OR(L47="",L48=""),"",IF(L48&gt;L47,"drop",""))</f>
        <v/>
      </c>
      <c r="N47" s="6">
        <f>L47/($B$4/1000)</f>
        <v/>
      </c>
    </row>
    <row r="48">
      <c r="A48" s="8" t="n">
        <v>40</v>
      </c>
      <c r="B48" s="12" t="inlineStr"/>
      <c r="C48" s="12" t="inlineStr"/>
      <c r="D48" s="12" t="inlineStr"/>
      <c r="E48" s="12" t="inlineStr"/>
      <c r="F48" s="6">
        <f>Depot!$B$6*((Depot!$B$5*(Depot!$B$7*Depot!$B$8+(1-Depot!$B$7)*Depot!$B$9)/365+INDEX(DepotLoss,25)/Depot!$B$6)*(1-_xlfn.POISSON.DIST(3,(Depot!$B$5*(Depot!$B$7*Depot!$B$8+(1-Depot!$B$7)*Depot!$B$9)/365+INDEX(DepotLoss,25)/Depot!$B$6),TRUE))-4*(1-_xlfn.POISSON.DIST(4,(Depot!$B$5*(Depot!$B$7*Depot!$B$8+(1-Depot!$B$7)*Depot!$B$9)/365+INDEX(DepotLoss,25)/Depot!$B$6),TRUE)))</f>
        <v/>
      </c>
      <c r="G48" s="6">
        <f>Depot!$B$6*((Depot!$B$5*(Depot!$B$7*Depot!$B$8+(1-Depot!$B$7)*Depot!$B$9)/365+INDEX(DepotLoss,21)/Depot!$B$6)*(1-_xlfn.POISSON.DIST(4,(Depot!$B$5*(Depot!$B$7*Depot!$B$8+(1-Depot!$B$7)*Depot!$B$9)/365+INDEX(DepotLoss,21)/Depot!$B$6),TRUE))-5*(1-_xlfn.POISSON.DIST(5,(Depot!$B$5*(Depot!$B$7*Depot!$B$8+(1-Depot!$B$7)*Depot!$B$9)/365+INDEX(DepotLoss,21)/Depot!$B$6),TRUE)))</f>
        <v/>
      </c>
      <c r="H48" s="6">
        <f>Depot!$B$6*((Depot!$B$5*(Depot!$B$7*Depot!$B$8+(1-Depot!$B$7)*Depot!$B$9)/365+INDEX(DepotLoss,17)/Depot!$B$6)*(1-_xlfn.POISSON.DIST(5,(Depot!$B$5*(Depot!$B$7*Depot!$B$8+(1-Depot!$B$7)*Depot!$B$9)/365+INDEX(DepotLoss,17)/Depot!$B$6),TRUE))-6*(1-_xlfn.POISSON.DIST(6,(Depot!$B$5*(Depot!$B$7*Depot!$B$8+(1-Depot!$B$7)*Depot!$B$9)/365+INDEX(DepotLoss,17)/Depot!$B$6),TRUE)))</f>
        <v/>
      </c>
      <c r="I48" s="13">
        <f>MIN(B48:H48)</f>
        <v/>
      </c>
      <c r="J48" s="14">
        <f>MATCH(I48,B48:H48,0)-1</f>
        <v/>
      </c>
      <c r="K48" s="14">
        <f>A48-Depot!$B$6*J48</f>
        <v/>
      </c>
      <c r="L48" s="6">
        <f>I47-I48</f>
        <v/>
      </c>
      <c r="M48" s="14">
        <f>IF(OR(L48="",L49=""),"",IF(L49&gt;L48,"drop",""))</f>
        <v/>
      </c>
      <c r="N48" s="6">
        <f>L48/($B$4/1000)</f>
        <v/>
      </c>
    </row>
    <row r="49">
      <c r="A49" s="8" t="n">
        <v>41</v>
      </c>
      <c r="B49" s="12" t="inlineStr"/>
      <c r="C49" s="12" t="inlineStr"/>
      <c r="D49" s="12" t="inlineStr"/>
      <c r="E49" s="12" t="inlineStr"/>
      <c r="F49" s="6">
        <f>Depot!$B$6*((Depot!$B$5*(Depot!$B$7*Depot!$B$8+(1-Depot!$B$7)*Depot!$B$9)/365+INDEX(DepotLoss,26)/Depot!$B$6)*(1-_xlfn.POISSON.DIST(3,(Depot!$B$5*(Depot!$B$7*Depot!$B$8+(1-Depot!$B$7)*Depot!$B$9)/365+INDEX(DepotLoss,26)/Depot!$B$6),TRUE))-4*(1-_xlfn.POISSON.DIST(4,(Depot!$B$5*(Depot!$B$7*Depot!$B$8+(1-Depot!$B$7)*Depot!$B$9)/365+INDEX(DepotLoss,26)/Depot!$B$6),TRUE)))</f>
        <v/>
      </c>
      <c r="G49" s="6">
        <f>Depot!$B$6*((Depot!$B$5*(Depot!$B$7*Depot!$B$8+(1-Depot!$B$7)*Depot!$B$9)/365+INDEX(DepotLoss,22)/Depot!$B$6)*(1-_xlfn.POISSON.DIST(4,(Depot!$B$5*(Depot!$B$7*Depot!$B$8+(1-Depot!$B$7)*Depot!$B$9)/365+INDEX(DepotLoss,22)/Depot!$B$6),TRUE))-5*(1-_xlfn.POISSON.DIST(5,(Depot!$B$5*(Depot!$B$7*Depot!$B$8+(1-Depot!$B$7)*Depot!$B$9)/365+INDEX(DepotLoss,22)/Depot!$B$6),TRUE)))</f>
        <v/>
      </c>
      <c r="H49" s="6">
        <f>Depot!$B$6*((Depot!$B$5*(Depot!$B$7*Depot!$B$8+(1-Depot!$B$7)*Depot!$B$9)/365+INDEX(DepotLoss,18)/Depot!$B$6)*(1-_xlfn.POISSON.DIST(5,(Depot!$B$5*(Depot!$B$7*Depot!$B$8+(1-Depot!$B$7)*Depot!$B$9)/365+INDEX(DepotLoss,18)/Depot!$B$6),TRUE))-6*(1-_xlfn.POISSON.DIST(6,(Depot!$B$5*(Depot!$B$7*Depot!$B$8+(1-Depot!$B$7)*Depot!$B$9)/365+INDEX(DepotLoss,18)/Depot!$B$6),TRUE)))</f>
        <v/>
      </c>
      <c r="I49" s="13">
        <f>MIN(B49:H49)</f>
        <v/>
      </c>
      <c r="J49" s="14">
        <f>MATCH(I49,B49:H49,0)-1</f>
        <v/>
      </c>
      <c r="K49" s="14">
        <f>A49-Depot!$B$6*J49</f>
        <v/>
      </c>
      <c r="L49" s="6">
        <f>I48-I49</f>
        <v/>
      </c>
      <c r="M49" s="14">
        <f>IF(OR(L49="",L50=""),"",IF(L50&gt;L49,"drop",""))</f>
        <v/>
      </c>
      <c r="N49" s="6">
        <f>L49/($B$4/1000)</f>
        <v/>
      </c>
    </row>
    <row r="50">
      <c r="A50" s="8" t="n">
        <v>42</v>
      </c>
      <c r="B50" s="12" t="inlineStr"/>
      <c r="C50" s="12" t="inlineStr"/>
      <c r="D50" s="12" t="inlineStr"/>
      <c r="E50" s="12" t="inlineStr"/>
      <c r="F50" s="6">
        <f>Depot!$B$6*((Depot!$B$5*(Depot!$B$7*Depot!$B$8+(1-Depot!$B$7)*Depot!$B$9)/365+INDEX(DepotLoss,27)/Depot!$B$6)*(1-_xlfn.POISSON.DIST(3,(Depot!$B$5*(Depot!$B$7*Depot!$B$8+(1-Depot!$B$7)*Depot!$B$9)/365+INDEX(DepotLoss,27)/Depot!$B$6),TRUE))-4*(1-_xlfn.POISSON.DIST(4,(Depot!$B$5*(Depot!$B$7*Depot!$B$8+(1-Depot!$B$7)*Depot!$B$9)/365+INDEX(DepotLoss,27)/Depot!$B$6),TRUE)))</f>
        <v/>
      </c>
      <c r="G50" s="6">
        <f>Depot!$B$6*((Depot!$B$5*(Depot!$B$7*Depot!$B$8+(1-Depot!$B$7)*Depot!$B$9)/365+INDEX(DepotLoss,23)/Depot!$B$6)*(1-_xlfn.POISSON.DIST(4,(Depot!$B$5*(Depot!$B$7*Depot!$B$8+(1-Depot!$B$7)*Depot!$B$9)/365+INDEX(DepotLoss,23)/Depot!$B$6),TRUE))-5*(1-_xlfn.POISSON.DIST(5,(Depot!$B$5*(Depot!$B$7*Depot!$B$8+(1-Depot!$B$7)*Depot!$B$9)/365+INDEX(DepotLoss,23)/Depot!$B$6),TRUE)))</f>
        <v/>
      </c>
      <c r="H50" s="6">
        <f>Depot!$B$6*((Depot!$B$5*(Depot!$B$7*Depot!$B$8+(1-Depot!$B$7)*Depot!$B$9)/365+INDEX(DepotLoss,19)/Depot!$B$6)*(1-_xlfn.POISSON.DIST(5,(Depot!$B$5*(Depot!$B$7*Depot!$B$8+(1-Depot!$B$7)*Depot!$B$9)/365+INDEX(DepotLoss,19)/Depot!$B$6),TRUE))-6*(1-_xlfn.POISSON.DIST(6,(Depot!$B$5*(Depot!$B$7*Depot!$B$8+(1-Depot!$B$7)*Depot!$B$9)/365+INDEX(DepotLoss,19)/Depot!$B$6),TRUE)))</f>
        <v/>
      </c>
      <c r="I50" s="13">
        <f>MIN(B50:H50)</f>
        <v/>
      </c>
      <c r="J50" s="14">
        <f>MATCH(I50,B50:H50,0)-1</f>
        <v/>
      </c>
      <c r="K50" s="14">
        <f>A50-Depot!$B$6*J50</f>
        <v/>
      </c>
      <c r="L50" s="6">
        <f>I49-I50</f>
        <v/>
      </c>
      <c r="M50" s="14">
        <f>IF(OR(L50="",L51=""),"",IF(L51&gt;L50,"drop",""))</f>
        <v/>
      </c>
      <c r="N50" s="6">
        <f>L50/($B$4/1000)</f>
        <v/>
      </c>
    </row>
    <row r="51">
      <c r="A51" s="8" t="n">
        <v>43</v>
      </c>
      <c r="B51" s="12" t="inlineStr"/>
      <c r="C51" s="12" t="inlineStr"/>
      <c r="D51" s="12" t="inlineStr"/>
      <c r="E51" s="12" t="inlineStr"/>
      <c r="F51" s="12" t="inlineStr"/>
      <c r="G51" s="6">
        <f>Depot!$B$6*((Depot!$B$5*(Depot!$B$7*Depot!$B$8+(1-Depot!$B$7)*Depot!$B$9)/365+INDEX(DepotLoss,24)/Depot!$B$6)*(1-_xlfn.POISSON.DIST(4,(Depot!$B$5*(Depot!$B$7*Depot!$B$8+(1-Depot!$B$7)*Depot!$B$9)/365+INDEX(DepotLoss,24)/Depot!$B$6),TRUE))-5*(1-_xlfn.POISSON.DIST(5,(Depot!$B$5*(Depot!$B$7*Depot!$B$8+(1-Depot!$B$7)*Depot!$B$9)/365+INDEX(DepotLoss,24)/Depot!$B$6),TRUE)))</f>
        <v/>
      </c>
      <c r="H51" s="6">
        <f>Depot!$B$6*((Depot!$B$5*(Depot!$B$7*Depot!$B$8+(1-Depot!$B$7)*Depot!$B$9)/365+INDEX(DepotLoss,20)/Depot!$B$6)*(1-_xlfn.POISSON.DIST(5,(Depot!$B$5*(Depot!$B$7*Depot!$B$8+(1-Depot!$B$7)*Depot!$B$9)/365+INDEX(DepotLoss,20)/Depot!$B$6),TRUE))-6*(1-_xlfn.POISSON.DIST(6,(Depot!$B$5*(Depot!$B$7*Depot!$B$8+(1-Depot!$B$7)*Depot!$B$9)/365+INDEX(DepotLoss,20)/Depot!$B$6),TRUE)))</f>
        <v/>
      </c>
      <c r="I51" s="13">
        <f>MIN(B51:H51)</f>
        <v/>
      </c>
      <c r="J51" s="14">
        <f>MATCH(I51,B51:H51,0)-1</f>
        <v/>
      </c>
      <c r="K51" s="14">
        <f>A51-Depot!$B$6*J51</f>
        <v/>
      </c>
      <c r="L51" s="6">
        <f>I50-I51</f>
        <v/>
      </c>
      <c r="M51" s="14">
        <f>IF(OR(L51="",L52=""),"",IF(L52&gt;L51,"drop",""))</f>
        <v/>
      </c>
      <c r="N51" s="6">
        <f>L51/($B$4/1000)</f>
        <v/>
      </c>
    </row>
    <row r="52">
      <c r="A52" s="8" t="n">
        <v>44</v>
      </c>
      <c r="B52" s="12" t="inlineStr"/>
      <c r="C52" s="12" t="inlineStr"/>
      <c r="D52" s="12" t="inlineStr"/>
      <c r="E52" s="12" t="inlineStr"/>
      <c r="F52" s="12" t="inlineStr"/>
      <c r="G52" s="6">
        <f>Depot!$B$6*((Depot!$B$5*(Depot!$B$7*Depot!$B$8+(1-Depot!$B$7)*Depot!$B$9)/365+INDEX(DepotLoss,25)/Depot!$B$6)*(1-_xlfn.POISSON.DIST(4,(Depot!$B$5*(Depot!$B$7*Depot!$B$8+(1-Depot!$B$7)*Depot!$B$9)/365+INDEX(DepotLoss,25)/Depot!$B$6),TRUE))-5*(1-_xlfn.POISSON.DIST(5,(Depot!$B$5*(Depot!$B$7*Depot!$B$8+(1-Depot!$B$7)*Depot!$B$9)/365+INDEX(DepotLoss,25)/Depot!$B$6),TRUE)))</f>
        <v/>
      </c>
      <c r="H52" s="6">
        <f>Depot!$B$6*((Depot!$B$5*(Depot!$B$7*Depot!$B$8+(1-Depot!$B$7)*Depot!$B$9)/365+INDEX(DepotLoss,21)/Depot!$B$6)*(1-_xlfn.POISSON.DIST(5,(Depot!$B$5*(Depot!$B$7*Depot!$B$8+(1-Depot!$B$7)*Depot!$B$9)/365+INDEX(DepotLoss,21)/Depot!$B$6),TRUE))-6*(1-_xlfn.POISSON.DIST(6,(Depot!$B$5*(Depot!$B$7*Depot!$B$8+(1-Depot!$B$7)*Depot!$B$9)/365+INDEX(DepotLoss,21)/Depot!$B$6),TRUE)))</f>
        <v/>
      </c>
      <c r="I52" s="13">
        <f>MIN(B52:H52)</f>
        <v/>
      </c>
      <c r="J52" s="14">
        <f>MATCH(I52,B52:H52,0)-1</f>
        <v/>
      </c>
      <c r="K52" s="14">
        <f>A52-Depot!$B$6*J52</f>
        <v/>
      </c>
      <c r="L52" s="6">
        <f>I51-I52</f>
        <v/>
      </c>
      <c r="M52" s="14">
        <f>IF(OR(L52="",L53=""),"",IF(L53&gt;L52,"drop",""))</f>
        <v/>
      </c>
      <c r="N52" s="6">
        <f>L52/($B$4/1000)</f>
        <v/>
      </c>
    </row>
    <row r="53">
      <c r="A53" s="8" t="n">
        <v>45</v>
      </c>
      <c r="B53" s="12" t="inlineStr"/>
      <c r="C53" s="12" t="inlineStr"/>
      <c r="D53" s="12" t="inlineStr"/>
      <c r="E53" s="12" t="inlineStr"/>
      <c r="F53" s="12" t="inlineStr"/>
      <c r="G53" s="6">
        <f>Depot!$B$6*((Depot!$B$5*(Depot!$B$7*Depot!$B$8+(1-Depot!$B$7)*Depot!$B$9)/365+INDEX(DepotLoss,26)/Depot!$B$6)*(1-_xlfn.POISSON.DIST(4,(Depot!$B$5*(Depot!$B$7*Depot!$B$8+(1-Depot!$B$7)*Depot!$B$9)/365+INDEX(DepotLoss,26)/Depot!$B$6),TRUE))-5*(1-_xlfn.POISSON.DIST(5,(Depot!$B$5*(Depot!$B$7*Depot!$B$8+(1-Depot!$B$7)*Depot!$B$9)/365+INDEX(DepotLoss,26)/Depot!$B$6),TRUE)))</f>
        <v/>
      </c>
      <c r="H53" s="6">
        <f>Depot!$B$6*((Depot!$B$5*(Depot!$B$7*Depot!$B$8+(1-Depot!$B$7)*Depot!$B$9)/365+INDEX(DepotLoss,22)/Depot!$B$6)*(1-_xlfn.POISSON.DIST(5,(Depot!$B$5*(Depot!$B$7*Depot!$B$8+(1-Depot!$B$7)*Depot!$B$9)/365+INDEX(DepotLoss,22)/Depot!$B$6),TRUE))-6*(1-_xlfn.POISSON.DIST(6,(Depot!$B$5*(Depot!$B$7*Depot!$B$8+(1-Depot!$B$7)*Depot!$B$9)/365+INDEX(DepotLoss,22)/Depot!$B$6),TRUE)))</f>
        <v/>
      </c>
      <c r="I53" s="13">
        <f>MIN(B53:H53)</f>
        <v/>
      </c>
      <c r="J53" s="14">
        <f>MATCH(I53,B53:H53,0)-1</f>
        <v/>
      </c>
      <c r="K53" s="14">
        <f>A53-Depot!$B$6*J53</f>
        <v/>
      </c>
      <c r="L53" s="6">
        <f>I52-I53</f>
        <v/>
      </c>
      <c r="M53" s="14">
        <f>IF(OR(L53="",L54=""),"",IF(L54&gt;L53,"drop",""))</f>
        <v/>
      </c>
      <c r="N53" s="6">
        <f>L53/($B$4/1000)</f>
        <v/>
      </c>
    </row>
    <row r="54">
      <c r="A54" s="8" t="n">
        <v>46</v>
      </c>
      <c r="B54" s="12" t="inlineStr"/>
      <c r="C54" s="12" t="inlineStr"/>
      <c r="D54" s="12" t="inlineStr"/>
      <c r="E54" s="12" t="inlineStr"/>
      <c r="F54" s="12" t="inlineStr"/>
      <c r="G54" s="6">
        <f>Depot!$B$6*((Depot!$B$5*(Depot!$B$7*Depot!$B$8+(1-Depot!$B$7)*Depot!$B$9)/365+INDEX(DepotLoss,27)/Depot!$B$6)*(1-_xlfn.POISSON.DIST(4,(Depot!$B$5*(Depot!$B$7*Depot!$B$8+(1-Depot!$B$7)*Depot!$B$9)/365+INDEX(DepotLoss,27)/Depot!$B$6),TRUE))-5*(1-_xlfn.POISSON.DIST(5,(Depot!$B$5*(Depot!$B$7*Depot!$B$8+(1-Depot!$B$7)*Depot!$B$9)/365+INDEX(DepotLoss,27)/Depot!$B$6),TRUE)))</f>
        <v/>
      </c>
      <c r="H54" s="6">
        <f>Depot!$B$6*((Depot!$B$5*(Depot!$B$7*Depot!$B$8+(1-Depot!$B$7)*Depot!$B$9)/365+INDEX(DepotLoss,23)/Depot!$B$6)*(1-_xlfn.POISSON.DIST(5,(Depot!$B$5*(Depot!$B$7*Depot!$B$8+(1-Depot!$B$7)*Depot!$B$9)/365+INDEX(DepotLoss,23)/Depot!$B$6),TRUE))-6*(1-_xlfn.POISSON.DIST(6,(Depot!$B$5*(Depot!$B$7*Depot!$B$8+(1-Depot!$B$7)*Depot!$B$9)/365+INDEX(DepotLoss,23)/Depot!$B$6),TRUE)))</f>
        <v/>
      </c>
      <c r="I54" s="13">
        <f>MIN(B54:H54)</f>
        <v/>
      </c>
      <c r="J54" s="14">
        <f>MATCH(I54,B54:H54,0)-1</f>
        <v/>
      </c>
      <c r="K54" s="14">
        <f>A54-Depot!$B$6*J54</f>
        <v/>
      </c>
      <c r="L54" s="6">
        <f>I53-I54</f>
        <v/>
      </c>
      <c r="M54" s="14">
        <f>IF(OR(L54="",L55=""),"",IF(L55&gt;L54,"drop",""))</f>
        <v/>
      </c>
      <c r="N54" s="6">
        <f>L54/($B$4/1000)</f>
        <v/>
      </c>
    </row>
    <row r="55">
      <c r="A55" s="8" t="n">
        <v>47</v>
      </c>
      <c r="B55" s="12" t="inlineStr"/>
      <c r="C55" s="12" t="inlineStr"/>
      <c r="D55" s="12" t="inlineStr"/>
      <c r="E55" s="12" t="inlineStr"/>
      <c r="F55" s="12" t="inlineStr"/>
      <c r="G55" s="12" t="inlineStr"/>
      <c r="H55" s="6">
        <f>Depot!$B$6*((Depot!$B$5*(Depot!$B$7*Depot!$B$8+(1-Depot!$B$7)*Depot!$B$9)/365+INDEX(DepotLoss,24)/Depot!$B$6)*(1-_xlfn.POISSON.DIST(5,(Depot!$B$5*(Depot!$B$7*Depot!$B$8+(1-Depot!$B$7)*Depot!$B$9)/365+INDEX(DepotLoss,24)/Depot!$B$6),TRUE))-6*(1-_xlfn.POISSON.DIST(6,(Depot!$B$5*(Depot!$B$7*Depot!$B$8+(1-Depot!$B$7)*Depot!$B$9)/365+INDEX(DepotLoss,24)/Depot!$B$6),TRUE)))</f>
        <v/>
      </c>
      <c r="I55" s="13">
        <f>MIN(B55:H55)</f>
        <v/>
      </c>
      <c r="J55" s="14">
        <f>MATCH(I55,B55:H55,0)-1</f>
        <v/>
      </c>
      <c r="K55" s="14">
        <f>A55-Depot!$B$6*J55</f>
        <v/>
      </c>
      <c r="L55" s="6">
        <f>I54-I55</f>
        <v/>
      </c>
      <c r="M55" s="14">
        <f>IF(OR(L55="",L56=""),"",IF(L56&gt;L55,"drop",""))</f>
        <v/>
      </c>
      <c r="N55" s="6">
        <f>L55/($B$4/1000)</f>
        <v/>
      </c>
    </row>
    <row r="56">
      <c r="A56" s="8" t="n">
        <v>48</v>
      </c>
      <c r="B56" s="12" t="inlineStr"/>
      <c r="C56" s="12" t="inlineStr"/>
      <c r="D56" s="12" t="inlineStr"/>
      <c r="E56" s="12" t="inlineStr"/>
      <c r="F56" s="12" t="inlineStr"/>
      <c r="G56" s="12" t="inlineStr"/>
      <c r="H56" s="6">
        <f>Depot!$B$6*((Depot!$B$5*(Depot!$B$7*Depot!$B$8+(1-Depot!$B$7)*Depot!$B$9)/365+INDEX(DepotLoss,25)/Depot!$B$6)*(1-_xlfn.POISSON.DIST(5,(Depot!$B$5*(Depot!$B$7*Depot!$B$8+(1-Depot!$B$7)*Depot!$B$9)/365+INDEX(DepotLoss,25)/Depot!$B$6),TRUE))-6*(1-_xlfn.POISSON.DIST(6,(Depot!$B$5*(Depot!$B$7*Depot!$B$8+(1-Depot!$B$7)*Depot!$B$9)/365+INDEX(DepotLoss,25)/Depot!$B$6),TRUE)))</f>
        <v/>
      </c>
      <c r="I56" s="13">
        <f>MIN(B56:H56)</f>
        <v/>
      </c>
      <c r="J56" s="14">
        <f>MATCH(I56,B56:H56,0)-1</f>
        <v/>
      </c>
      <c r="K56" s="14">
        <f>A56-Depot!$B$6*J56</f>
        <v/>
      </c>
      <c r="L56" s="6">
        <f>I55-I56</f>
        <v/>
      </c>
      <c r="M56" s="14">
        <f>IF(OR(L56="",L57=""),"",IF(L57&gt;L56,"drop",""))</f>
        <v/>
      </c>
      <c r="N56" s="6">
        <f>L56/($B$4/1000)</f>
        <v/>
      </c>
    </row>
    <row r="57">
      <c r="A57" s="8" t="n">
        <v>49</v>
      </c>
      <c r="B57" s="12" t="inlineStr"/>
      <c r="C57" s="12" t="inlineStr"/>
      <c r="D57" s="12" t="inlineStr"/>
      <c r="E57" s="12" t="inlineStr"/>
      <c r="F57" s="12" t="inlineStr"/>
      <c r="G57" s="12" t="inlineStr"/>
      <c r="H57" s="6">
        <f>Depot!$B$6*((Depot!$B$5*(Depot!$B$7*Depot!$B$8+(1-Depot!$B$7)*Depot!$B$9)/365+INDEX(DepotLoss,26)/Depot!$B$6)*(1-_xlfn.POISSON.DIST(5,(Depot!$B$5*(Depot!$B$7*Depot!$B$8+(1-Depot!$B$7)*Depot!$B$9)/365+INDEX(DepotLoss,26)/Depot!$B$6),TRUE))-6*(1-_xlfn.POISSON.DIST(6,(Depot!$B$5*(Depot!$B$7*Depot!$B$8+(1-Depot!$B$7)*Depot!$B$9)/365+INDEX(DepotLoss,26)/Depot!$B$6),TRUE)))</f>
        <v/>
      </c>
      <c r="I57" s="13">
        <f>MIN(B57:H57)</f>
        <v/>
      </c>
      <c r="J57" s="14">
        <f>MATCH(I57,B57:H57,0)-1</f>
        <v/>
      </c>
      <c r="K57" s="14">
        <f>A57-Depot!$B$6*J57</f>
        <v/>
      </c>
      <c r="L57" s="6">
        <f>I56-I57</f>
        <v/>
      </c>
      <c r="M57" s="14">
        <f>IF(OR(L57="",L58=""),"",IF(L58&gt;L57,"drop",""))</f>
        <v/>
      </c>
      <c r="N57" s="6">
        <f>L57/($B$4/1000)</f>
        <v/>
      </c>
    </row>
    <row r="58">
      <c r="A58" s="8" t="n">
        <v>50</v>
      </c>
      <c r="B58" s="12" t="inlineStr"/>
      <c r="C58" s="12" t="inlineStr"/>
      <c r="D58" s="12" t="inlineStr"/>
      <c r="E58" s="12" t="inlineStr"/>
      <c r="F58" s="12" t="inlineStr"/>
      <c r="G58" s="12" t="inlineStr"/>
      <c r="H58" s="6">
        <f>Depot!$B$6*((Depot!$B$5*(Depot!$B$7*Depot!$B$8+(1-Depot!$B$7)*Depot!$B$9)/365+INDEX(DepotLoss,27)/Depot!$B$6)*(1-_xlfn.POISSON.DIST(5,(Depot!$B$5*(Depot!$B$7*Depot!$B$8+(1-Depot!$B$7)*Depot!$B$9)/365+INDEX(DepotLoss,27)/Depot!$B$6),TRUE))-6*(1-_xlfn.POISSON.DIST(6,(Depot!$B$5*(Depot!$B$7*Depot!$B$8+(1-Depot!$B$7)*Depot!$B$9)/365+INDEX(DepotLoss,27)/Depot!$B$6),TRUE)))</f>
        <v/>
      </c>
      <c r="I58" s="13">
        <f>MIN(B58:H58)</f>
        <v/>
      </c>
      <c r="J58" s="14">
        <f>MATCH(I58,B58:H58,0)-1</f>
        <v/>
      </c>
      <c r="K58" s="14">
        <f>A58-Depot!$B$6*J58</f>
        <v/>
      </c>
      <c r="L58" s="6">
        <f>I57-I58</f>
        <v/>
      </c>
      <c r="M58" s="14">
        <f>IF(OR(L58="",L59=""),"",IF(L59&gt;L58,"drop",""))</f>
        <v/>
      </c>
      <c r="N58" s="6">
        <f>L58/($B$4/1000)</f>
        <v/>
      </c>
    </row>
    <row r="59"/>
    <row r="60">
      <c r="A60" s="2" t="inlineStr">
        <is>
          <t>A "drop" marks a total lying above the line joining its neighbours, so the reduction on the row below it is the larger. @sec-multiechelon-allocation-convexity strikes those totals out and buys two units at once.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1" customWidth="1" min="9" max="9"/>
    <col width="11" customWidth="1" min="10" max="10"/>
    <col width="12" customWidth="1" min="11" max="11"/>
  </cols>
  <sheetData>
    <row r="1">
      <c r="A1" s="1" t="inlineStr">
        <is>
          <t>Two levels, one row per event</t>
        </is>
      </c>
    </row>
    <row r="2">
      <c r="A2" s="2" t="inlineStr">
        <is>
          <t>@sec-multiechelon-ledger. Review is continuous, so there are no periods. Blue columns are typed.</t>
        </is>
      </c>
    </row>
    <row r="3"/>
    <row r="4">
      <c r="A4" s="7" t="inlineStr">
        <is>
          <t>week</t>
        </is>
      </c>
      <c r="B4" s="7" t="inlineStr">
        <is>
          <t>event</t>
        </is>
      </c>
      <c r="C4" s="7" t="inlineStr">
        <is>
          <t>I_j</t>
        </is>
      </c>
      <c r="D4" s="7" t="inlineStr">
        <is>
          <t>B_j</t>
        </is>
      </c>
      <c r="E4" s="7" t="inlineStr">
        <is>
          <t>X_j</t>
        </is>
      </c>
      <c r="F4" s="7" t="inlineStr">
        <is>
          <t>I_0</t>
        </is>
      </c>
      <c r="G4" s="7" t="inlineStr">
        <is>
          <t>B_0</t>
        </is>
      </c>
      <c r="H4" s="7" t="inlineStr">
        <is>
          <t>X_0</t>
        </is>
      </c>
      <c r="I4" s="7" t="inlineStr">
        <is>
          <t>residual j</t>
        </is>
      </c>
      <c r="J4" s="7" t="inlineStr">
        <is>
          <t>residual 0</t>
        </is>
      </c>
      <c r="K4" s="7" t="inlineStr">
        <is>
          <t>weeks held</t>
        </is>
      </c>
    </row>
    <row r="5">
      <c r="A5" s="8" t="n">
        <v>0</v>
      </c>
      <c r="B5" t="inlineStr">
        <is>
          <t>start</t>
        </is>
      </c>
      <c r="C5" s="5" t="n">
        <v>2</v>
      </c>
      <c r="D5" s="5" t="n">
        <v>0</v>
      </c>
      <c r="E5" s="14">
        <f>2-C5+D5</f>
        <v/>
      </c>
      <c r="F5" s="5" t="n">
        <v>2</v>
      </c>
      <c r="G5" s="5" t="n">
        <v>0</v>
      </c>
      <c r="H5" s="14">
        <f>2-F5+G5</f>
        <v/>
      </c>
      <c r="I5" s="15">
        <f>E5-(2-C5+D5)</f>
        <v/>
      </c>
      <c r="J5" s="15">
        <f>H5-(2-F5+G5)</f>
        <v/>
      </c>
      <c r="K5" s="16">
        <f>A6-A5</f>
        <v/>
      </c>
    </row>
    <row r="6">
      <c r="A6" s="8" t="n">
        <v>2</v>
      </c>
      <c r="B6" t="inlineStr">
        <is>
          <t>failure, request to depot</t>
        </is>
      </c>
      <c r="C6" s="5" t="n">
        <v>1</v>
      </c>
      <c r="D6" s="5" t="n">
        <v>0</v>
      </c>
      <c r="E6" s="14">
        <f>2-C6+D6</f>
        <v/>
      </c>
      <c r="F6" s="5" t="n">
        <v>1</v>
      </c>
      <c r="G6" s="5" t="n">
        <v>0</v>
      </c>
      <c r="H6" s="14">
        <f>2-F6+G6</f>
        <v/>
      </c>
      <c r="I6" s="15">
        <f>E6-(2-C6+D6)</f>
        <v/>
      </c>
      <c r="J6" s="15">
        <f>H6-(2-F6+G6)</f>
        <v/>
      </c>
      <c r="K6" s="16">
        <f>A7-A6</f>
        <v/>
      </c>
    </row>
    <row r="7">
      <c r="A7" s="8" t="n">
        <v>4</v>
      </c>
      <c r="B7" t="inlineStr">
        <is>
          <t>shipment arrives</t>
        </is>
      </c>
      <c r="C7" s="5" t="n">
        <v>2</v>
      </c>
      <c r="D7" s="5" t="n">
        <v>0</v>
      </c>
      <c r="E7" s="14">
        <f>2-C7+D7</f>
        <v/>
      </c>
      <c r="F7" s="5" t="n">
        <v>1</v>
      </c>
      <c r="G7" s="5" t="n">
        <v>0</v>
      </c>
      <c r="H7" s="14">
        <f>2-F7+G7</f>
        <v/>
      </c>
      <c r="I7" s="15">
        <f>E7-(2-C7+D7)</f>
        <v/>
      </c>
      <c r="J7" s="15">
        <f>H7-(2-F7+G7)</f>
        <v/>
      </c>
      <c r="K7" s="16">
        <f>A8-A7</f>
        <v/>
      </c>
    </row>
    <row r="8">
      <c r="A8" s="8" t="n">
        <v>5</v>
      </c>
      <c r="B8" t="inlineStr">
        <is>
          <t>failure, rebuilt locally</t>
        </is>
      </c>
      <c r="C8" s="5" t="n">
        <v>1</v>
      </c>
      <c r="D8" s="5" t="n">
        <v>0</v>
      </c>
      <c r="E8" s="14">
        <f>2-C8+D8</f>
        <v/>
      </c>
      <c r="F8" s="5" t="n">
        <v>1</v>
      </c>
      <c r="G8" s="5" t="n">
        <v>0</v>
      </c>
      <c r="H8" s="14">
        <f>2-F8+G8</f>
        <v/>
      </c>
      <c r="I8" s="15">
        <f>E8-(2-C8+D8)</f>
        <v/>
      </c>
      <c r="J8" s="15">
        <f>H8-(2-F8+G8)</f>
        <v/>
      </c>
      <c r="K8" s="16">
        <f>A9-A8</f>
        <v/>
      </c>
    </row>
    <row r="9">
      <c r="A9" s="8" t="n">
        <v>8</v>
      </c>
      <c r="B9" t="inlineStr">
        <is>
          <t>failure, request to depot</t>
        </is>
      </c>
      <c r="C9" s="5" t="n">
        <v>0</v>
      </c>
      <c r="D9" s="5" t="n">
        <v>0</v>
      </c>
      <c r="E9" s="14">
        <f>2-C9+D9</f>
        <v/>
      </c>
      <c r="F9" s="5" t="n">
        <v>0</v>
      </c>
      <c r="G9" s="5" t="n">
        <v>0</v>
      </c>
      <c r="H9" s="14">
        <f>2-F9+G9</f>
        <v/>
      </c>
      <c r="I9" s="15">
        <f>E9-(2-C9+D9)</f>
        <v/>
      </c>
      <c r="J9" s="15">
        <f>H9-(2-F9+G9)</f>
        <v/>
      </c>
      <c r="K9" s="16">
        <f>A10-A9</f>
        <v/>
      </c>
    </row>
    <row r="10">
      <c r="A10" s="8" t="n">
        <v>9</v>
      </c>
      <c r="B10" t="inlineStr">
        <is>
          <t>local rebuild returns</t>
        </is>
      </c>
      <c r="C10" s="5" t="n">
        <v>1</v>
      </c>
      <c r="D10" s="5" t="n">
        <v>0</v>
      </c>
      <c r="E10" s="14">
        <f>2-C10+D10</f>
        <v/>
      </c>
      <c r="F10" s="5" t="n">
        <v>0</v>
      </c>
      <c r="G10" s="5" t="n">
        <v>0</v>
      </c>
      <c r="H10" s="14">
        <f>2-F10+G10</f>
        <v/>
      </c>
      <c r="I10" s="15">
        <f>E10-(2-C10+D10)</f>
        <v/>
      </c>
      <c r="J10" s="15">
        <f>H10-(2-F10+G10)</f>
        <v/>
      </c>
      <c r="K10" s="16">
        <f>A11-A10</f>
        <v/>
      </c>
    </row>
    <row r="11">
      <c r="A11" s="8" t="n">
        <v>10</v>
      </c>
      <c r="B11" t="inlineStr">
        <is>
          <t>depot repair completes</t>
        </is>
      </c>
      <c r="C11" s="5" t="n">
        <v>1</v>
      </c>
      <c r="D11" s="5" t="n">
        <v>0</v>
      </c>
      <c r="E11" s="14">
        <f>2-C11+D11</f>
        <v/>
      </c>
      <c r="F11" s="5" t="n">
        <v>1</v>
      </c>
      <c r="G11" s="5" t="n">
        <v>0</v>
      </c>
      <c r="H11" s="14">
        <f>2-F11+G11</f>
        <v/>
      </c>
      <c r="I11" s="15">
        <f>E11-(2-C11+D11)</f>
        <v/>
      </c>
      <c r="J11" s="15">
        <f>H11-(2-F11+G11)</f>
        <v/>
      </c>
      <c r="K11" s="16">
        <f>A12-A11</f>
        <v/>
      </c>
    </row>
    <row r="12">
      <c r="A12" s="8" t="n">
        <v>10</v>
      </c>
      <c r="B12" t="inlineStr">
        <is>
          <t>shipment arrives</t>
        </is>
      </c>
      <c r="C12" s="5" t="n">
        <v>2</v>
      </c>
      <c r="D12" s="5" t="n">
        <v>0</v>
      </c>
      <c r="E12" s="14">
        <f>2-C12+D12</f>
        <v/>
      </c>
      <c r="F12" s="5" t="n">
        <v>1</v>
      </c>
      <c r="G12" s="5" t="n">
        <v>0</v>
      </c>
      <c r="H12" s="14">
        <f>2-F12+G12</f>
        <v/>
      </c>
      <c r="I12" s="15">
        <f>E12-(2-C12+D12)</f>
        <v/>
      </c>
      <c r="J12" s="15">
        <f>H12-(2-F12+G12)</f>
        <v/>
      </c>
      <c r="K12" s="16">
        <f>A13-A12</f>
        <v/>
      </c>
    </row>
    <row r="13">
      <c r="A13" s="8" t="n">
        <v>11</v>
      </c>
      <c r="B13" t="inlineStr">
        <is>
          <t>failure, request to depot</t>
        </is>
      </c>
      <c r="C13" s="5" t="n">
        <v>1</v>
      </c>
      <c r="D13" s="5" t="n">
        <v>0</v>
      </c>
      <c r="E13" s="14">
        <f>2-C13+D13</f>
        <v/>
      </c>
      <c r="F13" s="5" t="n">
        <v>0</v>
      </c>
      <c r="G13" s="5" t="n">
        <v>0</v>
      </c>
      <c r="H13" s="14">
        <f>2-F13+G13</f>
        <v/>
      </c>
      <c r="I13" s="15">
        <f>E13-(2-C13+D13)</f>
        <v/>
      </c>
      <c r="J13" s="15">
        <f>H13-(2-F13+G13)</f>
        <v/>
      </c>
      <c r="K13" s="16">
        <f>A14-A13</f>
        <v/>
      </c>
    </row>
    <row r="14">
      <c r="A14" s="8" t="n">
        <v>12</v>
      </c>
      <c r="B14" t="inlineStr">
        <is>
          <t>failure, request backordered</t>
        </is>
      </c>
      <c r="C14" s="5" t="n">
        <v>0</v>
      </c>
      <c r="D14" s="5" t="n">
        <v>0</v>
      </c>
      <c r="E14" s="14">
        <f>2-C14+D14</f>
        <v/>
      </c>
      <c r="F14" s="5" t="n">
        <v>0</v>
      </c>
      <c r="G14" s="5" t="n">
        <v>1</v>
      </c>
      <c r="H14" s="14">
        <f>2-F14+G14</f>
        <v/>
      </c>
      <c r="I14" s="15">
        <f>E14-(2-C14+D14)</f>
        <v/>
      </c>
      <c r="J14" s="15">
        <f>H14-(2-F14+G14)</f>
        <v/>
      </c>
      <c r="K14" s="16">
        <f>A15-A14</f>
        <v/>
      </c>
    </row>
    <row r="15">
      <c r="A15" s="8" t="n">
        <v>13</v>
      </c>
      <c r="B15" t="inlineStr">
        <is>
          <t>shipment arrives</t>
        </is>
      </c>
      <c r="C15" s="5" t="n">
        <v>1</v>
      </c>
      <c r="D15" s="5" t="n">
        <v>0</v>
      </c>
      <c r="E15" s="14">
        <f>2-C15+D15</f>
        <v/>
      </c>
      <c r="F15" s="5" t="n">
        <v>0</v>
      </c>
      <c r="G15" s="5" t="n">
        <v>1</v>
      </c>
      <c r="H15" s="14">
        <f>2-F15+G15</f>
        <v/>
      </c>
      <c r="I15" s="15">
        <f>E15-(2-C15+D15)</f>
        <v/>
      </c>
      <c r="J15" s="15">
        <f>H15-(2-F15+G15)</f>
        <v/>
      </c>
      <c r="K15" s="16">
        <f>A16-A15</f>
        <v/>
      </c>
    </row>
    <row r="16">
      <c r="A16" s="8" t="n">
        <v>15</v>
      </c>
      <c r="B16" t="inlineStr">
        <is>
          <t>failure, rebuilt locally</t>
        </is>
      </c>
      <c r="C16" s="5" t="n">
        <v>0</v>
      </c>
      <c r="D16" s="5" t="n">
        <v>0</v>
      </c>
      <c r="E16" s="14">
        <f>2-C16+D16</f>
        <v/>
      </c>
      <c r="F16" s="5" t="n">
        <v>0</v>
      </c>
      <c r="G16" s="5" t="n">
        <v>1</v>
      </c>
      <c r="H16" s="14">
        <f>2-F16+G16</f>
        <v/>
      </c>
      <c r="I16" s="15">
        <f>E16-(2-C16+D16)</f>
        <v/>
      </c>
      <c r="J16" s="15">
        <f>H16-(2-F16+G16)</f>
        <v/>
      </c>
      <c r="K16" s="16">
        <f>A17-A16</f>
        <v/>
      </c>
    </row>
    <row r="17">
      <c r="A17" s="8" t="n">
        <v>16</v>
      </c>
      <c r="B17" t="inlineStr">
        <is>
          <t>depot repair completes, ships</t>
        </is>
      </c>
      <c r="C17" s="5" t="n">
        <v>0</v>
      </c>
      <c r="D17" s="5" t="n">
        <v>0</v>
      </c>
      <c r="E17" s="14">
        <f>2-C17+D17</f>
        <v/>
      </c>
      <c r="F17" s="5" t="n">
        <v>0</v>
      </c>
      <c r="G17" s="5" t="n">
        <v>0</v>
      </c>
      <c r="H17" s="14">
        <f>2-F17+G17</f>
        <v/>
      </c>
      <c r="I17" s="15">
        <f>E17-(2-C17+D17)</f>
        <v/>
      </c>
      <c r="J17" s="15">
        <f>H17-(2-F17+G17)</f>
        <v/>
      </c>
      <c r="K17" s="16">
        <f>A18-A17</f>
        <v/>
      </c>
    </row>
    <row r="18">
      <c r="A18" s="8" t="n">
        <v>17</v>
      </c>
      <c r="B18" t="inlineStr">
        <is>
          <t>failure backordered, request backordered</t>
        </is>
      </c>
      <c r="C18" s="5" t="n">
        <v>0</v>
      </c>
      <c r="D18" s="5" t="n">
        <v>1</v>
      </c>
      <c r="E18" s="14">
        <f>2-C18+D18</f>
        <v/>
      </c>
      <c r="F18" s="5" t="n">
        <v>0</v>
      </c>
      <c r="G18" s="5" t="n">
        <v>1</v>
      </c>
      <c r="H18" s="14">
        <f>2-F18+G18</f>
        <v/>
      </c>
      <c r="I18" s="15">
        <f>E18-(2-C18+D18)</f>
        <v/>
      </c>
      <c r="J18" s="15">
        <f>H18-(2-F18+G18)</f>
        <v/>
      </c>
      <c r="K18" s="16">
        <f>A19-A18</f>
        <v/>
      </c>
    </row>
    <row r="19">
      <c r="A19" s="8" t="n">
        <v>18</v>
      </c>
      <c r="B19" t="inlineStr">
        <is>
          <t>shipment arrives, clears the crew</t>
        </is>
      </c>
      <c r="C19" s="5" t="n">
        <v>0</v>
      </c>
      <c r="D19" s="5" t="n">
        <v>0</v>
      </c>
      <c r="E19" s="14">
        <f>2-C19+D19</f>
        <v/>
      </c>
      <c r="F19" s="5" t="n">
        <v>0</v>
      </c>
      <c r="G19" s="5" t="n">
        <v>1</v>
      </c>
      <c r="H19" s="14">
        <f>2-F19+G19</f>
        <v/>
      </c>
      <c r="I19" s="15">
        <f>E19-(2-C19+D19)</f>
        <v/>
      </c>
      <c r="J19" s="15">
        <f>H19-(2-F19+G19)</f>
        <v/>
      </c>
      <c r="K19" s="16">
        <f>A20-A19</f>
        <v/>
      </c>
    </row>
    <row r="20">
      <c r="A20" s="8" t="n">
        <v>19</v>
      </c>
      <c r="B20" t="inlineStr">
        <is>
          <t>depot repair completes, ships</t>
        </is>
      </c>
      <c r="C20" s="5" t="n">
        <v>0</v>
      </c>
      <c r="D20" s="5" t="n">
        <v>0</v>
      </c>
      <c r="E20" s="14">
        <f>2-C20+D20</f>
        <v/>
      </c>
      <c r="F20" s="5" t="n">
        <v>0</v>
      </c>
      <c r="G20" s="5" t="n">
        <v>0</v>
      </c>
      <c r="H20" s="14">
        <f>2-F20+G20</f>
        <v/>
      </c>
      <c r="I20" s="15">
        <f>E20-(2-C20+D20)</f>
        <v/>
      </c>
      <c r="J20" s="15">
        <f>H20-(2-F20+G20)</f>
        <v/>
      </c>
      <c r="K20" s="16">
        <f>A21-A20</f>
        <v/>
      </c>
    </row>
    <row r="21">
      <c r="A21" s="8" t="n">
        <v>19</v>
      </c>
      <c r="B21" t="inlineStr">
        <is>
          <t>local rebuild returns</t>
        </is>
      </c>
      <c r="C21" s="5" t="n">
        <v>1</v>
      </c>
      <c r="D21" s="5" t="n">
        <v>0</v>
      </c>
      <c r="E21" s="14">
        <f>2-C21+D21</f>
        <v/>
      </c>
      <c r="F21" s="5" t="n">
        <v>0</v>
      </c>
      <c r="G21" s="5" t="n">
        <v>0</v>
      </c>
      <c r="H21" s="14">
        <f>2-F21+G21</f>
        <v/>
      </c>
      <c r="I21" s="15">
        <f>E21-(2-C21+D21)</f>
        <v/>
      </c>
      <c r="J21" s="15">
        <f>H21-(2-F21+G21)</f>
        <v/>
      </c>
      <c r="K21" s="16">
        <f>A22-A21</f>
        <v/>
      </c>
    </row>
    <row r="22">
      <c r="A22" s="8" t="n">
        <v>20</v>
      </c>
      <c r="B22" t="inlineStr">
        <is>
          <t>depot repair completes</t>
        </is>
      </c>
      <c r="C22" s="5" t="n">
        <v>1</v>
      </c>
      <c r="D22" s="5" t="n">
        <v>0</v>
      </c>
      <c r="E22" s="14">
        <f>2-C22+D22</f>
        <v/>
      </c>
      <c r="F22" s="5" t="n">
        <v>1</v>
      </c>
      <c r="G22" s="5" t="n">
        <v>0</v>
      </c>
      <c r="H22" s="14">
        <f>2-F22+G22</f>
        <v/>
      </c>
      <c r="I22" s="15">
        <f>E22-(2-C22+D22)</f>
        <v/>
      </c>
      <c r="J22" s="15">
        <f>H22-(2-F22+G22)</f>
        <v/>
      </c>
      <c r="K22" s="16">
        <f>A23-A22</f>
        <v/>
      </c>
    </row>
    <row r="23">
      <c r="A23" s="8" t="n">
        <v>21</v>
      </c>
      <c r="B23" t="inlineStr">
        <is>
          <t>shipment arrives</t>
        </is>
      </c>
      <c r="C23" s="5" t="n">
        <v>2</v>
      </c>
      <c r="D23" s="5" t="n">
        <v>0</v>
      </c>
      <c r="E23" s="14">
        <f>2-C23+D23</f>
        <v/>
      </c>
      <c r="F23" s="5" t="n">
        <v>1</v>
      </c>
      <c r="G23" s="5" t="n">
        <v>0</v>
      </c>
      <c r="H23" s="14">
        <f>2-F23+G23</f>
        <v/>
      </c>
      <c r="I23" s="15">
        <f>E23-(2-C23+D23)</f>
        <v/>
      </c>
      <c r="J23" s="15">
        <f>H23-(2-F23+G23)</f>
        <v/>
      </c>
      <c r="K23" s="16">
        <f>A24-A23</f>
        <v/>
      </c>
    </row>
    <row r="24">
      <c r="A24" s="8" t="n">
        <v>25</v>
      </c>
      <c r="B24" t="inlineStr">
        <is>
          <t>depot repair completes</t>
        </is>
      </c>
      <c r="C24" s="5" t="n">
        <v>2</v>
      </c>
      <c r="D24" s="5" t="n">
        <v>0</v>
      </c>
      <c r="E24" s="14">
        <f>2-C24+D24</f>
        <v/>
      </c>
      <c r="F24" s="5" t="n">
        <v>2</v>
      </c>
      <c r="G24" s="5" t="n">
        <v>0</v>
      </c>
      <c r="H24" s="14">
        <f>2-F24+G24</f>
        <v/>
      </c>
      <c r="I24" s="15">
        <f>E24-(2-C24+D24)</f>
        <v/>
      </c>
      <c r="J24" s="15">
        <f>H24-(2-F24+G24)</f>
        <v/>
      </c>
    </row>
    <row r="25"/>
    <row r="26">
      <c r="A26" s="3" t="inlineStr">
        <is>
          <t>What the ledger measures</t>
        </is>
      </c>
    </row>
    <row r="27">
      <c r="A27" t="inlineStr">
        <is>
          <t>depot backorder-weeks</t>
        </is>
      </c>
      <c r="B27" s="6">
        <f>SUMPRODUCT(G5:G23,K5:K23)</f>
        <v/>
      </c>
      <c r="C27" s="2" t="inlineStr">
        <is>
          <t>level times duration, not the average of the column</t>
        </is>
      </c>
    </row>
    <row r="28">
      <c r="A28" t="inlineStr">
        <is>
          <t>requests to the depot</t>
        </is>
      </c>
      <c r="B28" s="14" t="n">
        <v>5</v>
      </c>
    </row>
    <row r="29">
      <c r="A29" t="inlineStr">
        <is>
          <t>Wbar, weeks</t>
        </is>
      </c>
      <c r="B29" s="6">
        <f>B27/B28</f>
        <v/>
      </c>
      <c r="C29" s="2" t="inlineStr">
        <is>
          <t>Little's Law; @sec-multiechelon-ledger-timeaverage gets 1.20 weeks by following requests</t>
        </is>
      </c>
    </row>
    <row r="30">
      <c r="A30" s="2" t="inlineStr">
        <is>
          <t>The weeks-held column is why this is a time average. @sec-multiechelon-ledger-timeaverage.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Chapter 9 models</t>
        </is>
      </c>
    </row>
    <row r="2">
      <c r="A2" s="2" t="inlineStr">
        <is>
          <t>Repairable items, one-for-one ordering, a depot and the storerooms it supports.</t>
        </is>
      </c>
    </row>
    <row r="3"/>
    <row r="4">
      <c r="A4" s="7" t="inlineStr">
        <is>
          <t>sheet</t>
        </is>
      </c>
      <c r="B4" s="7" t="inlineStr">
        <is>
          <t>what it is</t>
        </is>
      </c>
    </row>
    <row r="5">
      <c r="A5" s="17" t="inlineStr">
        <is>
          <t>Depot</t>
        </is>
      </c>
      <c r="B5" t="inlineStr">
        <is>
          <t>@sec-multiechelon-palm and @sec-multiechelon-delay. Palm's theorem, the loss recursions, and the delay.</t>
        </is>
      </c>
    </row>
    <row r="6">
      <c r="A6" s="17" t="inlineStr">
        <is>
          <t>Storeroom</t>
        </is>
      </c>
      <c r="B6" t="inlineStr">
        <is>
          <t>@sec-multiechelon-metric and @sec-multiechelon-varimetric. METRIC and VARI-METRIC side by side on one storeroom.</t>
        </is>
      </c>
    </row>
    <row r="7">
      <c r="A7" s="17" t="inlineStr">
        <is>
          <t>Allocate</t>
        </is>
      </c>
      <c r="B7" t="inlineStr">
        <is>
          <t>@sec-multiechelon-allocation. One row per candidate plan, then the best plan for each total.</t>
        </is>
      </c>
    </row>
    <row r="8">
      <c r="A8" s="17" t="inlineStr">
        <is>
          <t>Ledger</t>
        </is>
      </c>
      <c r="B8" t="inlineStr">
        <is>
          <t>@sec-multiechelon-ledger. The hand ledger, with the residual columns wired in.</t>
        </is>
      </c>
    </row>
    <row r="9"/>
    <row r="10"/>
    <row r="11">
      <c r="A11" s="3" t="inlineStr">
        <is>
          <t>Three conventions hold across every sheet</t>
        </is>
      </c>
    </row>
    <row r="12">
      <c r="A12" s="2" t="inlineStr">
        <is>
          <t>It carries no macros. Every number can be traced by clicking the cell that made it.</t>
        </is>
      </c>
    </row>
    <row r="13">
      <c r="A13" s="2" t="inlineStr">
        <is>
          <t>The depot is solved before any storeroom, because @sec-multiechelon-delay-depot shows it can be.</t>
        </is>
      </c>
    </row>
    <row r="14">
      <c r="A14" s="2" t="inlineStr">
        <is>
          <t>A negative binomial is evaluated through BETA.DIST, which takes a non-integer 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2026-09-20T20:13:45Z</dcterms:created>
  <dcterms:modified xsi:type="dcterms:W3CDTF">2026-09-21T18:14:11Z</dcterms:modified>
</cp:coreProperties>
</file>