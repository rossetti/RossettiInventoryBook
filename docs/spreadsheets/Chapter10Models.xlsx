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b" sheetId="1" state="visible" r:id="rId1"/>
    <sheet name="Delay" sheetId="2" state="visible" r:id="rId2"/>
    <sheet name="Exact" sheetId="3" state="visible" r:id="rId3"/>
    <sheet name="Storeroom" sheetId="4" state="visible" r:id="rId4"/>
    <sheet name="Orders" sheetId="5" state="visible" r:id="rId5"/>
    <sheet name="HubGeneral" sheetId="6" state="visible" r:id="rId6"/>
    <sheet name="OrderDelay" sheetId="7" state="visible" r:id="rId7"/>
    <sheet name="RandomLead" sheetId="8" state="visible" r:id="rId8"/>
    <sheet name="Iterate" sheetId="9" state="visible" r:id="rId9"/>
    <sheet name="Ledger" sheetId="10" state="visible" r:id="rId10"/>
    <sheet name="Notes" sheetId="11" state="visible" r:id="rId11"/>
  </sheets>
  <definedNames>
    <definedName name="HubLossOne">'Hub'!$D$33:$D$93</definedName>
    <definedName name="HubLossTwo">'Hub'!$E$33:$E$93</definedName>
    <definedName name="DelayMass">'Delay'!$G$14:$G$35</definedName>
    <definedName name="DelayMid">'Delay'!$H$14:$H$35</definedName>
    <definedName name="HubTail">'Exact'!$B$33:$B$84</definedName>
    <definedName name="OrdersTail">'Orders'!$B$20:$B$64</definedName>
    <definedName name="OrdersCount">'Orders'!$D$20:$D$34</definedName>
    <definedName name="GenExactDist">'HubGeneral'!$C$32:$C$92</definedName>
    <definedName name="GenExactLossOne">'HubGeneral'!$D$32:$D$92</definedName>
    <definedName name="GenExactLossTwo">'HubGeneral'!$E$32:$E$92</definedName>
    <definedName name="GenRecipeDist">'HubGeneral'!$G$32:$G$92</definedName>
    <definedName name="GenRecipeLossOne">'HubGeneral'!$H$32:$H$92</definedName>
    <definedName name="GenRecipeLossTwo">'HubGeneral'!$I$32:$I$92</definedName>
    <definedName name="GenShortcutDist">'HubGeneral'!$K$32:$K$92</definedName>
    <definedName name="GenShortcutLossOne">'HubGeneral'!$L$32:$L$92</definedName>
    <definedName name="GenShortcutLossTwo">'HubGeneral'!$M$32:$M$92</definedName>
    <definedName name="PassOneStoreDist">'Iterate'!$C$49:$C$144</definedName>
    <definedName name="PassOneStoreLossOne">'Iterate'!$D$49:$D$144</definedName>
    <definedName name="PassOneStoreLossTwo">'Iterate'!$E$49:$E$144</definedName>
    <definedName name="PassOneHubDist">'Iterate'!$G$49:$G$214</definedName>
    <definedName name="PassOneHubLossOne">'Iterate'!$H$49:$H$214</definedName>
    <definedName name="PassOneHubLossTwo">'Iterate'!$I$49:$I$214</definedName>
    <definedName name="PassTwoStoreDist">'Iterate'!$C$245:$C$340</definedName>
    <definedName name="PassTwoStoreLossOne">'Iterate'!$D$245:$D$340</definedName>
    <definedName name="PassTwoStoreLossTwo">'Iterate'!$E$245:$E$340</definedName>
    <definedName name="PassTwoHubDist">'Iterate'!$G$245:$G$410</definedName>
    <definedName name="PassTwoHubLossOne">'Iterate'!$H$245:$H$410</definedName>
    <definedName name="PassTwoHubLossTwo">'Iterate'!$I$245:$I$410</definedName>
    <definedName name="PassThreeStoreDist">'Iterate'!$C$441:$C$536</definedName>
    <definedName name="PassThreeStoreLossOne">'Iterate'!$D$441:$D$536</definedName>
    <definedName name="PassThreeStoreLossTwo">'Iterate'!$E$441:$E$536</definedName>
    <definedName name="PassThreeHubDist">'Iterate'!$G$441:$G$606</definedName>
    <definedName name="PassThreeHubLossOne">'Iterate'!$H$441:$H$606</definedName>
    <definedName name="PassThreeHubLossTwo">'Iterate'!$I$441:$I$606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&quot;$&quot;#,##0.00"/>
    <numFmt numFmtId="166" formatCode="0.000000"/>
  </numFmts>
  <fonts count="6">
    <font>
      <name val="Calibri"/>
      <family val="2"/>
      <color theme="1"/>
      <sz val="11"/>
      <scheme val="minor"/>
    </font>
    <font>
      <b val="1"/>
      <color rgb="00274060"/>
      <sz val="14"/>
    </font>
    <font>
      <i val="1"/>
      <color rgb="00666666"/>
      <sz val="9"/>
    </font>
    <font>
      <b val="1"/>
      <color rgb="00274060"/>
      <sz val="11"/>
    </font>
    <font>
      <b val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DE3F2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0" pivotButton="0" quotePrefix="0" xfId="0"/>
    <xf numFmtId="3" fontId="0" fillId="2" borderId="0" pivotButton="0" quotePrefix="0" xfId="0"/>
    <xf numFmtId="165" fontId="0" fillId="2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4" fillId="0" borderId="1" pivotButton="0" quotePrefix="0" xfId="0"/>
    <xf numFmtId="3" fontId="0" fillId="0" borderId="0" pivotButton="0" quotePrefix="0" xfId="0"/>
    <xf numFmtId="166" fontId="0" fillId="3" borderId="0" pivotButton="0" quotePrefix="0" xfId="0"/>
    <xf numFmtId="3" fontId="0" fillId="3" borderId="0" pivotButton="0" quotePrefix="0" xfId="0"/>
    <xf numFmtId="166" fontId="0" fillId="4" borderId="0" pivotButton="0" quotePrefix="0" xfId="0"/>
    <xf numFmtId="0" fontId="0" fillId="2" borderId="0" pivotButton="0" quotePrefix="0" xfId="0"/>
    <xf numFmtId="3" fontId="4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6" fontId="0" fillId="5" borderId="0" pivotButton="0" quotePrefix="0" xfId="0"/>
    <xf numFmtId="164" fontId="0" fillId="5" borderId="0" pivotButton="0" quotePrefix="0" xfId="0"/>
    <xf numFmtId="3" fontId="0" fillId="4" borderId="0" pivotButton="0" quotePrefix="0" xfId="0"/>
    <xf numFmtId="165" fontId="0" fillId="4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44" customWidth="1" min="3" max="3"/>
    <col width="12" customWidth="1" min="4" max="4"/>
    <col width="12" customWidth="1" min="5" max="5"/>
  </cols>
  <sheetData>
    <row r="1">
      <c r="A1" s="1" t="inlineStr">
        <is>
          <t>The hub, when the storerooms order one at a time</t>
        </is>
      </c>
    </row>
    <row r="2">
      <c r="A2" s="2" t="inlineStr">
        <is>
          <t>@sec-batchedmultiechelon. Every storeroom demand becomes one request at the hub, so the hub is chapter 8's location.</t>
        </is>
      </c>
    </row>
    <row r="4">
      <c r="A4" s="3" t="inlineStr">
        <is>
          <t>The item and the network</t>
        </is>
      </c>
    </row>
    <row r="5">
      <c r="A5" t="inlineStr">
        <is>
          <t>demand per storeroom</t>
        </is>
      </c>
      <c r="B5" s="4" t="n">
        <v>1</v>
      </c>
      <c r="C5" s="2" t="inlineStr">
        <is>
          <t>units a week</t>
        </is>
      </c>
    </row>
    <row r="6">
      <c r="A6" t="inlineStr">
        <is>
          <t>storerooms N</t>
        </is>
      </c>
      <c r="B6" s="5" t="n">
        <v>4</v>
      </c>
      <c r="C6" s="2" t="inlineStr">
        <is>
          <t>locations</t>
        </is>
      </c>
    </row>
    <row r="7">
      <c r="A7" t="inlineStr">
        <is>
          <t>hub lead time L_0</t>
        </is>
      </c>
      <c r="B7" s="4" t="n">
        <v>3</v>
      </c>
      <c r="C7" s="2" t="inlineStr">
        <is>
          <t>weeks</t>
        </is>
      </c>
    </row>
    <row r="8">
      <c r="A8" t="inlineStr">
        <is>
          <t>transit O_j</t>
        </is>
      </c>
      <c r="B8" s="4" t="n">
        <v>1</v>
      </c>
      <c r="C8" s="2" t="inlineStr">
        <is>
          <t>weeks</t>
        </is>
      </c>
    </row>
    <row r="9">
      <c r="A9" t="inlineStr">
        <is>
          <t>holding cost h</t>
        </is>
      </c>
      <c r="B9" s="6" t="n">
        <v>28.75</v>
      </c>
      <c r="C9" s="2" t="inlineStr">
        <is>
          <t>dollars a unit a year</t>
        </is>
      </c>
    </row>
    <row r="10">
      <c r="A10" t="inlineStr">
        <is>
          <t>backorder cost b</t>
        </is>
      </c>
      <c r="B10" s="6" t="n">
        <v>287.5</v>
      </c>
      <c r="C10" s="2" t="inlineStr">
        <is>
          <t>dollars a unit a year</t>
        </is>
      </c>
    </row>
    <row r="11">
      <c r="A11" t="inlineStr">
        <is>
          <t>weeks a year</t>
        </is>
      </c>
      <c r="B11" s="5" t="n">
        <v>52</v>
      </c>
      <c r="C11" s="2" t="inlineStr">
        <is>
          <t>weeks</t>
        </is>
      </c>
    </row>
    <row r="12">
      <c r="A12" t="inlineStr">
        <is>
          <t>lambda_0</t>
        </is>
      </c>
      <c r="B12" s="7">
        <f>B5*B6</f>
        <v/>
      </c>
      <c r="C12" s="2" t="inlineStr">
        <is>
          <t>units a week reaching the hub</t>
        </is>
      </c>
    </row>
    <row r="13">
      <c r="A13" t="inlineStr">
        <is>
          <t>mean lead time demand</t>
        </is>
      </c>
      <c r="B13" s="7">
        <f>B12*B7</f>
        <v/>
      </c>
      <c r="C13" s="2" t="inlineStr">
        <is>
          <t>Poisson, lambda_0 L_0</t>
        </is>
      </c>
    </row>
    <row r="14">
      <c r="A14" t="inlineStr">
        <is>
          <t>h per week</t>
        </is>
      </c>
      <c r="B14" s="8">
        <f>B9/B11</f>
        <v/>
      </c>
      <c r="C14" s="2" t="inlineStr">
        <is>
          <t>$/unit/yr x 1 yr/52 wk</t>
        </is>
      </c>
    </row>
    <row r="15">
      <c r="A15" t="inlineStr">
        <is>
          <t>b per week</t>
        </is>
      </c>
      <c r="B15" s="8">
        <f>B10/B11</f>
        <v/>
      </c>
    </row>
    <row r="17">
      <c r="A17" s="3" t="inlineStr">
        <is>
          <t>The hub's policy</t>
        </is>
      </c>
    </row>
    <row r="18">
      <c r="A18" t="inlineStr">
        <is>
          <t>reorder point r_0</t>
        </is>
      </c>
      <c r="B18" s="5" t="n">
        <v>9</v>
      </c>
      <c r="C18" s="2" t="inlineStr">
        <is>
          <t>units</t>
        </is>
      </c>
    </row>
    <row r="19">
      <c r="A19" t="inlineStr">
        <is>
          <t>order quantity Q_0</t>
        </is>
      </c>
      <c r="B19" s="5" t="n">
        <v>8</v>
      </c>
      <c r="C19" s="2" t="inlineStr">
        <is>
          <t>units</t>
        </is>
      </c>
    </row>
    <row r="21">
      <c r="A21" s="3" t="inlineStr">
        <is>
          <t>Its measures, averaged over the positions r_0+1 .. r_0+Q_0</t>
        </is>
      </c>
    </row>
    <row r="22">
      <c r="A22" t="inlineStr">
        <is>
          <t>expected backorders</t>
        </is>
      </c>
      <c r="B22" s="7">
        <f>(INDEX(HubLossTwo,B18+1)-INDEX(HubLossTwo,B18+B19+1))/B19</f>
        <v/>
      </c>
    </row>
    <row r="23">
      <c r="A23" t="inlineStr">
        <is>
          <t>ready rate</t>
        </is>
      </c>
      <c r="B23" s="7">
        <f>1-(INDEX(HubLossOne,B18+1)-INDEX(HubLossOne,B18+B19+1))/B19</f>
        <v/>
      </c>
    </row>
    <row r="24">
      <c r="A24" t="inlineStr">
        <is>
          <t>expected on-hand</t>
        </is>
      </c>
      <c r="B24" s="7">
        <f>(B19+1)/2+B18-B13+B22</f>
        <v/>
      </c>
    </row>
    <row r="25">
      <c r="A25" t="inlineStr">
        <is>
          <t>E[B(B-1)]</t>
        </is>
      </c>
      <c r="B25" s="7">
        <f>2/B19*SUM(INDEX(HubLossTwo,B18+1+1):INDEX(HubLossTwo,B18+B19+1))</f>
        <v/>
      </c>
    </row>
    <row r="26">
      <c r="A26" t="inlineStr">
        <is>
          <t>Var[B]</t>
        </is>
      </c>
      <c r="B26" s="7">
        <f>B25+B22-B22^2</f>
        <v/>
      </c>
    </row>
    <row r="27">
      <c r="A27" t="inlineStr">
        <is>
          <t>mean wait, weeks</t>
        </is>
      </c>
      <c r="B27" s="7">
        <f>B22/B12</f>
        <v/>
      </c>
      <c r="C27" s="2" t="inlineStr">
        <is>
          <t>Little's law, over every request</t>
        </is>
      </c>
    </row>
    <row r="28">
      <c r="A28" t="inlineStr">
        <is>
          <t>Var[W], weeks squared</t>
        </is>
      </c>
      <c r="B28" s="7">
        <f>(B26-B22)/B12^2</f>
        <v/>
      </c>
      <c r="C28" s="2" t="inlineStr">
        <is>
          <t>the distributional Little's law, in factorial moments</t>
        </is>
      </c>
    </row>
    <row r="31">
      <c r="A31" s="2" t="inlineStr">
        <is>
          <t>Poisson at the mean lead time demand. G1 is closed form; G2 walks down from mu^2/2.</t>
        </is>
      </c>
    </row>
    <row r="32">
      <c r="A32" s="9" t="inlineStr">
        <is>
          <t>x</t>
        </is>
      </c>
      <c r="B32" s="9" t="inlineStr">
        <is>
          <t>P(X = x)</t>
        </is>
      </c>
      <c r="C32" s="9" t="inlineStr">
        <is>
          <t>F(x)</t>
        </is>
      </c>
      <c r="D32" s="9" t="inlineStr">
        <is>
          <t>G1(x)</t>
        </is>
      </c>
      <c r="E32" s="9" t="inlineStr">
        <is>
          <t>G2(x)</t>
        </is>
      </c>
    </row>
    <row r="33">
      <c r="A33" s="10" t="n">
        <v>0</v>
      </c>
      <c r="B33" s="11">
        <f>_xlfn.POISSON.DIST(A33,$B$13,FALSE)</f>
        <v/>
      </c>
      <c r="C33" s="11">
        <f>_xlfn.POISSON.DIST(A33,$B$13,TRUE)</f>
        <v/>
      </c>
      <c r="D33" s="11">
        <f>($B$13*(1-IF(A33&lt;1,0,_xlfn.POISSON.DIST(A33-1,$B$13,TRUE)))-A33*(1-_xlfn.POISSON.DIST(A33,$B$13,TRUE)))</f>
        <v/>
      </c>
      <c r="E33" s="11">
        <f>$B$13^2/2</f>
        <v/>
      </c>
    </row>
    <row r="34">
      <c r="A34" s="10" t="n">
        <v>1</v>
      </c>
      <c r="B34" s="11">
        <f>_xlfn.POISSON.DIST(A34,$B$13,FALSE)</f>
        <v/>
      </c>
      <c r="C34" s="11">
        <f>_xlfn.POISSON.DIST(A34,$B$13,TRUE)</f>
        <v/>
      </c>
      <c r="D34" s="11">
        <f>($B$13*(1-IF(A34&lt;1,0,_xlfn.POISSON.DIST(A34-1,$B$13,TRUE)))-A34*(1-_xlfn.POISSON.DIST(A34,$B$13,TRUE)))</f>
        <v/>
      </c>
      <c r="E34" s="11">
        <f>E33-D34</f>
        <v/>
      </c>
    </row>
    <row r="35">
      <c r="A35" s="10" t="n">
        <v>2</v>
      </c>
      <c r="B35" s="11">
        <f>_xlfn.POISSON.DIST(A35,$B$13,FALSE)</f>
        <v/>
      </c>
      <c r="C35" s="11">
        <f>_xlfn.POISSON.DIST(A35,$B$13,TRUE)</f>
        <v/>
      </c>
      <c r="D35" s="11">
        <f>($B$13*(1-IF(A35&lt;1,0,_xlfn.POISSON.DIST(A35-1,$B$13,TRUE)))-A35*(1-_xlfn.POISSON.DIST(A35,$B$13,TRUE)))</f>
        <v/>
      </c>
      <c r="E35" s="11">
        <f>E34-D35</f>
        <v/>
      </c>
    </row>
    <row r="36">
      <c r="A36" s="10" t="n">
        <v>3</v>
      </c>
      <c r="B36" s="11">
        <f>_xlfn.POISSON.DIST(A36,$B$13,FALSE)</f>
        <v/>
      </c>
      <c r="C36" s="11">
        <f>_xlfn.POISSON.DIST(A36,$B$13,TRUE)</f>
        <v/>
      </c>
      <c r="D36" s="11">
        <f>($B$13*(1-IF(A36&lt;1,0,_xlfn.POISSON.DIST(A36-1,$B$13,TRUE)))-A36*(1-_xlfn.POISSON.DIST(A36,$B$13,TRUE)))</f>
        <v/>
      </c>
      <c r="E36" s="11">
        <f>E35-D36</f>
        <v/>
      </c>
    </row>
    <row r="37">
      <c r="A37" s="10" t="n">
        <v>4</v>
      </c>
      <c r="B37" s="11">
        <f>_xlfn.POISSON.DIST(A37,$B$13,FALSE)</f>
        <v/>
      </c>
      <c r="C37" s="11">
        <f>_xlfn.POISSON.DIST(A37,$B$13,TRUE)</f>
        <v/>
      </c>
      <c r="D37" s="11">
        <f>($B$13*(1-IF(A37&lt;1,0,_xlfn.POISSON.DIST(A37-1,$B$13,TRUE)))-A37*(1-_xlfn.POISSON.DIST(A37,$B$13,TRUE)))</f>
        <v/>
      </c>
      <c r="E37" s="11">
        <f>E36-D37</f>
        <v/>
      </c>
    </row>
    <row r="38">
      <c r="A38" s="10" t="n">
        <v>5</v>
      </c>
      <c r="B38" s="11">
        <f>_xlfn.POISSON.DIST(A38,$B$13,FALSE)</f>
        <v/>
      </c>
      <c r="C38" s="11">
        <f>_xlfn.POISSON.DIST(A38,$B$13,TRUE)</f>
        <v/>
      </c>
      <c r="D38" s="11">
        <f>($B$13*(1-IF(A38&lt;1,0,_xlfn.POISSON.DIST(A38-1,$B$13,TRUE)))-A38*(1-_xlfn.POISSON.DIST(A38,$B$13,TRUE)))</f>
        <v/>
      </c>
      <c r="E38" s="11">
        <f>E37-D38</f>
        <v/>
      </c>
    </row>
    <row r="39">
      <c r="A39" s="10" t="n">
        <v>6</v>
      </c>
      <c r="B39" s="11">
        <f>_xlfn.POISSON.DIST(A39,$B$13,FALSE)</f>
        <v/>
      </c>
      <c r="C39" s="11">
        <f>_xlfn.POISSON.DIST(A39,$B$13,TRUE)</f>
        <v/>
      </c>
      <c r="D39" s="11">
        <f>($B$13*(1-IF(A39&lt;1,0,_xlfn.POISSON.DIST(A39-1,$B$13,TRUE)))-A39*(1-_xlfn.POISSON.DIST(A39,$B$13,TRUE)))</f>
        <v/>
      </c>
      <c r="E39" s="11">
        <f>E38-D39</f>
        <v/>
      </c>
    </row>
    <row r="40">
      <c r="A40" s="10" t="n">
        <v>7</v>
      </c>
      <c r="B40" s="11">
        <f>_xlfn.POISSON.DIST(A40,$B$13,FALSE)</f>
        <v/>
      </c>
      <c r="C40" s="11">
        <f>_xlfn.POISSON.DIST(A40,$B$13,TRUE)</f>
        <v/>
      </c>
      <c r="D40" s="11">
        <f>($B$13*(1-IF(A40&lt;1,0,_xlfn.POISSON.DIST(A40-1,$B$13,TRUE)))-A40*(1-_xlfn.POISSON.DIST(A40,$B$13,TRUE)))</f>
        <v/>
      </c>
      <c r="E40" s="11">
        <f>E39-D40</f>
        <v/>
      </c>
    </row>
    <row r="41">
      <c r="A41" s="10" t="n">
        <v>8</v>
      </c>
      <c r="B41" s="11">
        <f>_xlfn.POISSON.DIST(A41,$B$13,FALSE)</f>
        <v/>
      </c>
      <c r="C41" s="11">
        <f>_xlfn.POISSON.DIST(A41,$B$13,TRUE)</f>
        <v/>
      </c>
      <c r="D41" s="11">
        <f>($B$13*(1-IF(A41&lt;1,0,_xlfn.POISSON.DIST(A41-1,$B$13,TRUE)))-A41*(1-_xlfn.POISSON.DIST(A41,$B$13,TRUE)))</f>
        <v/>
      </c>
      <c r="E41" s="11">
        <f>E40-D41</f>
        <v/>
      </c>
    </row>
    <row r="42">
      <c r="A42" s="10" t="n">
        <v>9</v>
      </c>
      <c r="B42" s="11">
        <f>_xlfn.POISSON.DIST(A42,$B$13,FALSE)</f>
        <v/>
      </c>
      <c r="C42" s="11">
        <f>_xlfn.POISSON.DIST(A42,$B$13,TRUE)</f>
        <v/>
      </c>
      <c r="D42" s="11">
        <f>($B$13*(1-IF(A42&lt;1,0,_xlfn.POISSON.DIST(A42-1,$B$13,TRUE)))-A42*(1-_xlfn.POISSON.DIST(A42,$B$13,TRUE)))</f>
        <v/>
      </c>
      <c r="E42" s="11">
        <f>E41-D42</f>
        <v/>
      </c>
    </row>
    <row r="43">
      <c r="A43" s="10" t="n">
        <v>10</v>
      </c>
      <c r="B43" s="11">
        <f>_xlfn.POISSON.DIST(A43,$B$13,FALSE)</f>
        <v/>
      </c>
      <c r="C43" s="11">
        <f>_xlfn.POISSON.DIST(A43,$B$13,TRUE)</f>
        <v/>
      </c>
      <c r="D43" s="11">
        <f>($B$13*(1-IF(A43&lt;1,0,_xlfn.POISSON.DIST(A43-1,$B$13,TRUE)))-A43*(1-_xlfn.POISSON.DIST(A43,$B$13,TRUE)))</f>
        <v/>
      </c>
      <c r="E43" s="11">
        <f>E42-D43</f>
        <v/>
      </c>
    </row>
    <row r="44">
      <c r="A44" s="10" t="n">
        <v>11</v>
      </c>
      <c r="B44" s="11">
        <f>_xlfn.POISSON.DIST(A44,$B$13,FALSE)</f>
        <v/>
      </c>
      <c r="C44" s="11">
        <f>_xlfn.POISSON.DIST(A44,$B$13,TRUE)</f>
        <v/>
      </c>
      <c r="D44" s="11">
        <f>($B$13*(1-IF(A44&lt;1,0,_xlfn.POISSON.DIST(A44-1,$B$13,TRUE)))-A44*(1-_xlfn.POISSON.DIST(A44,$B$13,TRUE)))</f>
        <v/>
      </c>
      <c r="E44" s="11">
        <f>E43-D44</f>
        <v/>
      </c>
    </row>
    <row r="45">
      <c r="A45" s="10" t="n">
        <v>12</v>
      </c>
      <c r="B45" s="11">
        <f>_xlfn.POISSON.DIST(A45,$B$13,FALSE)</f>
        <v/>
      </c>
      <c r="C45" s="11">
        <f>_xlfn.POISSON.DIST(A45,$B$13,TRUE)</f>
        <v/>
      </c>
      <c r="D45" s="11">
        <f>($B$13*(1-IF(A45&lt;1,0,_xlfn.POISSON.DIST(A45-1,$B$13,TRUE)))-A45*(1-_xlfn.POISSON.DIST(A45,$B$13,TRUE)))</f>
        <v/>
      </c>
      <c r="E45" s="11">
        <f>E44-D45</f>
        <v/>
      </c>
    </row>
    <row r="46">
      <c r="A46" s="10" t="n">
        <v>13</v>
      </c>
      <c r="B46" s="11">
        <f>_xlfn.POISSON.DIST(A46,$B$13,FALSE)</f>
        <v/>
      </c>
      <c r="C46" s="11">
        <f>_xlfn.POISSON.DIST(A46,$B$13,TRUE)</f>
        <v/>
      </c>
      <c r="D46" s="11">
        <f>($B$13*(1-IF(A46&lt;1,0,_xlfn.POISSON.DIST(A46-1,$B$13,TRUE)))-A46*(1-_xlfn.POISSON.DIST(A46,$B$13,TRUE)))</f>
        <v/>
      </c>
      <c r="E46" s="11">
        <f>E45-D46</f>
        <v/>
      </c>
    </row>
    <row r="47">
      <c r="A47" s="10" t="n">
        <v>14</v>
      </c>
      <c r="B47" s="11">
        <f>_xlfn.POISSON.DIST(A47,$B$13,FALSE)</f>
        <v/>
      </c>
      <c r="C47" s="11">
        <f>_xlfn.POISSON.DIST(A47,$B$13,TRUE)</f>
        <v/>
      </c>
      <c r="D47" s="11">
        <f>($B$13*(1-IF(A47&lt;1,0,_xlfn.POISSON.DIST(A47-1,$B$13,TRUE)))-A47*(1-_xlfn.POISSON.DIST(A47,$B$13,TRUE)))</f>
        <v/>
      </c>
      <c r="E47" s="11">
        <f>E46-D47</f>
        <v/>
      </c>
    </row>
    <row r="48">
      <c r="A48" s="10" t="n">
        <v>15</v>
      </c>
      <c r="B48" s="11">
        <f>_xlfn.POISSON.DIST(A48,$B$13,FALSE)</f>
        <v/>
      </c>
      <c r="C48" s="11">
        <f>_xlfn.POISSON.DIST(A48,$B$13,TRUE)</f>
        <v/>
      </c>
      <c r="D48" s="11">
        <f>($B$13*(1-IF(A48&lt;1,0,_xlfn.POISSON.DIST(A48-1,$B$13,TRUE)))-A48*(1-_xlfn.POISSON.DIST(A48,$B$13,TRUE)))</f>
        <v/>
      </c>
      <c r="E48" s="11">
        <f>E47-D48</f>
        <v/>
      </c>
    </row>
    <row r="49">
      <c r="A49" s="10" t="n">
        <v>16</v>
      </c>
      <c r="B49" s="11">
        <f>_xlfn.POISSON.DIST(A49,$B$13,FALSE)</f>
        <v/>
      </c>
      <c r="C49" s="11">
        <f>_xlfn.POISSON.DIST(A49,$B$13,TRUE)</f>
        <v/>
      </c>
      <c r="D49" s="11">
        <f>($B$13*(1-IF(A49&lt;1,0,_xlfn.POISSON.DIST(A49-1,$B$13,TRUE)))-A49*(1-_xlfn.POISSON.DIST(A49,$B$13,TRUE)))</f>
        <v/>
      </c>
      <c r="E49" s="11">
        <f>E48-D49</f>
        <v/>
      </c>
    </row>
    <row r="50">
      <c r="A50" s="10" t="n">
        <v>17</v>
      </c>
      <c r="B50" s="11">
        <f>_xlfn.POISSON.DIST(A50,$B$13,FALSE)</f>
        <v/>
      </c>
      <c r="C50" s="11">
        <f>_xlfn.POISSON.DIST(A50,$B$13,TRUE)</f>
        <v/>
      </c>
      <c r="D50" s="11">
        <f>($B$13*(1-IF(A50&lt;1,0,_xlfn.POISSON.DIST(A50-1,$B$13,TRUE)))-A50*(1-_xlfn.POISSON.DIST(A50,$B$13,TRUE)))</f>
        <v/>
      </c>
      <c r="E50" s="11">
        <f>E49-D50</f>
        <v/>
      </c>
    </row>
    <row r="51">
      <c r="A51" s="10" t="n">
        <v>18</v>
      </c>
      <c r="B51" s="11">
        <f>_xlfn.POISSON.DIST(A51,$B$13,FALSE)</f>
        <v/>
      </c>
      <c r="C51" s="11">
        <f>_xlfn.POISSON.DIST(A51,$B$13,TRUE)</f>
        <v/>
      </c>
      <c r="D51" s="11">
        <f>($B$13*(1-IF(A51&lt;1,0,_xlfn.POISSON.DIST(A51-1,$B$13,TRUE)))-A51*(1-_xlfn.POISSON.DIST(A51,$B$13,TRUE)))</f>
        <v/>
      </c>
      <c r="E51" s="11">
        <f>E50-D51</f>
        <v/>
      </c>
    </row>
    <row r="52">
      <c r="A52" s="10" t="n">
        <v>19</v>
      </c>
      <c r="B52" s="11">
        <f>_xlfn.POISSON.DIST(A52,$B$13,FALSE)</f>
        <v/>
      </c>
      <c r="C52" s="11">
        <f>_xlfn.POISSON.DIST(A52,$B$13,TRUE)</f>
        <v/>
      </c>
      <c r="D52" s="11">
        <f>($B$13*(1-IF(A52&lt;1,0,_xlfn.POISSON.DIST(A52-1,$B$13,TRUE)))-A52*(1-_xlfn.POISSON.DIST(A52,$B$13,TRUE)))</f>
        <v/>
      </c>
      <c r="E52" s="11">
        <f>E51-D52</f>
        <v/>
      </c>
    </row>
    <row r="53">
      <c r="A53" s="10" t="n">
        <v>20</v>
      </c>
      <c r="B53" s="11">
        <f>_xlfn.POISSON.DIST(A53,$B$13,FALSE)</f>
        <v/>
      </c>
      <c r="C53" s="11">
        <f>_xlfn.POISSON.DIST(A53,$B$13,TRUE)</f>
        <v/>
      </c>
      <c r="D53" s="11">
        <f>($B$13*(1-IF(A53&lt;1,0,_xlfn.POISSON.DIST(A53-1,$B$13,TRUE)))-A53*(1-_xlfn.POISSON.DIST(A53,$B$13,TRUE)))</f>
        <v/>
      </c>
      <c r="E53" s="11">
        <f>E52-D53</f>
        <v/>
      </c>
    </row>
    <row r="54">
      <c r="A54" s="10" t="n">
        <v>21</v>
      </c>
      <c r="B54" s="11">
        <f>_xlfn.POISSON.DIST(A54,$B$13,FALSE)</f>
        <v/>
      </c>
      <c r="C54" s="11">
        <f>_xlfn.POISSON.DIST(A54,$B$13,TRUE)</f>
        <v/>
      </c>
      <c r="D54" s="11">
        <f>($B$13*(1-IF(A54&lt;1,0,_xlfn.POISSON.DIST(A54-1,$B$13,TRUE)))-A54*(1-_xlfn.POISSON.DIST(A54,$B$13,TRUE)))</f>
        <v/>
      </c>
      <c r="E54" s="11">
        <f>E53-D54</f>
        <v/>
      </c>
    </row>
    <row r="55">
      <c r="A55" s="10" t="n">
        <v>22</v>
      </c>
      <c r="B55" s="11">
        <f>_xlfn.POISSON.DIST(A55,$B$13,FALSE)</f>
        <v/>
      </c>
      <c r="C55" s="11">
        <f>_xlfn.POISSON.DIST(A55,$B$13,TRUE)</f>
        <v/>
      </c>
      <c r="D55" s="11">
        <f>($B$13*(1-IF(A55&lt;1,0,_xlfn.POISSON.DIST(A55-1,$B$13,TRUE)))-A55*(1-_xlfn.POISSON.DIST(A55,$B$13,TRUE)))</f>
        <v/>
      </c>
      <c r="E55" s="11">
        <f>E54-D55</f>
        <v/>
      </c>
    </row>
    <row r="56">
      <c r="A56" s="10" t="n">
        <v>23</v>
      </c>
      <c r="B56" s="11">
        <f>_xlfn.POISSON.DIST(A56,$B$13,FALSE)</f>
        <v/>
      </c>
      <c r="C56" s="11">
        <f>_xlfn.POISSON.DIST(A56,$B$13,TRUE)</f>
        <v/>
      </c>
      <c r="D56" s="11">
        <f>($B$13*(1-IF(A56&lt;1,0,_xlfn.POISSON.DIST(A56-1,$B$13,TRUE)))-A56*(1-_xlfn.POISSON.DIST(A56,$B$13,TRUE)))</f>
        <v/>
      </c>
      <c r="E56" s="11">
        <f>E55-D56</f>
        <v/>
      </c>
    </row>
    <row r="57">
      <c r="A57" s="10" t="n">
        <v>24</v>
      </c>
      <c r="B57" s="11">
        <f>_xlfn.POISSON.DIST(A57,$B$13,FALSE)</f>
        <v/>
      </c>
      <c r="C57" s="11">
        <f>_xlfn.POISSON.DIST(A57,$B$13,TRUE)</f>
        <v/>
      </c>
      <c r="D57" s="11">
        <f>($B$13*(1-IF(A57&lt;1,0,_xlfn.POISSON.DIST(A57-1,$B$13,TRUE)))-A57*(1-_xlfn.POISSON.DIST(A57,$B$13,TRUE)))</f>
        <v/>
      </c>
      <c r="E57" s="11">
        <f>E56-D57</f>
        <v/>
      </c>
    </row>
    <row r="58">
      <c r="A58" s="10" t="n">
        <v>25</v>
      </c>
      <c r="B58" s="11">
        <f>_xlfn.POISSON.DIST(A58,$B$13,FALSE)</f>
        <v/>
      </c>
      <c r="C58" s="11">
        <f>_xlfn.POISSON.DIST(A58,$B$13,TRUE)</f>
        <v/>
      </c>
      <c r="D58" s="11">
        <f>($B$13*(1-IF(A58&lt;1,0,_xlfn.POISSON.DIST(A58-1,$B$13,TRUE)))-A58*(1-_xlfn.POISSON.DIST(A58,$B$13,TRUE)))</f>
        <v/>
      </c>
      <c r="E58" s="11">
        <f>E57-D58</f>
        <v/>
      </c>
    </row>
    <row r="59">
      <c r="A59" s="10" t="n">
        <v>26</v>
      </c>
      <c r="B59" s="11">
        <f>_xlfn.POISSON.DIST(A59,$B$13,FALSE)</f>
        <v/>
      </c>
      <c r="C59" s="11">
        <f>_xlfn.POISSON.DIST(A59,$B$13,TRUE)</f>
        <v/>
      </c>
      <c r="D59" s="11">
        <f>($B$13*(1-IF(A59&lt;1,0,_xlfn.POISSON.DIST(A59-1,$B$13,TRUE)))-A59*(1-_xlfn.POISSON.DIST(A59,$B$13,TRUE)))</f>
        <v/>
      </c>
      <c r="E59" s="11">
        <f>E58-D59</f>
        <v/>
      </c>
    </row>
    <row r="60">
      <c r="A60" s="10" t="n">
        <v>27</v>
      </c>
      <c r="B60" s="11">
        <f>_xlfn.POISSON.DIST(A60,$B$13,FALSE)</f>
        <v/>
      </c>
      <c r="C60" s="11">
        <f>_xlfn.POISSON.DIST(A60,$B$13,TRUE)</f>
        <v/>
      </c>
      <c r="D60" s="11">
        <f>($B$13*(1-IF(A60&lt;1,0,_xlfn.POISSON.DIST(A60-1,$B$13,TRUE)))-A60*(1-_xlfn.POISSON.DIST(A60,$B$13,TRUE)))</f>
        <v/>
      </c>
      <c r="E60" s="11">
        <f>E59-D60</f>
        <v/>
      </c>
    </row>
    <row r="61">
      <c r="A61" s="10" t="n">
        <v>28</v>
      </c>
      <c r="B61" s="11">
        <f>_xlfn.POISSON.DIST(A61,$B$13,FALSE)</f>
        <v/>
      </c>
      <c r="C61" s="11">
        <f>_xlfn.POISSON.DIST(A61,$B$13,TRUE)</f>
        <v/>
      </c>
      <c r="D61" s="11">
        <f>($B$13*(1-IF(A61&lt;1,0,_xlfn.POISSON.DIST(A61-1,$B$13,TRUE)))-A61*(1-_xlfn.POISSON.DIST(A61,$B$13,TRUE)))</f>
        <v/>
      </c>
      <c r="E61" s="11">
        <f>E60-D61</f>
        <v/>
      </c>
    </row>
    <row r="62">
      <c r="A62" s="10" t="n">
        <v>29</v>
      </c>
      <c r="B62" s="11">
        <f>_xlfn.POISSON.DIST(A62,$B$13,FALSE)</f>
        <v/>
      </c>
      <c r="C62" s="11">
        <f>_xlfn.POISSON.DIST(A62,$B$13,TRUE)</f>
        <v/>
      </c>
      <c r="D62" s="11">
        <f>($B$13*(1-IF(A62&lt;1,0,_xlfn.POISSON.DIST(A62-1,$B$13,TRUE)))-A62*(1-_xlfn.POISSON.DIST(A62,$B$13,TRUE)))</f>
        <v/>
      </c>
      <c r="E62" s="11">
        <f>E61-D62</f>
        <v/>
      </c>
    </row>
    <row r="63">
      <c r="A63" s="10" t="n">
        <v>30</v>
      </c>
      <c r="B63" s="11">
        <f>_xlfn.POISSON.DIST(A63,$B$13,FALSE)</f>
        <v/>
      </c>
      <c r="C63" s="11">
        <f>_xlfn.POISSON.DIST(A63,$B$13,TRUE)</f>
        <v/>
      </c>
      <c r="D63" s="11">
        <f>($B$13*(1-IF(A63&lt;1,0,_xlfn.POISSON.DIST(A63-1,$B$13,TRUE)))-A63*(1-_xlfn.POISSON.DIST(A63,$B$13,TRUE)))</f>
        <v/>
      </c>
      <c r="E63" s="11">
        <f>E62-D63</f>
        <v/>
      </c>
    </row>
    <row r="64">
      <c r="A64" s="10" t="n">
        <v>31</v>
      </c>
      <c r="B64" s="11">
        <f>_xlfn.POISSON.DIST(A64,$B$13,FALSE)</f>
        <v/>
      </c>
      <c r="C64" s="11">
        <f>_xlfn.POISSON.DIST(A64,$B$13,TRUE)</f>
        <v/>
      </c>
      <c r="D64" s="11">
        <f>($B$13*(1-IF(A64&lt;1,0,_xlfn.POISSON.DIST(A64-1,$B$13,TRUE)))-A64*(1-_xlfn.POISSON.DIST(A64,$B$13,TRUE)))</f>
        <v/>
      </c>
      <c r="E64" s="11">
        <f>E63-D64</f>
        <v/>
      </c>
    </row>
    <row r="65">
      <c r="A65" s="10" t="n">
        <v>32</v>
      </c>
      <c r="B65" s="11">
        <f>_xlfn.POISSON.DIST(A65,$B$13,FALSE)</f>
        <v/>
      </c>
      <c r="C65" s="11">
        <f>_xlfn.POISSON.DIST(A65,$B$13,TRUE)</f>
        <v/>
      </c>
      <c r="D65" s="11">
        <f>($B$13*(1-IF(A65&lt;1,0,_xlfn.POISSON.DIST(A65-1,$B$13,TRUE)))-A65*(1-_xlfn.POISSON.DIST(A65,$B$13,TRUE)))</f>
        <v/>
      </c>
      <c r="E65" s="11">
        <f>E64-D65</f>
        <v/>
      </c>
    </row>
    <row r="66">
      <c r="A66" s="10" t="n">
        <v>33</v>
      </c>
      <c r="B66" s="11">
        <f>_xlfn.POISSON.DIST(A66,$B$13,FALSE)</f>
        <v/>
      </c>
      <c r="C66" s="11">
        <f>_xlfn.POISSON.DIST(A66,$B$13,TRUE)</f>
        <v/>
      </c>
      <c r="D66" s="11">
        <f>($B$13*(1-IF(A66&lt;1,0,_xlfn.POISSON.DIST(A66-1,$B$13,TRUE)))-A66*(1-_xlfn.POISSON.DIST(A66,$B$13,TRUE)))</f>
        <v/>
      </c>
      <c r="E66" s="11">
        <f>E65-D66</f>
        <v/>
      </c>
    </row>
    <row r="67">
      <c r="A67" s="10" t="n">
        <v>34</v>
      </c>
      <c r="B67" s="11">
        <f>_xlfn.POISSON.DIST(A67,$B$13,FALSE)</f>
        <v/>
      </c>
      <c r="C67" s="11">
        <f>_xlfn.POISSON.DIST(A67,$B$13,TRUE)</f>
        <v/>
      </c>
      <c r="D67" s="11">
        <f>($B$13*(1-IF(A67&lt;1,0,_xlfn.POISSON.DIST(A67-1,$B$13,TRUE)))-A67*(1-_xlfn.POISSON.DIST(A67,$B$13,TRUE)))</f>
        <v/>
      </c>
      <c r="E67" s="11">
        <f>E66-D67</f>
        <v/>
      </c>
    </row>
    <row r="68">
      <c r="A68" s="10" t="n">
        <v>35</v>
      </c>
      <c r="B68" s="11">
        <f>_xlfn.POISSON.DIST(A68,$B$13,FALSE)</f>
        <v/>
      </c>
      <c r="C68" s="11">
        <f>_xlfn.POISSON.DIST(A68,$B$13,TRUE)</f>
        <v/>
      </c>
      <c r="D68" s="11">
        <f>($B$13*(1-IF(A68&lt;1,0,_xlfn.POISSON.DIST(A68-1,$B$13,TRUE)))-A68*(1-_xlfn.POISSON.DIST(A68,$B$13,TRUE)))</f>
        <v/>
      </c>
      <c r="E68" s="11">
        <f>E67-D68</f>
        <v/>
      </c>
    </row>
    <row r="69">
      <c r="A69" s="10" t="n">
        <v>36</v>
      </c>
      <c r="B69" s="11">
        <f>_xlfn.POISSON.DIST(A69,$B$13,FALSE)</f>
        <v/>
      </c>
      <c r="C69" s="11">
        <f>_xlfn.POISSON.DIST(A69,$B$13,TRUE)</f>
        <v/>
      </c>
      <c r="D69" s="11">
        <f>($B$13*(1-IF(A69&lt;1,0,_xlfn.POISSON.DIST(A69-1,$B$13,TRUE)))-A69*(1-_xlfn.POISSON.DIST(A69,$B$13,TRUE)))</f>
        <v/>
      </c>
      <c r="E69" s="11">
        <f>E68-D69</f>
        <v/>
      </c>
    </row>
    <row r="70">
      <c r="A70" s="10" t="n">
        <v>37</v>
      </c>
      <c r="B70" s="11">
        <f>_xlfn.POISSON.DIST(A70,$B$13,FALSE)</f>
        <v/>
      </c>
      <c r="C70" s="11">
        <f>_xlfn.POISSON.DIST(A70,$B$13,TRUE)</f>
        <v/>
      </c>
      <c r="D70" s="11">
        <f>($B$13*(1-IF(A70&lt;1,0,_xlfn.POISSON.DIST(A70-1,$B$13,TRUE)))-A70*(1-_xlfn.POISSON.DIST(A70,$B$13,TRUE)))</f>
        <v/>
      </c>
      <c r="E70" s="11">
        <f>E69-D70</f>
        <v/>
      </c>
    </row>
    <row r="71">
      <c r="A71" s="10" t="n">
        <v>38</v>
      </c>
      <c r="B71" s="11">
        <f>_xlfn.POISSON.DIST(A71,$B$13,FALSE)</f>
        <v/>
      </c>
      <c r="C71" s="11">
        <f>_xlfn.POISSON.DIST(A71,$B$13,TRUE)</f>
        <v/>
      </c>
      <c r="D71" s="11">
        <f>($B$13*(1-IF(A71&lt;1,0,_xlfn.POISSON.DIST(A71-1,$B$13,TRUE)))-A71*(1-_xlfn.POISSON.DIST(A71,$B$13,TRUE)))</f>
        <v/>
      </c>
      <c r="E71" s="11">
        <f>E70-D71</f>
        <v/>
      </c>
    </row>
    <row r="72">
      <c r="A72" s="10" t="n">
        <v>39</v>
      </c>
      <c r="B72" s="11">
        <f>_xlfn.POISSON.DIST(A72,$B$13,FALSE)</f>
        <v/>
      </c>
      <c r="C72" s="11">
        <f>_xlfn.POISSON.DIST(A72,$B$13,TRUE)</f>
        <v/>
      </c>
      <c r="D72" s="11">
        <f>($B$13*(1-IF(A72&lt;1,0,_xlfn.POISSON.DIST(A72-1,$B$13,TRUE)))-A72*(1-_xlfn.POISSON.DIST(A72,$B$13,TRUE)))</f>
        <v/>
      </c>
      <c r="E72" s="11">
        <f>E71-D72</f>
        <v/>
      </c>
    </row>
    <row r="73">
      <c r="A73" s="10" t="n">
        <v>40</v>
      </c>
      <c r="B73" s="11">
        <f>_xlfn.POISSON.DIST(A73,$B$13,FALSE)</f>
        <v/>
      </c>
      <c r="C73" s="11">
        <f>_xlfn.POISSON.DIST(A73,$B$13,TRUE)</f>
        <v/>
      </c>
      <c r="D73" s="11">
        <f>($B$13*(1-IF(A73&lt;1,0,_xlfn.POISSON.DIST(A73-1,$B$13,TRUE)))-A73*(1-_xlfn.POISSON.DIST(A73,$B$13,TRUE)))</f>
        <v/>
      </c>
      <c r="E73" s="11">
        <f>E72-D73</f>
        <v/>
      </c>
    </row>
    <row r="74">
      <c r="A74" s="10" t="n">
        <v>41</v>
      </c>
      <c r="B74" s="11">
        <f>_xlfn.POISSON.DIST(A74,$B$13,FALSE)</f>
        <v/>
      </c>
      <c r="C74" s="11">
        <f>_xlfn.POISSON.DIST(A74,$B$13,TRUE)</f>
        <v/>
      </c>
      <c r="D74" s="11">
        <f>($B$13*(1-IF(A74&lt;1,0,_xlfn.POISSON.DIST(A74-1,$B$13,TRUE)))-A74*(1-_xlfn.POISSON.DIST(A74,$B$13,TRUE)))</f>
        <v/>
      </c>
      <c r="E74" s="11">
        <f>E73-D74</f>
        <v/>
      </c>
    </row>
    <row r="75">
      <c r="A75" s="10" t="n">
        <v>42</v>
      </c>
      <c r="B75" s="11">
        <f>_xlfn.POISSON.DIST(A75,$B$13,FALSE)</f>
        <v/>
      </c>
      <c r="C75" s="11">
        <f>_xlfn.POISSON.DIST(A75,$B$13,TRUE)</f>
        <v/>
      </c>
      <c r="D75" s="11">
        <f>($B$13*(1-IF(A75&lt;1,0,_xlfn.POISSON.DIST(A75-1,$B$13,TRUE)))-A75*(1-_xlfn.POISSON.DIST(A75,$B$13,TRUE)))</f>
        <v/>
      </c>
      <c r="E75" s="11">
        <f>E74-D75</f>
        <v/>
      </c>
    </row>
    <row r="76">
      <c r="A76" s="10" t="n">
        <v>43</v>
      </c>
      <c r="B76" s="11">
        <f>_xlfn.POISSON.DIST(A76,$B$13,FALSE)</f>
        <v/>
      </c>
      <c r="C76" s="11">
        <f>_xlfn.POISSON.DIST(A76,$B$13,TRUE)</f>
        <v/>
      </c>
      <c r="D76" s="11">
        <f>($B$13*(1-IF(A76&lt;1,0,_xlfn.POISSON.DIST(A76-1,$B$13,TRUE)))-A76*(1-_xlfn.POISSON.DIST(A76,$B$13,TRUE)))</f>
        <v/>
      </c>
      <c r="E76" s="11">
        <f>E75-D76</f>
        <v/>
      </c>
    </row>
    <row r="77">
      <c r="A77" s="10" t="n">
        <v>44</v>
      </c>
      <c r="B77" s="11">
        <f>_xlfn.POISSON.DIST(A77,$B$13,FALSE)</f>
        <v/>
      </c>
      <c r="C77" s="11">
        <f>_xlfn.POISSON.DIST(A77,$B$13,TRUE)</f>
        <v/>
      </c>
      <c r="D77" s="11">
        <f>($B$13*(1-IF(A77&lt;1,0,_xlfn.POISSON.DIST(A77-1,$B$13,TRUE)))-A77*(1-_xlfn.POISSON.DIST(A77,$B$13,TRUE)))</f>
        <v/>
      </c>
      <c r="E77" s="11">
        <f>E76-D77</f>
        <v/>
      </c>
    </row>
    <row r="78">
      <c r="A78" s="10" t="n">
        <v>45</v>
      </c>
      <c r="B78" s="11">
        <f>_xlfn.POISSON.DIST(A78,$B$13,FALSE)</f>
        <v/>
      </c>
      <c r="C78" s="11">
        <f>_xlfn.POISSON.DIST(A78,$B$13,TRUE)</f>
        <v/>
      </c>
      <c r="D78" s="11">
        <f>($B$13*(1-IF(A78&lt;1,0,_xlfn.POISSON.DIST(A78-1,$B$13,TRUE)))-A78*(1-_xlfn.POISSON.DIST(A78,$B$13,TRUE)))</f>
        <v/>
      </c>
      <c r="E78" s="11">
        <f>E77-D78</f>
        <v/>
      </c>
    </row>
    <row r="79">
      <c r="A79" s="10" t="n">
        <v>46</v>
      </c>
      <c r="B79" s="11">
        <f>_xlfn.POISSON.DIST(A79,$B$13,FALSE)</f>
        <v/>
      </c>
      <c r="C79" s="11">
        <f>_xlfn.POISSON.DIST(A79,$B$13,TRUE)</f>
        <v/>
      </c>
      <c r="D79" s="11">
        <f>($B$13*(1-IF(A79&lt;1,0,_xlfn.POISSON.DIST(A79-1,$B$13,TRUE)))-A79*(1-_xlfn.POISSON.DIST(A79,$B$13,TRUE)))</f>
        <v/>
      </c>
      <c r="E79" s="11">
        <f>E78-D79</f>
        <v/>
      </c>
    </row>
    <row r="80">
      <c r="A80" s="10" t="n">
        <v>47</v>
      </c>
      <c r="B80" s="11">
        <f>_xlfn.POISSON.DIST(A80,$B$13,FALSE)</f>
        <v/>
      </c>
      <c r="C80" s="11">
        <f>_xlfn.POISSON.DIST(A80,$B$13,TRUE)</f>
        <v/>
      </c>
      <c r="D80" s="11">
        <f>($B$13*(1-IF(A80&lt;1,0,_xlfn.POISSON.DIST(A80-1,$B$13,TRUE)))-A80*(1-_xlfn.POISSON.DIST(A80,$B$13,TRUE)))</f>
        <v/>
      </c>
      <c r="E80" s="11">
        <f>E79-D80</f>
        <v/>
      </c>
    </row>
    <row r="81">
      <c r="A81" s="10" t="n">
        <v>48</v>
      </c>
      <c r="B81" s="11">
        <f>_xlfn.POISSON.DIST(A81,$B$13,FALSE)</f>
        <v/>
      </c>
      <c r="C81" s="11">
        <f>_xlfn.POISSON.DIST(A81,$B$13,TRUE)</f>
        <v/>
      </c>
      <c r="D81" s="11">
        <f>($B$13*(1-IF(A81&lt;1,0,_xlfn.POISSON.DIST(A81-1,$B$13,TRUE)))-A81*(1-_xlfn.POISSON.DIST(A81,$B$13,TRUE)))</f>
        <v/>
      </c>
      <c r="E81" s="11">
        <f>E80-D81</f>
        <v/>
      </c>
    </row>
    <row r="82">
      <c r="A82" s="10" t="n">
        <v>49</v>
      </c>
      <c r="B82" s="11">
        <f>_xlfn.POISSON.DIST(A82,$B$13,FALSE)</f>
        <v/>
      </c>
      <c r="C82" s="11">
        <f>_xlfn.POISSON.DIST(A82,$B$13,TRUE)</f>
        <v/>
      </c>
      <c r="D82" s="11">
        <f>($B$13*(1-IF(A82&lt;1,0,_xlfn.POISSON.DIST(A82-1,$B$13,TRUE)))-A82*(1-_xlfn.POISSON.DIST(A82,$B$13,TRUE)))</f>
        <v/>
      </c>
      <c r="E82" s="11">
        <f>E81-D82</f>
        <v/>
      </c>
    </row>
    <row r="83">
      <c r="A83" s="10" t="n">
        <v>50</v>
      </c>
      <c r="B83" s="11">
        <f>_xlfn.POISSON.DIST(A83,$B$13,FALSE)</f>
        <v/>
      </c>
      <c r="C83" s="11">
        <f>_xlfn.POISSON.DIST(A83,$B$13,TRUE)</f>
        <v/>
      </c>
      <c r="D83" s="11">
        <f>($B$13*(1-IF(A83&lt;1,0,_xlfn.POISSON.DIST(A83-1,$B$13,TRUE)))-A83*(1-_xlfn.POISSON.DIST(A83,$B$13,TRUE)))</f>
        <v/>
      </c>
      <c r="E83" s="11">
        <f>E82-D83</f>
        <v/>
      </c>
    </row>
    <row r="84">
      <c r="A84" s="10" t="n">
        <v>51</v>
      </c>
      <c r="B84" s="11">
        <f>_xlfn.POISSON.DIST(A84,$B$13,FALSE)</f>
        <v/>
      </c>
      <c r="C84" s="11">
        <f>_xlfn.POISSON.DIST(A84,$B$13,TRUE)</f>
        <v/>
      </c>
      <c r="D84" s="11">
        <f>($B$13*(1-IF(A84&lt;1,0,_xlfn.POISSON.DIST(A84-1,$B$13,TRUE)))-A84*(1-_xlfn.POISSON.DIST(A84,$B$13,TRUE)))</f>
        <v/>
      </c>
      <c r="E84" s="11">
        <f>E83-D84</f>
        <v/>
      </c>
    </row>
    <row r="85">
      <c r="A85" s="10" t="n">
        <v>52</v>
      </c>
      <c r="B85" s="11">
        <f>_xlfn.POISSON.DIST(A85,$B$13,FALSE)</f>
        <v/>
      </c>
      <c r="C85" s="11">
        <f>_xlfn.POISSON.DIST(A85,$B$13,TRUE)</f>
        <v/>
      </c>
      <c r="D85" s="11">
        <f>($B$13*(1-IF(A85&lt;1,0,_xlfn.POISSON.DIST(A85-1,$B$13,TRUE)))-A85*(1-_xlfn.POISSON.DIST(A85,$B$13,TRUE)))</f>
        <v/>
      </c>
      <c r="E85" s="11">
        <f>E84-D85</f>
        <v/>
      </c>
    </row>
    <row r="86">
      <c r="A86" s="10" t="n">
        <v>53</v>
      </c>
      <c r="B86" s="11">
        <f>_xlfn.POISSON.DIST(A86,$B$13,FALSE)</f>
        <v/>
      </c>
      <c r="C86" s="11">
        <f>_xlfn.POISSON.DIST(A86,$B$13,TRUE)</f>
        <v/>
      </c>
      <c r="D86" s="11">
        <f>($B$13*(1-IF(A86&lt;1,0,_xlfn.POISSON.DIST(A86-1,$B$13,TRUE)))-A86*(1-_xlfn.POISSON.DIST(A86,$B$13,TRUE)))</f>
        <v/>
      </c>
      <c r="E86" s="11">
        <f>E85-D86</f>
        <v/>
      </c>
    </row>
    <row r="87">
      <c r="A87" s="10" t="n">
        <v>54</v>
      </c>
      <c r="B87" s="11">
        <f>_xlfn.POISSON.DIST(A87,$B$13,FALSE)</f>
        <v/>
      </c>
      <c r="C87" s="11">
        <f>_xlfn.POISSON.DIST(A87,$B$13,TRUE)</f>
        <v/>
      </c>
      <c r="D87" s="11">
        <f>($B$13*(1-IF(A87&lt;1,0,_xlfn.POISSON.DIST(A87-1,$B$13,TRUE)))-A87*(1-_xlfn.POISSON.DIST(A87,$B$13,TRUE)))</f>
        <v/>
      </c>
      <c r="E87" s="11">
        <f>E86-D87</f>
        <v/>
      </c>
    </row>
    <row r="88">
      <c r="A88" s="10" t="n">
        <v>55</v>
      </c>
      <c r="B88" s="11">
        <f>_xlfn.POISSON.DIST(A88,$B$13,FALSE)</f>
        <v/>
      </c>
      <c r="C88" s="11">
        <f>_xlfn.POISSON.DIST(A88,$B$13,TRUE)</f>
        <v/>
      </c>
      <c r="D88" s="11">
        <f>($B$13*(1-IF(A88&lt;1,0,_xlfn.POISSON.DIST(A88-1,$B$13,TRUE)))-A88*(1-_xlfn.POISSON.DIST(A88,$B$13,TRUE)))</f>
        <v/>
      </c>
      <c r="E88" s="11">
        <f>E87-D88</f>
        <v/>
      </c>
    </row>
    <row r="89">
      <c r="A89" s="10" t="n">
        <v>56</v>
      </c>
      <c r="B89" s="11">
        <f>_xlfn.POISSON.DIST(A89,$B$13,FALSE)</f>
        <v/>
      </c>
      <c r="C89" s="11">
        <f>_xlfn.POISSON.DIST(A89,$B$13,TRUE)</f>
        <v/>
      </c>
      <c r="D89" s="11">
        <f>($B$13*(1-IF(A89&lt;1,0,_xlfn.POISSON.DIST(A89-1,$B$13,TRUE)))-A89*(1-_xlfn.POISSON.DIST(A89,$B$13,TRUE)))</f>
        <v/>
      </c>
      <c r="E89" s="11">
        <f>E88-D89</f>
        <v/>
      </c>
    </row>
    <row r="90">
      <c r="A90" s="10" t="n">
        <v>57</v>
      </c>
      <c r="B90" s="11">
        <f>_xlfn.POISSON.DIST(A90,$B$13,FALSE)</f>
        <v/>
      </c>
      <c r="C90" s="11">
        <f>_xlfn.POISSON.DIST(A90,$B$13,TRUE)</f>
        <v/>
      </c>
      <c r="D90" s="11">
        <f>($B$13*(1-IF(A90&lt;1,0,_xlfn.POISSON.DIST(A90-1,$B$13,TRUE)))-A90*(1-_xlfn.POISSON.DIST(A90,$B$13,TRUE)))</f>
        <v/>
      </c>
      <c r="E90" s="11">
        <f>E89-D90</f>
        <v/>
      </c>
    </row>
    <row r="91">
      <c r="A91" s="10" t="n">
        <v>58</v>
      </c>
      <c r="B91" s="11">
        <f>_xlfn.POISSON.DIST(A91,$B$13,FALSE)</f>
        <v/>
      </c>
      <c r="C91" s="11">
        <f>_xlfn.POISSON.DIST(A91,$B$13,TRUE)</f>
        <v/>
      </c>
      <c r="D91" s="11">
        <f>($B$13*(1-IF(A91&lt;1,0,_xlfn.POISSON.DIST(A91-1,$B$13,TRUE)))-A91*(1-_xlfn.POISSON.DIST(A91,$B$13,TRUE)))</f>
        <v/>
      </c>
      <c r="E91" s="11">
        <f>E90-D91</f>
        <v/>
      </c>
    </row>
    <row r="92">
      <c r="A92" s="10" t="n">
        <v>59</v>
      </c>
      <c r="B92" s="11">
        <f>_xlfn.POISSON.DIST(A92,$B$13,FALSE)</f>
        <v/>
      </c>
      <c r="C92" s="11">
        <f>_xlfn.POISSON.DIST(A92,$B$13,TRUE)</f>
        <v/>
      </c>
      <c r="D92" s="11">
        <f>($B$13*(1-IF(A92&lt;1,0,_xlfn.POISSON.DIST(A92-1,$B$13,TRUE)))-A92*(1-_xlfn.POISSON.DIST(A92,$B$13,TRUE)))</f>
        <v/>
      </c>
      <c r="E92" s="11">
        <f>E91-D92</f>
        <v/>
      </c>
    </row>
    <row r="93">
      <c r="A93" s="10" t="n">
        <v>60</v>
      </c>
      <c r="B93" s="11">
        <f>_xlfn.POISSON.DIST(A93,$B$13,FALSE)</f>
        <v/>
      </c>
      <c r="C93" s="11">
        <f>_xlfn.POISSON.DIST(A93,$B$13,TRUE)</f>
        <v/>
      </c>
      <c r="D93" s="11">
        <f>($B$13*(1-IF(A93&lt;1,0,_xlfn.POISSON.DIST(A93-1,$B$13,TRUE)))-A93*(1-_xlfn.POISSON.DIST(A93,$B$13,TRUE)))</f>
        <v/>
      </c>
      <c r="E93" s="11">
        <f>E92-D93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1" customWidth="1" min="4" max="4"/>
    <col width="13" customWidth="1" min="5" max="5"/>
    <col width="11" customWidth="1" min="6" max="6"/>
    <col width="17" customWidth="1" min="7" max="7"/>
    <col width="10" customWidth="1" min="8" max="8"/>
    <col width="10" customWidth="1" min="9" max="9"/>
  </cols>
  <sheetData>
    <row r="1">
      <c r="A1" s="1" t="inlineStr">
        <is>
          <t>The wait a request suffers at the hub</t>
        </is>
      </c>
    </row>
    <row r="2">
      <c r="A2" s="2" t="inlineStr">
        <is>
          <t>@sec-batchedmultiechelon. Waiting at most w is having stock at once with a lead time w shorter.</t>
        </is>
      </c>
    </row>
    <row r="4">
      <c r="A4" s="3" t="inlineStr">
        <is>
          <t>Read from the Hub sheet</t>
        </is>
      </c>
    </row>
    <row r="5">
      <c r="A5" t="inlineStr">
        <is>
          <t>lambda_0</t>
        </is>
      </c>
      <c r="B5" s="7">
        <f>Hub!B12</f>
        <v/>
      </c>
    </row>
    <row r="6">
      <c r="A6" t="inlineStr">
        <is>
          <t>L_0</t>
        </is>
      </c>
      <c r="B6" s="7">
        <f>Hub!B7</f>
        <v/>
      </c>
    </row>
    <row r="7">
      <c r="A7" t="inlineStr">
        <is>
          <t>r_0</t>
        </is>
      </c>
      <c r="B7" s="12">
        <f>Hub!B18</f>
        <v/>
      </c>
    </row>
    <row r="8">
      <c r="A8" t="inlineStr">
        <is>
          <t>Q_0</t>
        </is>
      </c>
      <c r="B8" s="12">
        <f>Hub!B19</f>
        <v/>
      </c>
    </row>
    <row r="10">
      <c r="A10" s="3" t="inlineStr">
        <is>
          <t>What the grid gives</t>
        </is>
      </c>
    </row>
    <row r="11">
      <c r="A11" t="inlineStr">
        <is>
          <t>P(W = 0), the ready rate</t>
        </is>
      </c>
      <c r="B11" s="7">
        <f>F14</f>
        <v/>
      </c>
    </row>
    <row r="12">
      <c r="A12" t="inlineStr">
        <is>
          <t>mean wait, the grid</t>
        </is>
      </c>
      <c r="B12" s="7">
        <f>SUMPRODUCT(G14:G35,H14:H35)</f>
        <v/>
      </c>
    </row>
    <row r="13">
      <c r="A13" s="9" t="inlineStr">
        <is>
          <t>day k</t>
        </is>
      </c>
      <c r="B13" s="9" t="inlineStr">
        <is>
          <t>w, weeks</t>
        </is>
      </c>
      <c r="C13" s="9" t="inlineStr">
        <is>
          <t>mean over L_0 - w</t>
        </is>
      </c>
      <c r="D13" s="9" t="inlineStr">
        <is>
          <t>G1(r_0)</t>
        </is>
      </c>
      <c r="E13" s="9" t="inlineStr">
        <is>
          <t>G1(r_0+Q_0)</t>
        </is>
      </c>
      <c r="F13" s="9" t="inlineStr">
        <is>
          <t>P(W &lt;= w)</t>
        </is>
      </c>
      <c r="G13" s="9" t="inlineStr">
        <is>
          <t>P(k-1 &lt; W &lt;= k)</t>
        </is>
      </c>
      <c r="H13" s="9" t="inlineStr">
        <is>
          <t>midpoint</t>
        </is>
      </c>
      <c r="I13" s="9" t="inlineStr">
        <is>
          <t>P(W &gt; w)</t>
        </is>
      </c>
    </row>
    <row r="14">
      <c r="A14" s="10" t="n">
        <v>0</v>
      </c>
      <c r="B14" s="7">
        <f>A14/7</f>
        <v/>
      </c>
      <c r="C14" s="7">
        <f>IF(B14&lt;$B$6,$B$5*($B$6-B14),0)</f>
        <v/>
      </c>
      <c r="D14" s="11">
        <f>IF(C14&gt;0,(C14*(1-IF($B$7&lt;1,0,_xlfn.POISSON.DIST($B$7-1,C14,TRUE)))-$B$7*(1-_xlfn.POISSON.DIST($B$7,C14,TRUE))),0)</f>
        <v/>
      </c>
      <c r="E14" s="11">
        <f>IF(C14&gt;0,(C14*(1-IF(($B$7+$B$8)&lt;1,0,_xlfn.POISSON.DIST(($B$7+$B$8)-1,C14,TRUE)))-($B$7+$B$8)*(1-_xlfn.POISSON.DIST(($B$7+$B$8),C14,TRUE))),0)</f>
        <v/>
      </c>
      <c r="F14" s="11">
        <f>IF(B14&gt;=$B$6,1,1-(D14-E14)/$B$8)</f>
        <v/>
      </c>
      <c r="G14" s="13">
        <f>F14</f>
        <v/>
      </c>
      <c r="H14" s="7" t="n">
        <v>0</v>
      </c>
      <c r="I14" s="11">
        <f>1-F14</f>
        <v/>
      </c>
    </row>
    <row r="15">
      <c r="A15" s="10" t="n">
        <v>1</v>
      </c>
      <c r="B15" s="7">
        <f>A15/7</f>
        <v/>
      </c>
      <c r="C15" s="7">
        <f>IF(B15&lt;$B$6,$B$5*($B$6-B15),0)</f>
        <v/>
      </c>
      <c r="D15" s="11">
        <f>IF(C15&gt;0,(C15*(1-IF($B$7&lt;1,0,_xlfn.POISSON.DIST($B$7-1,C15,TRUE)))-$B$7*(1-_xlfn.POISSON.DIST($B$7,C15,TRUE))),0)</f>
        <v/>
      </c>
      <c r="E15" s="11">
        <f>IF(C15&gt;0,(C15*(1-IF(($B$7+$B$8)&lt;1,0,_xlfn.POISSON.DIST(($B$7+$B$8)-1,C15,TRUE)))-($B$7+$B$8)*(1-_xlfn.POISSON.DIST(($B$7+$B$8),C15,TRUE))),0)</f>
        <v/>
      </c>
      <c r="F15" s="11">
        <f>IF(B15&gt;=$B$6,1,1-(D15-E15)/$B$8)</f>
        <v/>
      </c>
      <c r="G15" s="13">
        <f>F15-F14</f>
        <v/>
      </c>
      <c r="H15" s="7">
        <f>(B14+B15)/2</f>
        <v/>
      </c>
      <c r="I15" s="11">
        <f>1-F15</f>
        <v/>
      </c>
    </row>
    <row r="16">
      <c r="A16" s="10" t="n">
        <v>2</v>
      </c>
      <c r="B16" s="7">
        <f>A16/7</f>
        <v/>
      </c>
      <c r="C16" s="7">
        <f>IF(B16&lt;$B$6,$B$5*($B$6-B16),0)</f>
        <v/>
      </c>
      <c r="D16" s="11">
        <f>IF(C16&gt;0,(C16*(1-IF($B$7&lt;1,0,_xlfn.POISSON.DIST($B$7-1,C16,TRUE)))-$B$7*(1-_xlfn.POISSON.DIST($B$7,C16,TRUE))),0)</f>
        <v/>
      </c>
      <c r="E16" s="11">
        <f>IF(C16&gt;0,(C16*(1-IF(($B$7+$B$8)&lt;1,0,_xlfn.POISSON.DIST(($B$7+$B$8)-1,C16,TRUE)))-($B$7+$B$8)*(1-_xlfn.POISSON.DIST(($B$7+$B$8),C16,TRUE))),0)</f>
        <v/>
      </c>
      <c r="F16" s="11">
        <f>IF(B16&gt;=$B$6,1,1-(D16-E16)/$B$8)</f>
        <v/>
      </c>
      <c r="G16" s="13">
        <f>F16-F15</f>
        <v/>
      </c>
      <c r="H16" s="7">
        <f>(B15+B16)/2</f>
        <v/>
      </c>
      <c r="I16" s="11">
        <f>1-F16</f>
        <v/>
      </c>
    </row>
    <row r="17">
      <c r="A17" s="10" t="n">
        <v>3</v>
      </c>
      <c r="B17" s="7">
        <f>A17/7</f>
        <v/>
      </c>
      <c r="C17" s="7">
        <f>IF(B17&lt;$B$6,$B$5*($B$6-B17),0)</f>
        <v/>
      </c>
      <c r="D17" s="11">
        <f>IF(C17&gt;0,(C17*(1-IF($B$7&lt;1,0,_xlfn.POISSON.DIST($B$7-1,C17,TRUE)))-$B$7*(1-_xlfn.POISSON.DIST($B$7,C17,TRUE))),0)</f>
        <v/>
      </c>
      <c r="E17" s="11">
        <f>IF(C17&gt;0,(C17*(1-IF(($B$7+$B$8)&lt;1,0,_xlfn.POISSON.DIST(($B$7+$B$8)-1,C17,TRUE)))-($B$7+$B$8)*(1-_xlfn.POISSON.DIST(($B$7+$B$8),C17,TRUE))),0)</f>
        <v/>
      </c>
      <c r="F17" s="11">
        <f>IF(B17&gt;=$B$6,1,1-(D17-E17)/$B$8)</f>
        <v/>
      </c>
      <c r="G17" s="13">
        <f>F17-F16</f>
        <v/>
      </c>
      <c r="H17" s="7">
        <f>(B16+B17)/2</f>
        <v/>
      </c>
      <c r="I17" s="11">
        <f>1-F17</f>
        <v/>
      </c>
    </row>
    <row r="18">
      <c r="A18" s="10" t="n">
        <v>4</v>
      </c>
      <c r="B18" s="7">
        <f>A18/7</f>
        <v/>
      </c>
      <c r="C18" s="7">
        <f>IF(B18&lt;$B$6,$B$5*($B$6-B18),0)</f>
        <v/>
      </c>
      <c r="D18" s="11">
        <f>IF(C18&gt;0,(C18*(1-IF($B$7&lt;1,0,_xlfn.POISSON.DIST($B$7-1,C18,TRUE)))-$B$7*(1-_xlfn.POISSON.DIST($B$7,C18,TRUE))),0)</f>
        <v/>
      </c>
      <c r="E18" s="11">
        <f>IF(C18&gt;0,(C18*(1-IF(($B$7+$B$8)&lt;1,0,_xlfn.POISSON.DIST(($B$7+$B$8)-1,C18,TRUE)))-($B$7+$B$8)*(1-_xlfn.POISSON.DIST(($B$7+$B$8),C18,TRUE))),0)</f>
        <v/>
      </c>
      <c r="F18" s="11">
        <f>IF(B18&gt;=$B$6,1,1-(D18-E18)/$B$8)</f>
        <v/>
      </c>
      <c r="G18" s="13">
        <f>F18-F17</f>
        <v/>
      </c>
      <c r="H18" s="7">
        <f>(B17+B18)/2</f>
        <v/>
      </c>
      <c r="I18" s="11">
        <f>1-F18</f>
        <v/>
      </c>
    </row>
    <row r="19">
      <c r="A19" s="10" t="n">
        <v>5</v>
      </c>
      <c r="B19" s="7">
        <f>A19/7</f>
        <v/>
      </c>
      <c r="C19" s="7">
        <f>IF(B19&lt;$B$6,$B$5*($B$6-B19),0)</f>
        <v/>
      </c>
      <c r="D19" s="11">
        <f>IF(C19&gt;0,(C19*(1-IF($B$7&lt;1,0,_xlfn.POISSON.DIST($B$7-1,C19,TRUE)))-$B$7*(1-_xlfn.POISSON.DIST($B$7,C19,TRUE))),0)</f>
        <v/>
      </c>
      <c r="E19" s="11">
        <f>IF(C19&gt;0,(C19*(1-IF(($B$7+$B$8)&lt;1,0,_xlfn.POISSON.DIST(($B$7+$B$8)-1,C19,TRUE)))-($B$7+$B$8)*(1-_xlfn.POISSON.DIST(($B$7+$B$8),C19,TRUE))),0)</f>
        <v/>
      </c>
      <c r="F19" s="11">
        <f>IF(B19&gt;=$B$6,1,1-(D19-E19)/$B$8)</f>
        <v/>
      </c>
      <c r="G19" s="13">
        <f>F19-F18</f>
        <v/>
      </c>
      <c r="H19" s="7">
        <f>(B18+B19)/2</f>
        <v/>
      </c>
      <c r="I19" s="11">
        <f>1-F19</f>
        <v/>
      </c>
    </row>
    <row r="20">
      <c r="A20" s="10" t="n">
        <v>6</v>
      </c>
      <c r="B20" s="7">
        <f>A20/7</f>
        <v/>
      </c>
      <c r="C20" s="7">
        <f>IF(B20&lt;$B$6,$B$5*($B$6-B20),0)</f>
        <v/>
      </c>
      <c r="D20" s="11">
        <f>IF(C20&gt;0,(C20*(1-IF($B$7&lt;1,0,_xlfn.POISSON.DIST($B$7-1,C20,TRUE)))-$B$7*(1-_xlfn.POISSON.DIST($B$7,C20,TRUE))),0)</f>
        <v/>
      </c>
      <c r="E20" s="11">
        <f>IF(C20&gt;0,(C20*(1-IF(($B$7+$B$8)&lt;1,0,_xlfn.POISSON.DIST(($B$7+$B$8)-1,C20,TRUE)))-($B$7+$B$8)*(1-_xlfn.POISSON.DIST(($B$7+$B$8),C20,TRUE))),0)</f>
        <v/>
      </c>
      <c r="F20" s="11">
        <f>IF(B20&gt;=$B$6,1,1-(D20-E20)/$B$8)</f>
        <v/>
      </c>
      <c r="G20" s="13">
        <f>F20-F19</f>
        <v/>
      </c>
      <c r="H20" s="7">
        <f>(B19+B20)/2</f>
        <v/>
      </c>
      <c r="I20" s="11">
        <f>1-F20</f>
        <v/>
      </c>
    </row>
    <row r="21">
      <c r="A21" s="10" t="n">
        <v>7</v>
      </c>
      <c r="B21" s="7">
        <f>A21/7</f>
        <v/>
      </c>
      <c r="C21" s="7">
        <f>IF(B21&lt;$B$6,$B$5*($B$6-B21),0)</f>
        <v/>
      </c>
      <c r="D21" s="11">
        <f>IF(C21&gt;0,(C21*(1-IF($B$7&lt;1,0,_xlfn.POISSON.DIST($B$7-1,C21,TRUE)))-$B$7*(1-_xlfn.POISSON.DIST($B$7,C21,TRUE))),0)</f>
        <v/>
      </c>
      <c r="E21" s="11">
        <f>IF(C21&gt;0,(C21*(1-IF(($B$7+$B$8)&lt;1,0,_xlfn.POISSON.DIST(($B$7+$B$8)-1,C21,TRUE)))-($B$7+$B$8)*(1-_xlfn.POISSON.DIST(($B$7+$B$8),C21,TRUE))),0)</f>
        <v/>
      </c>
      <c r="F21" s="11">
        <f>IF(B21&gt;=$B$6,1,1-(D21-E21)/$B$8)</f>
        <v/>
      </c>
      <c r="G21" s="13">
        <f>F21-F20</f>
        <v/>
      </c>
      <c r="H21" s="7">
        <f>(B20+B21)/2</f>
        <v/>
      </c>
      <c r="I21" s="11">
        <f>1-F21</f>
        <v/>
      </c>
    </row>
    <row r="22">
      <c r="A22" s="10" t="n">
        <v>8</v>
      </c>
      <c r="B22" s="7">
        <f>A22/7</f>
        <v/>
      </c>
      <c r="C22" s="7">
        <f>IF(B22&lt;$B$6,$B$5*($B$6-B22),0)</f>
        <v/>
      </c>
      <c r="D22" s="11">
        <f>IF(C22&gt;0,(C22*(1-IF($B$7&lt;1,0,_xlfn.POISSON.DIST($B$7-1,C22,TRUE)))-$B$7*(1-_xlfn.POISSON.DIST($B$7,C22,TRUE))),0)</f>
        <v/>
      </c>
      <c r="E22" s="11">
        <f>IF(C22&gt;0,(C22*(1-IF(($B$7+$B$8)&lt;1,0,_xlfn.POISSON.DIST(($B$7+$B$8)-1,C22,TRUE)))-($B$7+$B$8)*(1-_xlfn.POISSON.DIST(($B$7+$B$8),C22,TRUE))),0)</f>
        <v/>
      </c>
      <c r="F22" s="11">
        <f>IF(B22&gt;=$B$6,1,1-(D22-E22)/$B$8)</f>
        <v/>
      </c>
      <c r="G22" s="13">
        <f>F22-F21</f>
        <v/>
      </c>
      <c r="H22" s="7">
        <f>(B21+B22)/2</f>
        <v/>
      </c>
      <c r="I22" s="11">
        <f>1-F22</f>
        <v/>
      </c>
    </row>
    <row r="23">
      <c r="A23" s="10" t="n">
        <v>9</v>
      </c>
      <c r="B23" s="7">
        <f>A23/7</f>
        <v/>
      </c>
      <c r="C23" s="7">
        <f>IF(B23&lt;$B$6,$B$5*($B$6-B23),0)</f>
        <v/>
      </c>
      <c r="D23" s="11">
        <f>IF(C23&gt;0,(C23*(1-IF($B$7&lt;1,0,_xlfn.POISSON.DIST($B$7-1,C23,TRUE)))-$B$7*(1-_xlfn.POISSON.DIST($B$7,C23,TRUE))),0)</f>
        <v/>
      </c>
      <c r="E23" s="11">
        <f>IF(C23&gt;0,(C23*(1-IF(($B$7+$B$8)&lt;1,0,_xlfn.POISSON.DIST(($B$7+$B$8)-1,C23,TRUE)))-($B$7+$B$8)*(1-_xlfn.POISSON.DIST(($B$7+$B$8),C23,TRUE))),0)</f>
        <v/>
      </c>
      <c r="F23" s="11">
        <f>IF(B23&gt;=$B$6,1,1-(D23-E23)/$B$8)</f>
        <v/>
      </c>
      <c r="G23" s="13">
        <f>F23-F22</f>
        <v/>
      </c>
      <c r="H23" s="7">
        <f>(B22+B23)/2</f>
        <v/>
      </c>
      <c r="I23" s="11">
        <f>1-F23</f>
        <v/>
      </c>
    </row>
    <row r="24">
      <c r="A24" s="10" t="n">
        <v>10</v>
      </c>
      <c r="B24" s="7">
        <f>A24/7</f>
        <v/>
      </c>
      <c r="C24" s="7">
        <f>IF(B24&lt;$B$6,$B$5*($B$6-B24),0)</f>
        <v/>
      </c>
      <c r="D24" s="11">
        <f>IF(C24&gt;0,(C24*(1-IF($B$7&lt;1,0,_xlfn.POISSON.DIST($B$7-1,C24,TRUE)))-$B$7*(1-_xlfn.POISSON.DIST($B$7,C24,TRUE))),0)</f>
        <v/>
      </c>
      <c r="E24" s="11">
        <f>IF(C24&gt;0,(C24*(1-IF(($B$7+$B$8)&lt;1,0,_xlfn.POISSON.DIST(($B$7+$B$8)-1,C24,TRUE)))-($B$7+$B$8)*(1-_xlfn.POISSON.DIST(($B$7+$B$8),C24,TRUE))),0)</f>
        <v/>
      </c>
      <c r="F24" s="11">
        <f>IF(B24&gt;=$B$6,1,1-(D24-E24)/$B$8)</f>
        <v/>
      </c>
      <c r="G24" s="13">
        <f>F24-F23</f>
        <v/>
      </c>
      <c r="H24" s="7">
        <f>(B23+B24)/2</f>
        <v/>
      </c>
      <c r="I24" s="11">
        <f>1-F24</f>
        <v/>
      </c>
    </row>
    <row r="25">
      <c r="A25" s="10" t="n">
        <v>11</v>
      </c>
      <c r="B25" s="7">
        <f>A25/7</f>
        <v/>
      </c>
      <c r="C25" s="7">
        <f>IF(B25&lt;$B$6,$B$5*($B$6-B25),0)</f>
        <v/>
      </c>
      <c r="D25" s="11">
        <f>IF(C25&gt;0,(C25*(1-IF($B$7&lt;1,0,_xlfn.POISSON.DIST($B$7-1,C25,TRUE)))-$B$7*(1-_xlfn.POISSON.DIST($B$7,C25,TRUE))),0)</f>
        <v/>
      </c>
      <c r="E25" s="11">
        <f>IF(C25&gt;0,(C25*(1-IF(($B$7+$B$8)&lt;1,0,_xlfn.POISSON.DIST(($B$7+$B$8)-1,C25,TRUE)))-($B$7+$B$8)*(1-_xlfn.POISSON.DIST(($B$7+$B$8),C25,TRUE))),0)</f>
        <v/>
      </c>
      <c r="F25" s="11">
        <f>IF(B25&gt;=$B$6,1,1-(D25-E25)/$B$8)</f>
        <v/>
      </c>
      <c r="G25" s="13">
        <f>F25-F24</f>
        <v/>
      </c>
      <c r="H25" s="7">
        <f>(B24+B25)/2</f>
        <v/>
      </c>
      <c r="I25" s="11">
        <f>1-F25</f>
        <v/>
      </c>
    </row>
    <row r="26">
      <c r="A26" s="10" t="n">
        <v>12</v>
      </c>
      <c r="B26" s="7">
        <f>A26/7</f>
        <v/>
      </c>
      <c r="C26" s="7">
        <f>IF(B26&lt;$B$6,$B$5*($B$6-B26),0)</f>
        <v/>
      </c>
      <c r="D26" s="11">
        <f>IF(C26&gt;0,(C26*(1-IF($B$7&lt;1,0,_xlfn.POISSON.DIST($B$7-1,C26,TRUE)))-$B$7*(1-_xlfn.POISSON.DIST($B$7,C26,TRUE))),0)</f>
        <v/>
      </c>
      <c r="E26" s="11">
        <f>IF(C26&gt;0,(C26*(1-IF(($B$7+$B$8)&lt;1,0,_xlfn.POISSON.DIST(($B$7+$B$8)-1,C26,TRUE)))-($B$7+$B$8)*(1-_xlfn.POISSON.DIST(($B$7+$B$8),C26,TRUE))),0)</f>
        <v/>
      </c>
      <c r="F26" s="11">
        <f>IF(B26&gt;=$B$6,1,1-(D26-E26)/$B$8)</f>
        <v/>
      </c>
      <c r="G26" s="13">
        <f>F26-F25</f>
        <v/>
      </c>
      <c r="H26" s="7">
        <f>(B25+B26)/2</f>
        <v/>
      </c>
      <c r="I26" s="11">
        <f>1-F26</f>
        <v/>
      </c>
    </row>
    <row r="27">
      <c r="A27" s="10" t="n">
        <v>13</v>
      </c>
      <c r="B27" s="7">
        <f>A27/7</f>
        <v/>
      </c>
      <c r="C27" s="7">
        <f>IF(B27&lt;$B$6,$B$5*($B$6-B27),0)</f>
        <v/>
      </c>
      <c r="D27" s="11">
        <f>IF(C27&gt;0,(C27*(1-IF($B$7&lt;1,0,_xlfn.POISSON.DIST($B$7-1,C27,TRUE)))-$B$7*(1-_xlfn.POISSON.DIST($B$7,C27,TRUE))),0)</f>
        <v/>
      </c>
      <c r="E27" s="11">
        <f>IF(C27&gt;0,(C27*(1-IF(($B$7+$B$8)&lt;1,0,_xlfn.POISSON.DIST(($B$7+$B$8)-1,C27,TRUE)))-($B$7+$B$8)*(1-_xlfn.POISSON.DIST(($B$7+$B$8),C27,TRUE))),0)</f>
        <v/>
      </c>
      <c r="F27" s="11">
        <f>IF(B27&gt;=$B$6,1,1-(D27-E27)/$B$8)</f>
        <v/>
      </c>
      <c r="G27" s="13">
        <f>F27-F26</f>
        <v/>
      </c>
      <c r="H27" s="7">
        <f>(B26+B27)/2</f>
        <v/>
      </c>
      <c r="I27" s="11">
        <f>1-F27</f>
        <v/>
      </c>
    </row>
    <row r="28">
      <c r="A28" s="10" t="n">
        <v>14</v>
      </c>
      <c r="B28" s="7">
        <f>A28/7</f>
        <v/>
      </c>
      <c r="C28" s="7">
        <f>IF(B28&lt;$B$6,$B$5*($B$6-B28),0)</f>
        <v/>
      </c>
      <c r="D28" s="11">
        <f>IF(C28&gt;0,(C28*(1-IF($B$7&lt;1,0,_xlfn.POISSON.DIST($B$7-1,C28,TRUE)))-$B$7*(1-_xlfn.POISSON.DIST($B$7,C28,TRUE))),0)</f>
        <v/>
      </c>
      <c r="E28" s="11">
        <f>IF(C28&gt;0,(C28*(1-IF(($B$7+$B$8)&lt;1,0,_xlfn.POISSON.DIST(($B$7+$B$8)-1,C28,TRUE)))-($B$7+$B$8)*(1-_xlfn.POISSON.DIST(($B$7+$B$8),C28,TRUE))),0)</f>
        <v/>
      </c>
      <c r="F28" s="11">
        <f>IF(B28&gt;=$B$6,1,1-(D28-E28)/$B$8)</f>
        <v/>
      </c>
      <c r="G28" s="13">
        <f>F28-F27</f>
        <v/>
      </c>
      <c r="H28" s="7">
        <f>(B27+B28)/2</f>
        <v/>
      </c>
      <c r="I28" s="11">
        <f>1-F28</f>
        <v/>
      </c>
    </row>
    <row r="29">
      <c r="A29" s="10" t="n">
        <v>15</v>
      </c>
      <c r="B29" s="7">
        <f>A29/7</f>
        <v/>
      </c>
      <c r="C29" s="7">
        <f>IF(B29&lt;$B$6,$B$5*($B$6-B29),0)</f>
        <v/>
      </c>
      <c r="D29" s="11">
        <f>IF(C29&gt;0,(C29*(1-IF($B$7&lt;1,0,_xlfn.POISSON.DIST($B$7-1,C29,TRUE)))-$B$7*(1-_xlfn.POISSON.DIST($B$7,C29,TRUE))),0)</f>
        <v/>
      </c>
      <c r="E29" s="11">
        <f>IF(C29&gt;0,(C29*(1-IF(($B$7+$B$8)&lt;1,0,_xlfn.POISSON.DIST(($B$7+$B$8)-1,C29,TRUE)))-($B$7+$B$8)*(1-_xlfn.POISSON.DIST(($B$7+$B$8),C29,TRUE))),0)</f>
        <v/>
      </c>
      <c r="F29" s="11">
        <f>IF(B29&gt;=$B$6,1,1-(D29-E29)/$B$8)</f>
        <v/>
      </c>
      <c r="G29" s="13">
        <f>F29-F28</f>
        <v/>
      </c>
      <c r="H29" s="7">
        <f>(B28+B29)/2</f>
        <v/>
      </c>
      <c r="I29" s="11">
        <f>1-F29</f>
        <v/>
      </c>
    </row>
    <row r="30">
      <c r="A30" s="10" t="n">
        <v>16</v>
      </c>
      <c r="B30" s="7">
        <f>A30/7</f>
        <v/>
      </c>
      <c r="C30" s="7">
        <f>IF(B30&lt;$B$6,$B$5*($B$6-B30),0)</f>
        <v/>
      </c>
      <c r="D30" s="11">
        <f>IF(C30&gt;0,(C30*(1-IF($B$7&lt;1,0,_xlfn.POISSON.DIST($B$7-1,C30,TRUE)))-$B$7*(1-_xlfn.POISSON.DIST($B$7,C30,TRUE))),0)</f>
        <v/>
      </c>
      <c r="E30" s="11">
        <f>IF(C30&gt;0,(C30*(1-IF(($B$7+$B$8)&lt;1,0,_xlfn.POISSON.DIST(($B$7+$B$8)-1,C30,TRUE)))-($B$7+$B$8)*(1-_xlfn.POISSON.DIST(($B$7+$B$8),C30,TRUE))),0)</f>
        <v/>
      </c>
      <c r="F30" s="11">
        <f>IF(B30&gt;=$B$6,1,1-(D30-E30)/$B$8)</f>
        <v/>
      </c>
      <c r="G30" s="13">
        <f>F30-F29</f>
        <v/>
      </c>
      <c r="H30" s="7">
        <f>(B29+B30)/2</f>
        <v/>
      </c>
      <c r="I30" s="11">
        <f>1-F30</f>
        <v/>
      </c>
    </row>
    <row r="31">
      <c r="A31" s="10" t="n">
        <v>17</v>
      </c>
      <c r="B31" s="7">
        <f>A31/7</f>
        <v/>
      </c>
      <c r="C31" s="7">
        <f>IF(B31&lt;$B$6,$B$5*($B$6-B31),0)</f>
        <v/>
      </c>
      <c r="D31" s="11">
        <f>IF(C31&gt;0,(C31*(1-IF($B$7&lt;1,0,_xlfn.POISSON.DIST($B$7-1,C31,TRUE)))-$B$7*(1-_xlfn.POISSON.DIST($B$7,C31,TRUE))),0)</f>
        <v/>
      </c>
      <c r="E31" s="11">
        <f>IF(C31&gt;0,(C31*(1-IF(($B$7+$B$8)&lt;1,0,_xlfn.POISSON.DIST(($B$7+$B$8)-1,C31,TRUE)))-($B$7+$B$8)*(1-_xlfn.POISSON.DIST(($B$7+$B$8),C31,TRUE))),0)</f>
        <v/>
      </c>
      <c r="F31" s="11">
        <f>IF(B31&gt;=$B$6,1,1-(D31-E31)/$B$8)</f>
        <v/>
      </c>
      <c r="G31" s="13">
        <f>F31-F30</f>
        <v/>
      </c>
      <c r="H31" s="7">
        <f>(B30+B31)/2</f>
        <v/>
      </c>
      <c r="I31" s="11">
        <f>1-F31</f>
        <v/>
      </c>
    </row>
    <row r="32">
      <c r="A32" s="10" t="n">
        <v>18</v>
      </c>
      <c r="B32" s="7">
        <f>A32/7</f>
        <v/>
      </c>
      <c r="C32" s="7">
        <f>IF(B32&lt;$B$6,$B$5*($B$6-B32),0)</f>
        <v/>
      </c>
      <c r="D32" s="11">
        <f>IF(C32&gt;0,(C32*(1-IF($B$7&lt;1,0,_xlfn.POISSON.DIST($B$7-1,C32,TRUE)))-$B$7*(1-_xlfn.POISSON.DIST($B$7,C32,TRUE))),0)</f>
        <v/>
      </c>
      <c r="E32" s="11">
        <f>IF(C32&gt;0,(C32*(1-IF(($B$7+$B$8)&lt;1,0,_xlfn.POISSON.DIST(($B$7+$B$8)-1,C32,TRUE)))-($B$7+$B$8)*(1-_xlfn.POISSON.DIST(($B$7+$B$8),C32,TRUE))),0)</f>
        <v/>
      </c>
      <c r="F32" s="11">
        <f>IF(B32&gt;=$B$6,1,1-(D32-E32)/$B$8)</f>
        <v/>
      </c>
      <c r="G32" s="13">
        <f>F32-F31</f>
        <v/>
      </c>
      <c r="H32" s="7">
        <f>(B31+B32)/2</f>
        <v/>
      </c>
      <c r="I32" s="11">
        <f>1-F32</f>
        <v/>
      </c>
    </row>
    <row r="33">
      <c r="A33" s="10" t="n">
        <v>19</v>
      </c>
      <c r="B33" s="7">
        <f>A33/7</f>
        <v/>
      </c>
      <c r="C33" s="7">
        <f>IF(B33&lt;$B$6,$B$5*($B$6-B33),0)</f>
        <v/>
      </c>
      <c r="D33" s="11">
        <f>IF(C33&gt;0,(C33*(1-IF($B$7&lt;1,0,_xlfn.POISSON.DIST($B$7-1,C33,TRUE)))-$B$7*(1-_xlfn.POISSON.DIST($B$7,C33,TRUE))),0)</f>
        <v/>
      </c>
      <c r="E33" s="11">
        <f>IF(C33&gt;0,(C33*(1-IF(($B$7+$B$8)&lt;1,0,_xlfn.POISSON.DIST(($B$7+$B$8)-1,C33,TRUE)))-($B$7+$B$8)*(1-_xlfn.POISSON.DIST(($B$7+$B$8),C33,TRUE))),0)</f>
        <v/>
      </c>
      <c r="F33" s="11">
        <f>IF(B33&gt;=$B$6,1,1-(D33-E33)/$B$8)</f>
        <v/>
      </c>
      <c r="G33" s="13">
        <f>F33-F32</f>
        <v/>
      </c>
      <c r="H33" s="7">
        <f>(B32+B33)/2</f>
        <v/>
      </c>
      <c r="I33" s="11">
        <f>1-F33</f>
        <v/>
      </c>
    </row>
    <row r="34">
      <c r="A34" s="10" t="n">
        <v>20</v>
      </c>
      <c r="B34" s="7">
        <f>A34/7</f>
        <v/>
      </c>
      <c r="C34" s="7">
        <f>IF(B34&lt;$B$6,$B$5*($B$6-B34),0)</f>
        <v/>
      </c>
      <c r="D34" s="11">
        <f>IF(C34&gt;0,(C34*(1-IF($B$7&lt;1,0,_xlfn.POISSON.DIST($B$7-1,C34,TRUE)))-$B$7*(1-_xlfn.POISSON.DIST($B$7,C34,TRUE))),0)</f>
        <v/>
      </c>
      <c r="E34" s="11">
        <f>IF(C34&gt;0,(C34*(1-IF(($B$7+$B$8)&lt;1,0,_xlfn.POISSON.DIST(($B$7+$B$8)-1,C34,TRUE)))-($B$7+$B$8)*(1-_xlfn.POISSON.DIST(($B$7+$B$8),C34,TRUE))),0)</f>
        <v/>
      </c>
      <c r="F34" s="11">
        <f>IF(B34&gt;=$B$6,1,1-(D34-E34)/$B$8)</f>
        <v/>
      </c>
      <c r="G34" s="13">
        <f>F34-F33</f>
        <v/>
      </c>
      <c r="H34" s="7">
        <f>(B33+B34)/2</f>
        <v/>
      </c>
      <c r="I34" s="11">
        <f>1-F34</f>
        <v/>
      </c>
    </row>
    <row r="35">
      <c r="A35" s="10" t="n">
        <v>21</v>
      </c>
      <c r="B35" s="7">
        <f>A35/7</f>
        <v/>
      </c>
      <c r="C35" s="7">
        <f>IF(B35&lt;$B$6,$B$5*($B$6-B35),0)</f>
        <v/>
      </c>
      <c r="D35" s="11">
        <f>IF(C35&gt;0,(C35*(1-IF($B$7&lt;1,0,_xlfn.POISSON.DIST($B$7-1,C35,TRUE)))-$B$7*(1-_xlfn.POISSON.DIST($B$7,C35,TRUE))),0)</f>
        <v/>
      </c>
      <c r="E35" s="11">
        <f>IF(C35&gt;0,(C35*(1-IF(($B$7+$B$8)&lt;1,0,_xlfn.POISSON.DIST(($B$7+$B$8)-1,C35,TRUE)))-($B$7+$B$8)*(1-_xlfn.POISSON.DIST(($B$7+$B$8),C35,TRUE))),0)</f>
        <v/>
      </c>
      <c r="F35" s="11">
        <f>IF(B35&gt;=$B$6,1,1-(D35-E35)/$B$8)</f>
        <v/>
      </c>
      <c r="G35" s="13">
        <f>F35-F34</f>
        <v/>
      </c>
      <c r="H35" s="7">
        <f>(B34+B35)/2</f>
        <v/>
      </c>
      <c r="I35" s="11">
        <f>1-F35</f>
        <v/>
      </c>
    </row>
    <row r="37">
      <c r="A37" t="inlineStr">
        <is>
          <t>integral of P(W &gt; w)</t>
        </is>
      </c>
      <c r="B37" s="7">
        <f>((I14+I15)/2+(I15+I16)/2+(I16+I17)/2+(I17+I18)/2+(I18+I19)/2+(I19+I20)/2+(I20+I21)/2+(I21+I22)/2+(I22+I23)/2+(I23+I24)/2+(I24+I25)/2+(I25+I26)/2+(I26+I27)/2+(I27+I28)/2+(I28+I29)/2+(I29+I30)/2+(I30+I31)/2+(I31+I32)/2+(I32+I33)/2+(I33+I34)/2+(I34+I35)/2)/7</f>
        <v/>
      </c>
      <c r="C37" s="2" t="inlineStr">
        <is>
          <t>trapezoids, a day wide</t>
        </is>
      </c>
    </row>
    <row r="38">
      <c r="A38" t="inlineStr">
        <is>
          <t>Little's law, B_0/lambda_0</t>
        </is>
      </c>
      <c r="B38" s="7">
        <f>Hub!B27</f>
        <v/>
      </c>
    </row>
    <row r="39">
      <c r="A39" t="inlineStr">
        <is>
          <t>difference</t>
        </is>
      </c>
      <c r="B39" s="11">
        <f>B37-B38</f>
        <v/>
      </c>
    </row>
    <row r="40">
      <c r="A40" s="2" t="inlineStr">
        <is>
          <t>The midpoint column places each day's probability in the middle of the day. At the end of the day it would overstate the mean wait by half a day.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Exact costs, Axsater's recursion</t>
        </is>
      </c>
    </row>
    <row r="2">
      <c r="A2" s="2" t="inlineStr">
        <is>
          <t>@sec-batchedmultiechelon. One-for-one costs C(S_0, S_j) by Axsater (1993), equations (A.1) to (A.13), averaged over the hub's positions by his equation (1).</t>
        </is>
      </c>
    </row>
    <row r="4">
      <c r="A4" s="3" t="inlineStr">
        <is>
          <t>Read from the Hub sheet</t>
        </is>
      </c>
    </row>
    <row r="5">
      <c r="A5" t="inlineStr">
        <is>
          <t>lambda_j</t>
        </is>
      </c>
      <c r="B5" s="7">
        <f>Hub!B5</f>
        <v/>
      </c>
    </row>
    <row r="6">
      <c r="A6" t="inlineStr">
        <is>
          <t>lambda_0</t>
        </is>
      </c>
      <c r="B6" s="7">
        <f>Hub!B12</f>
        <v/>
      </c>
    </row>
    <row r="7">
      <c r="A7" t="inlineStr">
        <is>
          <t>L_0</t>
        </is>
      </c>
      <c r="B7" s="7">
        <f>Hub!B7</f>
        <v/>
      </c>
    </row>
    <row r="8">
      <c r="A8" t="inlineStr">
        <is>
          <t>O_j</t>
        </is>
      </c>
      <c r="B8" s="7">
        <f>Hub!B8</f>
        <v/>
      </c>
    </row>
    <row r="9">
      <c r="A9" t="inlineStr">
        <is>
          <t>N</t>
        </is>
      </c>
      <c r="B9" s="12">
        <f>Hub!B6</f>
        <v/>
      </c>
    </row>
    <row r="10">
      <c r="A10" t="inlineStr">
        <is>
          <t>r_0</t>
        </is>
      </c>
      <c r="B10" s="12">
        <f>Hub!B18</f>
        <v/>
      </c>
    </row>
    <row r="11">
      <c r="A11" t="inlineStr">
        <is>
          <t>Q_0</t>
        </is>
      </c>
      <c r="B11" s="12">
        <f>Hub!B19</f>
        <v/>
      </c>
    </row>
    <row r="12">
      <c r="A12" t="inlineStr">
        <is>
          <t>storeroom stock S_j</t>
        </is>
      </c>
      <c r="B12" s="5" t="n">
        <v>3</v>
      </c>
      <c r="C12" s="2" t="inlineStr">
        <is>
          <t>units</t>
        </is>
      </c>
    </row>
    <row r="14">
      <c r="A14" s="3" t="inlineStr">
        <is>
          <t>Two sets of cost rates, per week</t>
        </is>
      </c>
    </row>
    <row r="15">
      <c r="B15" s="9" t="inlineStr">
        <is>
          <t>costs</t>
        </is>
      </c>
      <c r="C15" s="9" t="inlineStr">
        <is>
          <t>backorders only</t>
        </is>
      </c>
    </row>
    <row r="16">
      <c r="A16" t="inlineStr">
        <is>
          <t>h_j</t>
        </is>
      </c>
      <c r="B16" s="7">
        <f>Hub!B14</f>
        <v/>
      </c>
      <c r="C16" s="14" t="n">
        <v>0</v>
      </c>
    </row>
    <row r="17">
      <c r="A17" t="inlineStr">
        <is>
          <t>h_0</t>
        </is>
      </c>
      <c r="B17" s="7">
        <f>Hub!B14</f>
        <v/>
      </c>
      <c r="C17" s="14" t="n">
        <v>0</v>
      </c>
    </row>
    <row r="18">
      <c r="A18" t="inlineStr">
        <is>
          <t>beta</t>
        </is>
      </c>
      <c r="B18" s="7">
        <f>Hub!B15</f>
        <v/>
      </c>
      <c r="C18" s="14" t="n">
        <v>1</v>
      </c>
    </row>
    <row r="19">
      <c r="A19" s="2" t="inlineStr">
        <is>
          <t>Every term is linear in the three rates, so the right-hand column prices only the storerooms' backorders and returns their expected number.</t>
        </is>
      </c>
    </row>
    <row r="21">
      <c r="A21" s="3" t="inlineStr">
        <is>
          <t>Equation (1): the cost at each S_j, averaged over S_0 = r_0+1 .. r_0+Q_0</t>
        </is>
      </c>
    </row>
    <row r="22">
      <c r="A22" s="9" t="inlineStr">
        <is>
          <t>S_j</t>
        </is>
      </c>
      <c r="B22" s="15" t="n">
        <v>0</v>
      </c>
      <c r="C22" s="15" t="n">
        <v>1</v>
      </c>
      <c r="D22" s="15" t="n">
        <v>2</v>
      </c>
      <c r="E22" s="15" t="n">
        <v>3</v>
      </c>
      <c r="F22" s="15" t="n">
        <v>4</v>
      </c>
      <c r="G22" s="15" t="n">
        <v>5</v>
      </c>
      <c r="H22" s="15" t="n">
        <v>6</v>
      </c>
    </row>
    <row r="23">
      <c r="A23" t="inlineStr">
        <is>
          <t>cost per week</t>
        </is>
      </c>
      <c r="B23" s="7">
        <f>$B$6*(SUM(INDEX(F33:F83,51-($B$10+$B$11)):INDEX(F33:F83,51-($B$10+1)))+SUM(INDEX(E33:E83,51-($B$10+$B$11)):INDEX(E33:E83,51-($B$10+1))))/$B$11</f>
        <v/>
      </c>
      <c r="C23" s="7">
        <f>$B$6*(SUM(INDEX(G33:G83,51-($B$10+$B$11)):INDEX(G33:G83,51-($B$10+1)))+SUM(INDEX(E33:E83,51-($B$10+$B$11)):INDEX(E33:E83,51-($B$10+1))))/$B$11</f>
        <v/>
      </c>
      <c r="D23" s="7">
        <f>$B$6*(SUM(INDEX(H33:H83,51-($B$10+$B$11)):INDEX(H33:H83,51-($B$10+1)))+SUM(INDEX(E33:E83,51-($B$10+$B$11)):INDEX(E33:E83,51-($B$10+1))))/$B$11</f>
        <v/>
      </c>
      <c r="E23" s="7">
        <f>$B$6*(SUM(INDEX(I33:I83,51-($B$10+$B$11)):INDEX(I33:I83,51-($B$10+1)))+SUM(INDEX(E33:E83,51-($B$10+$B$11)):INDEX(E33:E83,51-($B$10+1))))/$B$11</f>
        <v/>
      </c>
      <c r="F23" s="7">
        <f>$B$6*(SUM(INDEX(J33:J83,51-($B$10+$B$11)):INDEX(J33:J83,51-($B$10+1)))+SUM(INDEX(E33:E83,51-($B$10+$B$11)):INDEX(E33:E83,51-($B$10+1))))/$B$11</f>
        <v/>
      </c>
      <c r="G23" s="7">
        <f>$B$6*(SUM(INDEX(K33:K83,51-($B$10+$B$11)):INDEX(K33:K83,51-($B$10+1)))+SUM(INDEX(E33:E83,51-($B$10+$B$11)):INDEX(E33:E83,51-($B$10+1))))/$B$11</f>
        <v/>
      </c>
      <c r="H23" s="7">
        <f>$B$6*(SUM(INDEX(L33:L83,51-($B$10+$B$11)):INDEX(L33:L83,51-($B$10+1)))+SUM(INDEX(E33:E83,51-($B$10+$B$11)):INDEX(E33:E83,51-($B$10+1))))/$B$11</f>
        <v/>
      </c>
    </row>
    <row r="24">
      <c r="A24" t="inlineStr">
        <is>
          <t>storeroom backorders</t>
        </is>
      </c>
      <c r="B24" s="7">
        <f>$B$6*(SUM(INDEX(O33:O83,51-($B$10+$B$11)):INDEX(O33:O83,51-($B$10+1)))+SUM(INDEX(N33:N83,51-($B$10+$B$11)):INDEX(N33:N83,51-($B$10+1))))/$B$11</f>
        <v/>
      </c>
      <c r="C24" s="7">
        <f>$B$6*(SUM(INDEX(P33:P83,51-($B$10+$B$11)):INDEX(P33:P83,51-($B$10+1)))+SUM(INDEX(N33:N83,51-($B$10+$B$11)):INDEX(N33:N83,51-($B$10+1))))/$B$11</f>
        <v/>
      </c>
      <c r="D24" s="7">
        <f>$B$6*(SUM(INDEX(Q33:Q83,51-($B$10+$B$11)):INDEX(Q33:Q83,51-($B$10+1)))+SUM(INDEX(N33:N83,51-($B$10+$B$11)):INDEX(N33:N83,51-($B$10+1))))/$B$11</f>
        <v/>
      </c>
      <c r="E24" s="7">
        <f>$B$6*(SUM(INDEX(R33:R83,51-($B$10+$B$11)):INDEX(R33:R83,51-($B$10+1)))+SUM(INDEX(N33:N83,51-($B$10+$B$11)):INDEX(N33:N83,51-($B$10+1))))/$B$11</f>
        <v/>
      </c>
      <c r="F24" s="7">
        <f>$B$6*(SUM(INDEX(S33:S83,51-($B$10+$B$11)):INDEX(S33:S83,51-($B$10+1)))+SUM(INDEX(N33:N83,51-($B$10+$B$11)):INDEX(N33:N83,51-($B$10+1))))/$B$11</f>
        <v/>
      </c>
      <c r="G24" s="7">
        <f>$B$6*(SUM(INDEX(T33:T83,51-($B$10+$B$11)):INDEX(T33:T83,51-($B$10+1)))+SUM(INDEX(N33:N83,51-($B$10+$B$11)):INDEX(N33:N83,51-($B$10+1))))/$B$11</f>
        <v/>
      </c>
      <c r="H24" s="7">
        <f>$B$6*(SUM(INDEX(U33:U83,51-($B$10+$B$11)):INDEX(U33:U83,51-($B$10+1)))+SUM(INDEX(N33:N83,51-($B$10+$B$11)):INDEX(N33:N83,51-($B$10+1))))/$B$11</f>
        <v/>
      </c>
    </row>
    <row r="25">
      <c r="A25" t="inlineStr">
        <is>
          <t>per storeroom</t>
        </is>
      </c>
      <c r="B25" s="7">
        <f>B24/$B$9</f>
        <v/>
      </c>
      <c r="C25" s="7">
        <f>C24/$B$9</f>
        <v/>
      </c>
      <c r="D25" s="7">
        <f>D24/$B$9</f>
        <v/>
      </c>
      <c r="E25" s="7">
        <f>E24/$B$9</f>
        <v/>
      </c>
      <c r="F25" s="7">
        <f>F24/$B$9</f>
        <v/>
      </c>
      <c r="G25" s="7">
        <f>G24/$B$9</f>
        <v/>
      </c>
      <c r="H25" s="7">
        <f>H24/$B$9</f>
        <v/>
      </c>
    </row>
    <row r="27">
      <c r="A27" s="3" t="inlineStr">
        <is>
          <t>At the storeroom stock above</t>
        </is>
      </c>
    </row>
    <row r="28">
      <c r="A28" t="inlineStr">
        <is>
          <t>system cost per week</t>
        </is>
      </c>
      <c r="B28" s="8">
        <f>INDEX(B23:H23,B12+1)</f>
        <v/>
      </c>
    </row>
    <row r="29">
      <c r="A29" t="inlineStr">
        <is>
          <t>backorders per storeroom</t>
        </is>
      </c>
      <c r="B29" s="7">
        <f>INDEX(B25:H25,B12+1)</f>
        <v/>
      </c>
    </row>
    <row r="31">
      <c r="A31" s="2" t="inlineStr">
        <is>
          <t>G^n, the chance of n or more hub demands in L_0, (A.4).</t>
        </is>
      </c>
      <c r="D31" s="16" t="inlineStr">
        <is>
          <t>costs</t>
        </is>
      </c>
      <c r="M31" s="16" t="inlineStr">
        <is>
          <t>backorders only</t>
        </is>
      </c>
    </row>
    <row r="32">
      <c r="A32" s="9" t="inlineStr">
        <is>
          <t>n</t>
        </is>
      </c>
      <c r="B32" s="9" t="inlineStr">
        <is>
          <t>G^n</t>
        </is>
      </c>
      <c r="D32" s="9" t="inlineStr">
        <is>
          <t>S_0</t>
        </is>
      </c>
      <c r="E32" s="9" t="inlineStr">
        <is>
          <t>gamma(S_0)</t>
        </is>
      </c>
      <c r="F32" s="9" t="inlineStr">
        <is>
          <t>S_j=0</t>
        </is>
      </c>
      <c r="G32" s="9" t="inlineStr">
        <is>
          <t>S_j=1</t>
        </is>
      </c>
      <c r="H32" s="9" t="inlineStr">
        <is>
          <t>S_j=2</t>
        </is>
      </c>
      <c r="I32" s="9" t="inlineStr">
        <is>
          <t>S_j=3</t>
        </is>
      </c>
      <c r="J32" s="9" t="inlineStr">
        <is>
          <t>S_j=4</t>
        </is>
      </c>
      <c r="K32" s="9" t="inlineStr">
        <is>
          <t>S_j=5</t>
        </is>
      </c>
      <c r="L32" s="9" t="inlineStr">
        <is>
          <t>S_j=6</t>
        </is>
      </c>
      <c r="M32" s="9" t="inlineStr">
        <is>
          <t>S_0</t>
        </is>
      </c>
      <c r="N32" s="9" t="inlineStr">
        <is>
          <t>gamma(S_0)</t>
        </is>
      </c>
      <c r="O32" s="9" t="inlineStr">
        <is>
          <t>S_j=0</t>
        </is>
      </c>
      <c r="P32" s="9" t="inlineStr">
        <is>
          <t>S_j=1</t>
        </is>
      </c>
      <c r="Q32" s="9" t="inlineStr">
        <is>
          <t>S_j=2</t>
        </is>
      </c>
      <c r="R32" s="9" t="inlineStr">
        <is>
          <t>S_j=3</t>
        </is>
      </c>
      <c r="S32" s="9" t="inlineStr">
        <is>
          <t>S_j=4</t>
        </is>
      </c>
      <c r="T32" s="9" t="inlineStr">
        <is>
          <t>S_j=5</t>
        </is>
      </c>
      <c r="U32" s="9" t="inlineStr">
        <is>
          <t>S_j=6</t>
        </is>
      </c>
    </row>
    <row r="33">
      <c r="A33" s="10" t="n">
        <v>0</v>
      </c>
      <c r="B33" s="11" t="n">
        <v>1</v>
      </c>
      <c r="D33" s="10" t="n">
        <v>50</v>
      </c>
      <c r="E33" s="11">
        <f>$B$17*50/$B$6*(1-INDEX(HubTail,52))-$B$17*$B$7*(1-INDEX(HubTail,51))</f>
        <v/>
      </c>
      <c r="F33" s="11">
        <f>INDEX(HubTail,51)*$B$18*$B$7-INDEX(HubTail,52)*$B$18*50/$B$6+$B$18*$B$8</f>
        <v/>
      </c>
      <c r="G33" s="11">
        <f>G85</f>
        <v/>
      </c>
      <c r="H33" s="11">
        <f>H85</f>
        <v/>
      </c>
      <c r="I33" s="11">
        <f>I85</f>
        <v/>
      </c>
      <c r="J33" s="11">
        <f>J85</f>
        <v/>
      </c>
      <c r="K33" s="11">
        <f>K85</f>
        <v/>
      </c>
      <c r="L33" s="11">
        <f>L85</f>
        <v/>
      </c>
      <c r="M33" s="10" t="n">
        <v>50</v>
      </c>
      <c r="N33" s="11">
        <f>$C$17*50/$B$6*(1-INDEX(HubTail,52))-$C$17*$B$7*(1-INDEX(HubTail,51))</f>
        <v/>
      </c>
      <c r="O33" s="11">
        <f>INDEX(HubTail,51)*$C$18*$B$7-INDEX(HubTail,52)*$C$18*50/$B$6+$C$18*$B$8</f>
        <v/>
      </c>
      <c r="P33" s="11">
        <f>P85</f>
        <v/>
      </c>
      <c r="Q33" s="11">
        <f>Q85</f>
        <v/>
      </c>
      <c r="R33" s="11">
        <f>R85</f>
        <v/>
      </c>
      <c r="S33" s="11">
        <f>S85</f>
        <v/>
      </c>
      <c r="T33" s="11">
        <f>T85</f>
        <v/>
      </c>
      <c r="U33" s="11">
        <f>U85</f>
        <v/>
      </c>
    </row>
    <row r="34">
      <c r="A34" s="10" t="n">
        <v>1</v>
      </c>
      <c r="B34" s="11">
        <f>1-_xlfn.POISSON.DIST(0,$B$6*$B$7,TRUE)</f>
        <v/>
      </c>
      <c r="D34" s="10" t="n">
        <v>49</v>
      </c>
      <c r="E34" s="11">
        <f>$B$17*49/$B$6*(1-INDEX(HubTail,51))-$B$17*$B$7*(1-INDEX(HubTail,50))</f>
        <v/>
      </c>
      <c r="F34" s="11">
        <f>INDEX(HubTail,50)*$B$18*$B$7-INDEX(HubTail,51)*$B$18*49/$B$6+$B$18*$B$8</f>
        <v/>
      </c>
      <c r="G34" s="11">
        <f>$B$5/$B$6*F33+(1-$B$5/$B$6)*G33+$B$5/$B$6*(1-INDEX(HubTail,51))*($G$85-$F$85)</f>
        <v/>
      </c>
      <c r="H34" s="11">
        <f>$B$5/$B$6*G33+(1-$B$5/$B$6)*H33+$B$5/$B$6*(1-INDEX(HubTail,51))*($H$85-$G$85)</f>
        <v/>
      </c>
      <c r="I34" s="11">
        <f>$B$5/$B$6*H33+(1-$B$5/$B$6)*I33+$B$5/$B$6*(1-INDEX(HubTail,51))*($I$85-$H$85)</f>
        <v/>
      </c>
      <c r="J34" s="11">
        <f>$B$5/$B$6*I33+(1-$B$5/$B$6)*J33+$B$5/$B$6*(1-INDEX(HubTail,51))*($J$85-$I$85)</f>
        <v/>
      </c>
      <c r="K34" s="11">
        <f>$B$5/$B$6*J33+(1-$B$5/$B$6)*K33+$B$5/$B$6*(1-INDEX(HubTail,51))*($K$85-$J$85)</f>
        <v/>
      </c>
      <c r="L34" s="11">
        <f>$B$5/$B$6*K33+(1-$B$5/$B$6)*L33+$B$5/$B$6*(1-INDEX(HubTail,51))*($L$85-$K$85)</f>
        <v/>
      </c>
      <c r="M34" s="10" t="n">
        <v>49</v>
      </c>
      <c r="N34" s="11">
        <f>$C$17*49/$B$6*(1-INDEX(HubTail,51))-$C$17*$B$7*(1-INDEX(HubTail,50))</f>
        <v/>
      </c>
      <c r="O34" s="11">
        <f>INDEX(HubTail,50)*$C$18*$B$7-INDEX(HubTail,51)*$C$18*49/$B$6+$C$18*$B$8</f>
        <v/>
      </c>
      <c r="P34" s="11">
        <f>$B$5/$B$6*O33+(1-$B$5/$B$6)*P33+$B$5/$B$6*(1-INDEX(HubTail,51))*($P$85-$O$85)</f>
        <v/>
      </c>
      <c r="Q34" s="11">
        <f>$B$5/$B$6*P33+(1-$B$5/$B$6)*Q33+$B$5/$B$6*(1-INDEX(HubTail,51))*($Q$85-$P$85)</f>
        <v/>
      </c>
      <c r="R34" s="11">
        <f>$B$5/$B$6*Q33+(1-$B$5/$B$6)*R33+$B$5/$B$6*(1-INDEX(HubTail,51))*($R$85-$Q$85)</f>
        <v/>
      </c>
      <c r="S34" s="11">
        <f>$B$5/$B$6*R33+(1-$B$5/$B$6)*S33+$B$5/$B$6*(1-INDEX(HubTail,51))*($S$85-$R$85)</f>
        <v/>
      </c>
      <c r="T34" s="11">
        <f>$B$5/$B$6*S33+(1-$B$5/$B$6)*T33+$B$5/$B$6*(1-INDEX(HubTail,51))*($T$85-$S$85)</f>
        <v/>
      </c>
      <c r="U34" s="11">
        <f>$B$5/$B$6*T33+(1-$B$5/$B$6)*U33+$B$5/$B$6*(1-INDEX(HubTail,51))*($U$85-$T$85)</f>
        <v/>
      </c>
    </row>
    <row r="35">
      <c r="A35" s="10" t="n">
        <v>2</v>
      </c>
      <c r="B35" s="11">
        <f>1-_xlfn.POISSON.DIST(1,$B$6*$B$7,TRUE)</f>
        <v/>
      </c>
      <c r="D35" s="10" t="n">
        <v>48</v>
      </c>
      <c r="E35" s="11">
        <f>$B$17*48/$B$6*(1-INDEX(HubTail,50))-$B$17*$B$7*(1-INDEX(HubTail,49))</f>
        <v/>
      </c>
      <c r="F35" s="11">
        <f>INDEX(HubTail,49)*$B$18*$B$7-INDEX(HubTail,50)*$B$18*48/$B$6+$B$18*$B$8</f>
        <v/>
      </c>
      <c r="G35" s="11">
        <f>$B$5/$B$6*F34+(1-$B$5/$B$6)*G34+$B$5/$B$6*(1-INDEX(HubTail,50))*($G$85-$F$85)</f>
        <v/>
      </c>
      <c r="H35" s="11">
        <f>$B$5/$B$6*G34+(1-$B$5/$B$6)*H34+$B$5/$B$6*(1-INDEX(HubTail,50))*($H$85-$G$85)</f>
        <v/>
      </c>
      <c r="I35" s="11">
        <f>$B$5/$B$6*H34+(1-$B$5/$B$6)*I34+$B$5/$B$6*(1-INDEX(HubTail,50))*($I$85-$H$85)</f>
        <v/>
      </c>
      <c r="J35" s="11">
        <f>$B$5/$B$6*I34+(1-$B$5/$B$6)*J34+$B$5/$B$6*(1-INDEX(HubTail,50))*($J$85-$I$85)</f>
        <v/>
      </c>
      <c r="K35" s="11">
        <f>$B$5/$B$6*J34+(1-$B$5/$B$6)*K34+$B$5/$B$6*(1-INDEX(HubTail,50))*($K$85-$J$85)</f>
        <v/>
      </c>
      <c r="L35" s="11">
        <f>$B$5/$B$6*K34+(1-$B$5/$B$6)*L34+$B$5/$B$6*(1-INDEX(HubTail,50))*($L$85-$K$85)</f>
        <v/>
      </c>
      <c r="M35" s="10" t="n">
        <v>48</v>
      </c>
      <c r="N35" s="11">
        <f>$C$17*48/$B$6*(1-INDEX(HubTail,50))-$C$17*$B$7*(1-INDEX(HubTail,49))</f>
        <v/>
      </c>
      <c r="O35" s="11">
        <f>INDEX(HubTail,49)*$C$18*$B$7-INDEX(HubTail,50)*$C$18*48/$B$6+$C$18*$B$8</f>
        <v/>
      </c>
      <c r="P35" s="11">
        <f>$B$5/$B$6*O34+(1-$B$5/$B$6)*P34+$B$5/$B$6*(1-INDEX(HubTail,50))*($P$85-$O$85)</f>
        <v/>
      </c>
      <c r="Q35" s="11">
        <f>$B$5/$B$6*P34+(1-$B$5/$B$6)*Q34+$B$5/$B$6*(1-INDEX(HubTail,50))*($Q$85-$P$85)</f>
        <v/>
      </c>
      <c r="R35" s="11">
        <f>$B$5/$B$6*Q34+(1-$B$5/$B$6)*R34+$B$5/$B$6*(1-INDEX(HubTail,50))*($R$85-$Q$85)</f>
        <v/>
      </c>
      <c r="S35" s="11">
        <f>$B$5/$B$6*R34+(1-$B$5/$B$6)*S34+$B$5/$B$6*(1-INDEX(HubTail,50))*($S$85-$R$85)</f>
        <v/>
      </c>
      <c r="T35" s="11">
        <f>$B$5/$B$6*S34+(1-$B$5/$B$6)*T34+$B$5/$B$6*(1-INDEX(HubTail,50))*($T$85-$S$85)</f>
        <v/>
      </c>
      <c r="U35" s="11">
        <f>$B$5/$B$6*T34+(1-$B$5/$B$6)*U34+$B$5/$B$6*(1-INDEX(HubTail,50))*($U$85-$T$85)</f>
        <v/>
      </c>
    </row>
    <row r="36">
      <c r="A36" s="10" t="n">
        <v>3</v>
      </c>
      <c r="B36" s="11">
        <f>1-_xlfn.POISSON.DIST(2,$B$6*$B$7,TRUE)</f>
        <v/>
      </c>
      <c r="D36" s="10" t="n">
        <v>47</v>
      </c>
      <c r="E36" s="11">
        <f>$B$17*47/$B$6*(1-INDEX(HubTail,49))-$B$17*$B$7*(1-INDEX(HubTail,48))</f>
        <v/>
      </c>
      <c r="F36" s="11">
        <f>INDEX(HubTail,48)*$B$18*$B$7-INDEX(HubTail,49)*$B$18*47/$B$6+$B$18*$B$8</f>
        <v/>
      </c>
      <c r="G36" s="11">
        <f>$B$5/$B$6*F35+(1-$B$5/$B$6)*G35+$B$5/$B$6*(1-INDEX(HubTail,49))*($G$85-$F$85)</f>
        <v/>
      </c>
      <c r="H36" s="11">
        <f>$B$5/$B$6*G35+(1-$B$5/$B$6)*H35+$B$5/$B$6*(1-INDEX(HubTail,49))*($H$85-$G$85)</f>
        <v/>
      </c>
      <c r="I36" s="11">
        <f>$B$5/$B$6*H35+(1-$B$5/$B$6)*I35+$B$5/$B$6*(1-INDEX(HubTail,49))*($I$85-$H$85)</f>
        <v/>
      </c>
      <c r="J36" s="11">
        <f>$B$5/$B$6*I35+(1-$B$5/$B$6)*J35+$B$5/$B$6*(1-INDEX(HubTail,49))*($J$85-$I$85)</f>
        <v/>
      </c>
      <c r="K36" s="11">
        <f>$B$5/$B$6*J35+(1-$B$5/$B$6)*K35+$B$5/$B$6*(1-INDEX(HubTail,49))*($K$85-$J$85)</f>
        <v/>
      </c>
      <c r="L36" s="11">
        <f>$B$5/$B$6*K35+(1-$B$5/$B$6)*L35+$B$5/$B$6*(1-INDEX(HubTail,49))*($L$85-$K$85)</f>
        <v/>
      </c>
      <c r="M36" s="10" t="n">
        <v>47</v>
      </c>
      <c r="N36" s="11">
        <f>$C$17*47/$B$6*(1-INDEX(HubTail,49))-$C$17*$B$7*(1-INDEX(HubTail,48))</f>
        <v/>
      </c>
      <c r="O36" s="11">
        <f>INDEX(HubTail,48)*$C$18*$B$7-INDEX(HubTail,49)*$C$18*47/$B$6+$C$18*$B$8</f>
        <v/>
      </c>
      <c r="P36" s="11">
        <f>$B$5/$B$6*O35+(1-$B$5/$B$6)*P35+$B$5/$B$6*(1-INDEX(HubTail,49))*($P$85-$O$85)</f>
        <v/>
      </c>
      <c r="Q36" s="11">
        <f>$B$5/$B$6*P35+(1-$B$5/$B$6)*Q35+$B$5/$B$6*(1-INDEX(HubTail,49))*($Q$85-$P$85)</f>
        <v/>
      </c>
      <c r="R36" s="11">
        <f>$B$5/$B$6*Q35+(1-$B$5/$B$6)*R35+$B$5/$B$6*(1-INDEX(HubTail,49))*($R$85-$Q$85)</f>
        <v/>
      </c>
      <c r="S36" s="11">
        <f>$B$5/$B$6*R35+(1-$B$5/$B$6)*S35+$B$5/$B$6*(1-INDEX(HubTail,49))*($S$85-$R$85)</f>
        <v/>
      </c>
      <c r="T36" s="11">
        <f>$B$5/$B$6*S35+(1-$B$5/$B$6)*T35+$B$5/$B$6*(1-INDEX(HubTail,49))*($T$85-$S$85)</f>
        <v/>
      </c>
      <c r="U36" s="11">
        <f>$B$5/$B$6*T35+(1-$B$5/$B$6)*U35+$B$5/$B$6*(1-INDEX(HubTail,49))*($U$85-$T$85)</f>
        <v/>
      </c>
    </row>
    <row r="37">
      <c r="A37" s="10" t="n">
        <v>4</v>
      </c>
      <c r="B37" s="11">
        <f>1-_xlfn.POISSON.DIST(3,$B$6*$B$7,TRUE)</f>
        <v/>
      </c>
      <c r="D37" s="10" t="n">
        <v>46</v>
      </c>
      <c r="E37" s="11">
        <f>$B$17*46/$B$6*(1-INDEX(HubTail,48))-$B$17*$B$7*(1-INDEX(HubTail,47))</f>
        <v/>
      </c>
      <c r="F37" s="11">
        <f>INDEX(HubTail,47)*$B$18*$B$7-INDEX(HubTail,48)*$B$18*46/$B$6+$B$18*$B$8</f>
        <v/>
      </c>
      <c r="G37" s="11">
        <f>$B$5/$B$6*F36+(1-$B$5/$B$6)*G36+$B$5/$B$6*(1-INDEX(HubTail,48))*($G$85-$F$85)</f>
        <v/>
      </c>
      <c r="H37" s="11">
        <f>$B$5/$B$6*G36+(1-$B$5/$B$6)*H36+$B$5/$B$6*(1-INDEX(HubTail,48))*($H$85-$G$85)</f>
        <v/>
      </c>
      <c r="I37" s="11">
        <f>$B$5/$B$6*H36+(1-$B$5/$B$6)*I36+$B$5/$B$6*(1-INDEX(HubTail,48))*($I$85-$H$85)</f>
        <v/>
      </c>
      <c r="J37" s="11">
        <f>$B$5/$B$6*I36+(1-$B$5/$B$6)*J36+$B$5/$B$6*(1-INDEX(HubTail,48))*($J$85-$I$85)</f>
        <v/>
      </c>
      <c r="K37" s="11">
        <f>$B$5/$B$6*J36+(1-$B$5/$B$6)*K36+$B$5/$B$6*(1-INDEX(HubTail,48))*($K$85-$J$85)</f>
        <v/>
      </c>
      <c r="L37" s="11">
        <f>$B$5/$B$6*K36+(1-$B$5/$B$6)*L36+$B$5/$B$6*(1-INDEX(HubTail,48))*($L$85-$K$85)</f>
        <v/>
      </c>
      <c r="M37" s="10" t="n">
        <v>46</v>
      </c>
      <c r="N37" s="11">
        <f>$C$17*46/$B$6*(1-INDEX(HubTail,48))-$C$17*$B$7*(1-INDEX(HubTail,47))</f>
        <v/>
      </c>
      <c r="O37" s="11">
        <f>INDEX(HubTail,47)*$C$18*$B$7-INDEX(HubTail,48)*$C$18*46/$B$6+$C$18*$B$8</f>
        <v/>
      </c>
      <c r="P37" s="11">
        <f>$B$5/$B$6*O36+(1-$B$5/$B$6)*P36+$B$5/$B$6*(1-INDEX(HubTail,48))*($P$85-$O$85)</f>
        <v/>
      </c>
      <c r="Q37" s="11">
        <f>$B$5/$B$6*P36+(1-$B$5/$B$6)*Q36+$B$5/$B$6*(1-INDEX(HubTail,48))*($Q$85-$P$85)</f>
        <v/>
      </c>
      <c r="R37" s="11">
        <f>$B$5/$B$6*Q36+(1-$B$5/$B$6)*R36+$B$5/$B$6*(1-INDEX(HubTail,48))*($R$85-$Q$85)</f>
        <v/>
      </c>
      <c r="S37" s="11">
        <f>$B$5/$B$6*R36+(1-$B$5/$B$6)*S36+$B$5/$B$6*(1-INDEX(HubTail,48))*($S$85-$R$85)</f>
        <v/>
      </c>
      <c r="T37" s="11">
        <f>$B$5/$B$6*S36+(1-$B$5/$B$6)*T36+$B$5/$B$6*(1-INDEX(HubTail,48))*($T$85-$S$85)</f>
        <v/>
      </c>
      <c r="U37" s="11">
        <f>$B$5/$B$6*T36+(1-$B$5/$B$6)*U36+$B$5/$B$6*(1-INDEX(HubTail,48))*($U$85-$T$85)</f>
        <v/>
      </c>
    </row>
    <row r="38">
      <c r="A38" s="10" t="n">
        <v>5</v>
      </c>
      <c r="B38" s="11">
        <f>1-_xlfn.POISSON.DIST(4,$B$6*$B$7,TRUE)</f>
        <v/>
      </c>
      <c r="D38" s="10" t="n">
        <v>45</v>
      </c>
      <c r="E38" s="11">
        <f>$B$17*45/$B$6*(1-INDEX(HubTail,47))-$B$17*$B$7*(1-INDEX(HubTail,46))</f>
        <v/>
      </c>
      <c r="F38" s="11">
        <f>INDEX(HubTail,46)*$B$18*$B$7-INDEX(HubTail,47)*$B$18*45/$B$6+$B$18*$B$8</f>
        <v/>
      </c>
      <c r="G38" s="11">
        <f>$B$5/$B$6*F37+(1-$B$5/$B$6)*G37+$B$5/$B$6*(1-INDEX(HubTail,47))*($G$85-$F$85)</f>
        <v/>
      </c>
      <c r="H38" s="11">
        <f>$B$5/$B$6*G37+(1-$B$5/$B$6)*H37+$B$5/$B$6*(1-INDEX(HubTail,47))*($H$85-$G$85)</f>
        <v/>
      </c>
      <c r="I38" s="11">
        <f>$B$5/$B$6*H37+(1-$B$5/$B$6)*I37+$B$5/$B$6*(1-INDEX(HubTail,47))*($I$85-$H$85)</f>
        <v/>
      </c>
      <c r="J38" s="11">
        <f>$B$5/$B$6*I37+(1-$B$5/$B$6)*J37+$B$5/$B$6*(1-INDEX(HubTail,47))*($J$85-$I$85)</f>
        <v/>
      </c>
      <c r="K38" s="11">
        <f>$B$5/$B$6*J37+(1-$B$5/$B$6)*K37+$B$5/$B$6*(1-INDEX(HubTail,47))*($K$85-$J$85)</f>
        <v/>
      </c>
      <c r="L38" s="11">
        <f>$B$5/$B$6*K37+(1-$B$5/$B$6)*L37+$B$5/$B$6*(1-INDEX(HubTail,47))*($L$85-$K$85)</f>
        <v/>
      </c>
      <c r="M38" s="10" t="n">
        <v>45</v>
      </c>
      <c r="N38" s="11">
        <f>$C$17*45/$B$6*(1-INDEX(HubTail,47))-$C$17*$B$7*(1-INDEX(HubTail,46))</f>
        <v/>
      </c>
      <c r="O38" s="11">
        <f>INDEX(HubTail,46)*$C$18*$B$7-INDEX(HubTail,47)*$C$18*45/$B$6+$C$18*$B$8</f>
        <v/>
      </c>
      <c r="P38" s="11">
        <f>$B$5/$B$6*O37+(1-$B$5/$B$6)*P37+$B$5/$B$6*(1-INDEX(HubTail,47))*($P$85-$O$85)</f>
        <v/>
      </c>
      <c r="Q38" s="11">
        <f>$B$5/$B$6*P37+(1-$B$5/$B$6)*Q37+$B$5/$B$6*(1-INDEX(HubTail,47))*($Q$85-$P$85)</f>
        <v/>
      </c>
      <c r="R38" s="11">
        <f>$B$5/$B$6*Q37+(1-$B$5/$B$6)*R37+$B$5/$B$6*(1-INDEX(HubTail,47))*($R$85-$Q$85)</f>
        <v/>
      </c>
      <c r="S38" s="11">
        <f>$B$5/$B$6*R37+(1-$B$5/$B$6)*S37+$B$5/$B$6*(1-INDEX(HubTail,47))*($S$85-$R$85)</f>
        <v/>
      </c>
      <c r="T38" s="11">
        <f>$B$5/$B$6*S37+(1-$B$5/$B$6)*T37+$B$5/$B$6*(1-INDEX(HubTail,47))*($T$85-$S$85)</f>
        <v/>
      </c>
      <c r="U38" s="11">
        <f>$B$5/$B$6*T37+(1-$B$5/$B$6)*U37+$B$5/$B$6*(1-INDEX(HubTail,47))*($U$85-$T$85)</f>
        <v/>
      </c>
    </row>
    <row r="39">
      <c r="A39" s="10" t="n">
        <v>6</v>
      </c>
      <c r="B39" s="11">
        <f>1-_xlfn.POISSON.DIST(5,$B$6*$B$7,TRUE)</f>
        <v/>
      </c>
      <c r="D39" s="10" t="n">
        <v>44</v>
      </c>
      <c r="E39" s="11">
        <f>$B$17*44/$B$6*(1-INDEX(HubTail,46))-$B$17*$B$7*(1-INDEX(HubTail,45))</f>
        <v/>
      </c>
      <c r="F39" s="11">
        <f>INDEX(HubTail,45)*$B$18*$B$7-INDEX(HubTail,46)*$B$18*44/$B$6+$B$18*$B$8</f>
        <v/>
      </c>
      <c r="G39" s="11">
        <f>$B$5/$B$6*F38+(1-$B$5/$B$6)*G38+$B$5/$B$6*(1-INDEX(HubTail,46))*($G$85-$F$85)</f>
        <v/>
      </c>
      <c r="H39" s="11">
        <f>$B$5/$B$6*G38+(1-$B$5/$B$6)*H38+$B$5/$B$6*(1-INDEX(HubTail,46))*($H$85-$G$85)</f>
        <v/>
      </c>
      <c r="I39" s="11">
        <f>$B$5/$B$6*H38+(1-$B$5/$B$6)*I38+$B$5/$B$6*(1-INDEX(HubTail,46))*($I$85-$H$85)</f>
        <v/>
      </c>
      <c r="J39" s="11">
        <f>$B$5/$B$6*I38+(1-$B$5/$B$6)*J38+$B$5/$B$6*(1-INDEX(HubTail,46))*($J$85-$I$85)</f>
        <v/>
      </c>
      <c r="K39" s="11">
        <f>$B$5/$B$6*J38+(1-$B$5/$B$6)*K38+$B$5/$B$6*(1-INDEX(HubTail,46))*($K$85-$J$85)</f>
        <v/>
      </c>
      <c r="L39" s="11">
        <f>$B$5/$B$6*K38+(1-$B$5/$B$6)*L38+$B$5/$B$6*(1-INDEX(HubTail,46))*($L$85-$K$85)</f>
        <v/>
      </c>
      <c r="M39" s="10" t="n">
        <v>44</v>
      </c>
      <c r="N39" s="11">
        <f>$C$17*44/$B$6*(1-INDEX(HubTail,46))-$C$17*$B$7*(1-INDEX(HubTail,45))</f>
        <v/>
      </c>
      <c r="O39" s="11">
        <f>INDEX(HubTail,45)*$C$18*$B$7-INDEX(HubTail,46)*$C$18*44/$B$6+$C$18*$B$8</f>
        <v/>
      </c>
      <c r="P39" s="11">
        <f>$B$5/$B$6*O38+(1-$B$5/$B$6)*P38+$B$5/$B$6*(1-INDEX(HubTail,46))*($P$85-$O$85)</f>
        <v/>
      </c>
      <c r="Q39" s="11">
        <f>$B$5/$B$6*P38+(1-$B$5/$B$6)*Q38+$B$5/$B$6*(1-INDEX(HubTail,46))*($Q$85-$P$85)</f>
        <v/>
      </c>
      <c r="R39" s="11">
        <f>$B$5/$B$6*Q38+(1-$B$5/$B$6)*R38+$B$5/$B$6*(1-INDEX(HubTail,46))*($R$85-$Q$85)</f>
        <v/>
      </c>
      <c r="S39" s="11">
        <f>$B$5/$B$6*R38+(1-$B$5/$B$6)*S38+$B$5/$B$6*(1-INDEX(HubTail,46))*($S$85-$R$85)</f>
        <v/>
      </c>
      <c r="T39" s="11">
        <f>$B$5/$B$6*S38+(1-$B$5/$B$6)*T38+$B$5/$B$6*(1-INDEX(HubTail,46))*($T$85-$S$85)</f>
        <v/>
      </c>
      <c r="U39" s="11">
        <f>$B$5/$B$6*T38+(1-$B$5/$B$6)*U38+$B$5/$B$6*(1-INDEX(HubTail,46))*($U$85-$T$85)</f>
        <v/>
      </c>
    </row>
    <row r="40">
      <c r="A40" s="10" t="n">
        <v>7</v>
      </c>
      <c r="B40" s="11">
        <f>1-_xlfn.POISSON.DIST(6,$B$6*$B$7,TRUE)</f>
        <v/>
      </c>
      <c r="D40" s="10" t="n">
        <v>43</v>
      </c>
      <c r="E40" s="11">
        <f>$B$17*43/$B$6*(1-INDEX(HubTail,45))-$B$17*$B$7*(1-INDEX(HubTail,44))</f>
        <v/>
      </c>
      <c r="F40" s="11">
        <f>INDEX(HubTail,44)*$B$18*$B$7-INDEX(HubTail,45)*$B$18*43/$B$6+$B$18*$B$8</f>
        <v/>
      </c>
      <c r="G40" s="11">
        <f>$B$5/$B$6*F39+(1-$B$5/$B$6)*G39+$B$5/$B$6*(1-INDEX(HubTail,45))*($G$85-$F$85)</f>
        <v/>
      </c>
      <c r="H40" s="11">
        <f>$B$5/$B$6*G39+(1-$B$5/$B$6)*H39+$B$5/$B$6*(1-INDEX(HubTail,45))*($H$85-$G$85)</f>
        <v/>
      </c>
      <c r="I40" s="11">
        <f>$B$5/$B$6*H39+(1-$B$5/$B$6)*I39+$B$5/$B$6*(1-INDEX(HubTail,45))*($I$85-$H$85)</f>
        <v/>
      </c>
      <c r="J40" s="11">
        <f>$B$5/$B$6*I39+(1-$B$5/$B$6)*J39+$B$5/$B$6*(1-INDEX(HubTail,45))*($J$85-$I$85)</f>
        <v/>
      </c>
      <c r="K40" s="11">
        <f>$B$5/$B$6*J39+(1-$B$5/$B$6)*K39+$B$5/$B$6*(1-INDEX(HubTail,45))*($K$85-$J$85)</f>
        <v/>
      </c>
      <c r="L40" s="11">
        <f>$B$5/$B$6*K39+(1-$B$5/$B$6)*L39+$B$5/$B$6*(1-INDEX(HubTail,45))*($L$85-$K$85)</f>
        <v/>
      </c>
      <c r="M40" s="10" t="n">
        <v>43</v>
      </c>
      <c r="N40" s="11">
        <f>$C$17*43/$B$6*(1-INDEX(HubTail,45))-$C$17*$B$7*(1-INDEX(HubTail,44))</f>
        <v/>
      </c>
      <c r="O40" s="11">
        <f>INDEX(HubTail,44)*$C$18*$B$7-INDEX(HubTail,45)*$C$18*43/$B$6+$C$18*$B$8</f>
        <v/>
      </c>
      <c r="P40" s="11">
        <f>$B$5/$B$6*O39+(1-$B$5/$B$6)*P39+$B$5/$B$6*(1-INDEX(HubTail,45))*($P$85-$O$85)</f>
        <v/>
      </c>
      <c r="Q40" s="11">
        <f>$B$5/$B$6*P39+(1-$B$5/$B$6)*Q39+$B$5/$B$6*(1-INDEX(HubTail,45))*($Q$85-$P$85)</f>
        <v/>
      </c>
      <c r="R40" s="11">
        <f>$B$5/$B$6*Q39+(1-$B$5/$B$6)*R39+$B$5/$B$6*(1-INDEX(HubTail,45))*($R$85-$Q$85)</f>
        <v/>
      </c>
      <c r="S40" s="11">
        <f>$B$5/$B$6*R39+(1-$B$5/$B$6)*S39+$B$5/$B$6*(1-INDEX(HubTail,45))*($S$85-$R$85)</f>
        <v/>
      </c>
      <c r="T40" s="11">
        <f>$B$5/$B$6*S39+(1-$B$5/$B$6)*T39+$B$5/$B$6*(1-INDEX(HubTail,45))*($T$85-$S$85)</f>
        <v/>
      </c>
      <c r="U40" s="11">
        <f>$B$5/$B$6*T39+(1-$B$5/$B$6)*U39+$B$5/$B$6*(1-INDEX(HubTail,45))*($U$85-$T$85)</f>
        <v/>
      </c>
    </row>
    <row r="41">
      <c r="A41" s="10" t="n">
        <v>8</v>
      </c>
      <c r="B41" s="11">
        <f>1-_xlfn.POISSON.DIST(7,$B$6*$B$7,TRUE)</f>
        <v/>
      </c>
      <c r="D41" s="10" t="n">
        <v>42</v>
      </c>
      <c r="E41" s="11">
        <f>$B$17*42/$B$6*(1-INDEX(HubTail,44))-$B$17*$B$7*(1-INDEX(HubTail,43))</f>
        <v/>
      </c>
      <c r="F41" s="11">
        <f>INDEX(HubTail,43)*$B$18*$B$7-INDEX(HubTail,44)*$B$18*42/$B$6+$B$18*$B$8</f>
        <v/>
      </c>
      <c r="G41" s="11">
        <f>$B$5/$B$6*F40+(1-$B$5/$B$6)*G40+$B$5/$B$6*(1-INDEX(HubTail,44))*($G$85-$F$85)</f>
        <v/>
      </c>
      <c r="H41" s="11">
        <f>$B$5/$B$6*G40+(1-$B$5/$B$6)*H40+$B$5/$B$6*(1-INDEX(HubTail,44))*($H$85-$G$85)</f>
        <v/>
      </c>
      <c r="I41" s="11">
        <f>$B$5/$B$6*H40+(1-$B$5/$B$6)*I40+$B$5/$B$6*(1-INDEX(HubTail,44))*($I$85-$H$85)</f>
        <v/>
      </c>
      <c r="J41" s="11">
        <f>$B$5/$B$6*I40+(1-$B$5/$B$6)*J40+$B$5/$B$6*(1-INDEX(HubTail,44))*($J$85-$I$85)</f>
        <v/>
      </c>
      <c r="K41" s="11">
        <f>$B$5/$B$6*J40+(1-$B$5/$B$6)*K40+$B$5/$B$6*(1-INDEX(HubTail,44))*($K$85-$J$85)</f>
        <v/>
      </c>
      <c r="L41" s="11">
        <f>$B$5/$B$6*K40+(1-$B$5/$B$6)*L40+$B$5/$B$6*(1-INDEX(HubTail,44))*($L$85-$K$85)</f>
        <v/>
      </c>
      <c r="M41" s="10" t="n">
        <v>42</v>
      </c>
      <c r="N41" s="11">
        <f>$C$17*42/$B$6*(1-INDEX(HubTail,44))-$C$17*$B$7*(1-INDEX(HubTail,43))</f>
        <v/>
      </c>
      <c r="O41" s="11">
        <f>INDEX(HubTail,43)*$C$18*$B$7-INDEX(HubTail,44)*$C$18*42/$B$6+$C$18*$B$8</f>
        <v/>
      </c>
      <c r="P41" s="11">
        <f>$B$5/$B$6*O40+(1-$B$5/$B$6)*P40+$B$5/$B$6*(1-INDEX(HubTail,44))*($P$85-$O$85)</f>
        <v/>
      </c>
      <c r="Q41" s="11">
        <f>$B$5/$B$6*P40+(1-$B$5/$B$6)*Q40+$B$5/$B$6*(1-INDEX(HubTail,44))*($Q$85-$P$85)</f>
        <v/>
      </c>
      <c r="R41" s="11">
        <f>$B$5/$B$6*Q40+(1-$B$5/$B$6)*R40+$B$5/$B$6*(1-INDEX(HubTail,44))*($R$85-$Q$85)</f>
        <v/>
      </c>
      <c r="S41" s="11">
        <f>$B$5/$B$6*R40+(1-$B$5/$B$6)*S40+$B$5/$B$6*(1-INDEX(HubTail,44))*($S$85-$R$85)</f>
        <v/>
      </c>
      <c r="T41" s="11">
        <f>$B$5/$B$6*S40+(1-$B$5/$B$6)*T40+$B$5/$B$6*(1-INDEX(HubTail,44))*($T$85-$S$85)</f>
        <v/>
      </c>
      <c r="U41" s="11">
        <f>$B$5/$B$6*T40+(1-$B$5/$B$6)*U40+$B$5/$B$6*(1-INDEX(HubTail,44))*($U$85-$T$85)</f>
        <v/>
      </c>
    </row>
    <row r="42">
      <c r="A42" s="10" t="n">
        <v>9</v>
      </c>
      <c r="B42" s="11">
        <f>1-_xlfn.POISSON.DIST(8,$B$6*$B$7,TRUE)</f>
        <v/>
      </c>
      <c r="D42" s="10" t="n">
        <v>41</v>
      </c>
      <c r="E42" s="11">
        <f>$B$17*41/$B$6*(1-INDEX(HubTail,43))-$B$17*$B$7*(1-INDEX(HubTail,42))</f>
        <v/>
      </c>
      <c r="F42" s="11">
        <f>INDEX(HubTail,42)*$B$18*$B$7-INDEX(HubTail,43)*$B$18*41/$B$6+$B$18*$B$8</f>
        <v/>
      </c>
      <c r="G42" s="11">
        <f>$B$5/$B$6*F41+(1-$B$5/$B$6)*G41+$B$5/$B$6*(1-INDEX(HubTail,43))*($G$85-$F$85)</f>
        <v/>
      </c>
      <c r="H42" s="11">
        <f>$B$5/$B$6*G41+(1-$B$5/$B$6)*H41+$B$5/$B$6*(1-INDEX(HubTail,43))*($H$85-$G$85)</f>
        <v/>
      </c>
      <c r="I42" s="11">
        <f>$B$5/$B$6*H41+(1-$B$5/$B$6)*I41+$B$5/$B$6*(1-INDEX(HubTail,43))*($I$85-$H$85)</f>
        <v/>
      </c>
      <c r="J42" s="11">
        <f>$B$5/$B$6*I41+(1-$B$5/$B$6)*J41+$B$5/$B$6*(1-INDEX(HubTail,43))*($J$85-$I$85)</f>
        <v/>
      </c>
      <c r="K42" s="11">
        <f>$B$5/$B$6*J41+(1-$B$5/$B$6)*K41+$B$5/$B$6*(1-INDEX(HubTail,43))*($K$85-$J$85)</f>
        <v/>
      </c>
      <c r="L42" s="11">
        <f>$B$5/$B$6*K41+(1-$B$5/$B$6)*L41+$B$5/$B$6*(1-INDEX(HubTail,43))*($L$85-$K$85)</f>
        <v/>
      </c>
      <c r="M42" s="10" t="n">
        <v>41</v>
      </c>
      <c r="N42" s="11">
        <f>$C$17*41/$B$6*(1-INDEX(HubTail,43))-$C$17*$B$7*(1-INDEX(HubTail,42))</f>
        <v/>
      </c>
      <c r="O42" s="11">
        <f>INDEX(HubTail,42)*$C$18*$B$7-INDEX(HubTail,43)*$C$18*41/$B$6+$C$18*$B$8</f>
        <v/>
      </c>
      <c r="P42" s="11">
        <f>$B$5/$B$6*O41+(1-$B$5/$B$6)*P41+$B$5/$B$6*(1-INDEX(HubTail,43))*($P$85-$O$85)</f>
        <v/>
      </c>
      <c r="Q42" s="11">
        <f>$B$5/$B$6*P41+(1-$B$5/$B$6)*Q41+$B$5/$B$6*(1-INDEX(HubTail,43))*($Q$85-$P$85)</f>
        <v/>
      </c>
      <c r="R42" s="11">
        <f>$B$5/$B$6*Q41+(1-$B$5/$B$6)*R41+$B$5/$B$6*(1-INDEX(HubTail,43))*($R$85-$Q$85)</f>
        <v/>
      </c>
      <c r="S42" s="11">
        <f>$B$5/$B$6*R41+(1-$B$5/$B$6)*S41+$B$5/$B$6*(1-INDEX(HubTail,43))*($S$85-$R$85)</f>
        <v/>
      </c>
      <c r="T42" s="11">
        <f>$B$5/$B$6*S41+(1-$B$5/$B$6)*T41+$B$5/$B$6*(1-INDEX(HubTail,43))*($T$85-$S$85)</f>
        <v/>
      </c>
      <c r="U42" s="11">
        <f>$B$5/$B$6*T41+(1-$B$5/$B$6)*U41+$B$5/$B$6*(1-INDEX(HubTail,43))*($U$85-$T$85)</f>
        <v/>
      </c>
    </row>
    <row r="43">
      <c r="A43" s="10" t="n">
        <v>10</v>
      </c>
      <c r="B43" s="11">
        <f>1-_xlfn.POISSON.DIST(9,$B$6*$B$7,TRUE)</f>
        <v/>
      </c>
      <c r="D43" s="10" t="n">
        <v>40</v>
      </c>
      <c r="E43" s="11">
        <f>$B$17*40/$B$6*(1-INDEX(HubTail,42))-$B$17*$B$7*(1-INDEX(HubTail,41))</f>
        <v/>
      </c>
      <c r="F43" s="11">
        <f>INDEX(HubTail,41)*$B$18*$B$7-INDEX(HubTail,42)*$B$18*40/$B$6+$B$18*$B$8</f>
        <v/>
      </c>
      <c r="G43" s="11">
        <f>$B$5/$B$6*F42+(1-$B$5/$B$6)*G42+$B$5/$B$6*(1-INDEX(HubTail,42))*($G$85-$F$85)</f>
        <v/>
      </c>
      <c r="H43" s="11">
        <f>$B$5/$B$6*G42+(1-$B$5/$B$6)*H42+$B$5/$B$6*(1-INDEX(HubTail,42))*($H$85-$G$85)</f>
        <v/>
      </c>
      <c r="I43" s="11">
        <f>$B$5/$B$6*H42+(1-$B$5/$B$6)*I42+$B$5/$B$6*(1-INDEX(HubTail,42))*($I$85-$H$85)</f>
        <v/>
      </c>
      <c r="J43" s="11">
        <f>$B$5/$B$6*I42+(1-$B$5/$B$6)*J42+$B$5/$B$6*(1-INDEX(HubTail,42))*($J$85-$I$85)</f>
        <v/>
      </c>
      <c r="K43" s="11">
        <f>$B$5/$B$6*J42+(1-$B$5/$B$6)*K42+$B$5/$B$6*(1-INDEX(HubTail,42))*($K$85-$J$85)</f>
        <v/>
      </c>
      <c r="L43" s="11">
        <f>$B$5/$B$6*K42+(1-$B$5/$B$6)*L42+$B$5/$B$6*(1-INDEX(HubTail,42))*($L$85-$K$85)</f>
        <v/>
      </c>
      <c r="M43" s="10" t="n">
        <v>40</v>
      </c>
      <c r="N43" s="11">
        <f>$C$17*40/$B$6*(1-INDEX(HubTail,42))-$C$17*$B$7*(1-INDEX(HubTail,41))</f>
        <v/>
      </c>
      <c r="O43" s="11">
        <f>INDEX(HubTail,41)*$C$18*$B$7-INDEX(HubTail,42)*$C$18*40/$B$6+$C$18*$B$8</f>
        <v/>
      </c>
      <c r="P43" s="11">
        <f>$B$5/$B$6*O42+(1-$B$5/$B$6)*P42+$B$5/$B$6*(1-INDEX(HubTail,42))*($P$85-$O$85)</f>
        <v/>
      </c>
      <c r="Q43" s="11">
        <f>$B$5/$B$6*P42+(1-$B$5/$B$6)*Q42+$B$5/$B$6*(1-INDEX(HubTail,42))*($Q$85-$P$85)</f>
        <v/>
      </c>
      <c r="R43" s="11">
        <f>$B$5/$B$6*Q42+(1-$B$5/$B$6)*R42+$B$5/$B$6*(1-INDEX(HubTail,42))*($R$85-$Q$85)</f>
        <v/>
      </c>
      <c r="S43" s="11">
        <f>$B$5/$B$6*R42+(1-$B$5/$B$6)*S42+$B$5/$B$6*(1-INDEX(HubTail,42))*($S$85-$R$85)</f>
        <v/>
      </c>
      <c r="T43" s="11">
        <f>$B$5/$B$6*S42+(1-$B$5/$B$6)*T42+$B$5/$B$6*(1-INDEX(HubTail,42))*($T$85-$S$85)</f>
        <v/>
      </c>
      <c r="U43" s="11">
        <f>$B$5/$B$6*T42+(1-$B$5/$B$6)*U42+$B$5/$B$6*(1-INDEX(HubTail,42))*($U$85-$T$85)</f>
        <v/>
      </c>
    </row>
    <row r="44">
      <c r="A44" s="10" t="n">
        <v>11</v>
      </c>
      <c r="B44" s="11">
        <f>1-_xlfn.POISSON.DIST(10,$B$6*$B$7,TRUE)</f>
        <v/>
      </c>
      <c r="D44" s="10" t="n">
        <v>39</v>
      </c>
      <c r="E44" s="11">
        <f>$B$17*39/$B$6*(1-INDEX(HubTail,41))-$B$17*$B$7*(1-INDEX(HubTail,40))</f>
        <v/>
      </c>
      <c r="F44" s="11">
        <f>INDEX(HubTail,40)*$B$18*$B$7-INDEX(HubTail,41)*$B$18*39/$B$6+$B$18*$B$8</f>
        <v/>
      </c>
      <c r="G44" s="11">
        <f>$B$5/$B$6*F43+(1-$B$5/$B$6)*G43+$B$5/$B$6*(1-INDEX(HubTail,41))*($G$85-$F$85)</f>
        <v/>
      </c>
      <c r="H44" s="11">
        <f>$B$5/$B$6*G43+(1-$B$5/$B$6)*H43+$B$5/$B$6*(1-INDEX(HubTail,41))*($H$85-$G$85)</f>
        <v/>
      </c>
      <c r="I44" s="11">
        <f>$B$5/$B$6*H43+(1-$B$5/$B$6)*I43+$B$5/$B$6*(1-INDEX(HubTail,41))*($I$85-$H$85)</f>
        <v/>
      </c>
      <c r="J44" s="11">
        <f>$B$5/$B$6*I43+(1-$B$5/$B$6)*J43+$B$5/$B$6*(1-INDEX(HubTail,41))*($J$85-$I$85)</f>
        <v/>
      </c>
      <c r="K44" s="11">
        <f>$B$5/$B$6*J43+(1-$B$5/$B$6)*K43+$B$5/$B$6*(1-INDEX(HubTail,41))*($K$85-$J$85)</f>
        <v/>
      </c>
      <c r="L44" s="11">
        <f>$B$5/$B$6*K43+(1-$B$5/$B$6)*L43+$B$5/$B$6*(1-INDEX(HubTail,41))*($L$85-$K$85)</f>
        <v/>
      </c>
      <c r="M44" s="10" t="n">
        <v>39</v>
      </c>
      <c r="N44" s="11">
        <f>$C$17*39/$B$6*(1-INDEX(HubTail,41))-$C$17*$B$7*(1-INDEX(HubTail,40))</f>
        <v/>
      </c>
      <c r="O44" s="11">
        <f>INDEX(HubTail,40)*$C$18*$B$7-INDEX(HubTail,41)*$C$18*39/$B$6+$C$18*$B$8</f>
        <v/>
      </c>
      <c r="P44" s="11">
        <f>$B$5/$B$6*O43+(1-$B$5/$B$6)*P43+$B$5/$B$6*(1-INDEX(HubTail,41))*($P$85-$O$85)</f>
        <v/>
      </c>
      <c r="Q44" s="11">
        <f>$B$5/$B$6*P43+(1-$B$5/$B$6)*Q43+$B$5/$B$6*(1-INDEX(HubTail,41))*($Q$85-$P$85)</f>
        <v/>
      </c>
      <c r="R44" s="11">
        <f>$B$5/$B$6*Q43+(1-$B$5/$B$6)*R43+$B$5/$B$6*(1-INDEX(HubTail,41))*($R$85-$Q$85)</f>
        <v/>
      </c>
      <c r="S44" s="11">
        <f>$B$5/$B$6*R43+(1-$B$5/$B$6)*S43+$B$5/$B$6*(1-INDEX(HubTail,41))*($S$85-$R$85)</f>
        <v/>
      </c>
      <c r="T44" s="11">
        <f>$B$5/$B$6*S43+(1-$B$5/$B$6)*T43+$B$5/$B$6*(1-INDEX(HubTail,41))*($T$85-$S$85)</f>
        <v/>
      </c>
      <c r="U44" s="11">
        <f>$B$5/$B$6*T43+(1-$B$5/$B$6)*U43+$B$5/$B$6*(1-INDEX(HubTail,41))*($U$85-$T$85)</f>
        <v/>
      </c>
    </row>
    <row r="45">
      <c r="A45" s="10" t="n">
        <v>12</v>
      </c>
      <c r="B45" s="11">
        <f>1-_xlfn.POISSON.DIST(11,$B$6*$B$7,TRUE)</f>
        <v/>
      </c>
      <c r="D45" s="10" t="n">
        <v>38</v>
      </c>
      <c r="E45" s="11">
        <f>$B$17*38/$B$6*(1-INDEX(HubTail,40))-$B$17*$B$7*(1-INDEX(HubTail,39))</f>
        <v/>
      </c>
      <c r="F45" s="11">
        <f>INDEX(HubTail,39)*$B$18*$B$7-INDEX(HubTail,40)*$B$18*38/$B$6+$B$18*$B$8</f>
        <v/>
      </c>
      <c r="G45" s="11">
        <f>$B$5/$B$6*F44+(1-$B$5/$B$6)*G44+$B$5/$B$6*(1-INDEX(HubTail,40))*($G$85-$F$85)</f>
        <v/>
      </c>
      <c r="H45" s="11">
        <f>$B$5/$B$6*G44+(1-$B$5/$B$6)*H44+$B$5/$B$6*(1-INDEX(HubTail,40))*($H$85-$G$85)</f>
        <v/>
      </c>
      <c r="I45" s="11">
        <f>$B$5/$B$6*H44+(1-$B$5/$B$6)*I44+$B$5/$B$6*(1-INDEX(HubTail,40))*($I$85-$H$85)</f>
        <v/>
      </c>
      <c r="J45" s="11">
        <f>$B$5/$B$6*I44+(1-$B$5/$B$6)*J44+$B$5/$B$6*(1-INDEX(HubTail,40))*($J$85-$I$85)</f>
        <v/>
      </c>
      <c r="K45" s="11">
        <f>$B$5/$B$6*J44+(1-$B$5/$B$6)*K44+$B$5/$B$6*(1-INDEX(HubTail,40))*($K$85-$J$85)</f>
        <v/>
      </c>
      <c r="L45" s="11">
        <f>$B$5/$B$6*K44+(1-$B$5/$B$6)*L44+$B$5/$B$6*(1-INDEX(HubTail,40))*($L$85-$K$85)</f>
        <v/>
      </c>
      <c r="M45" s="10" t="n">
        <v>38</v>
      </c>
      <c r="N45" s="11">
        <f>$C$17*38/$B$6*(1-INDEX(HubTail,40))-$C$17*$B$7*(1-INDEX(HubTail,39))</f>
        <v/>
      </c>
      <c r="O45" s="11">
        <f>INDEX(HubTail,39)*$C$18*$B$7-INDEX(HubTail,40)*$C$18*38/$B$6+$C$18*$B$8</f>
        <v/>
      </c>
      <c r="P45" s="11">
        <f>$B$5/$B$6*O44+(1-$B$5/$B$6)*P44+$B$5/$B$6*(1-INDEX(HubTail,40))*($P$85-$O$85)</f>
        <v/>
      </c>
      <c r="Q45" s="11">
        <f>$B$5/$B$6*P44+(1-$B$5/$B$6)*Q44+$B$5/$B$6*(1-INDEX(HubTail,40))*($Q$85-$P$85)</f>
        <v/>
      </c>
      <c r="R45" s="11">
        <f>$B$5/$B$6*Q44+(1-$B$5/$B$6)*R44+$B$5/$B$6*(1-INDEX(HubTail,40))*($R$85-$Q$85)</f>
        <v/>
      </c>
      <c r="S45" s="11">
        <f>$B$5/$B$6*R44+(1-$B$5/$B$6)*S44+$B$5/$B$6*(1-INDEX(HubTail,40))*($S$85-$R$85)</f>
        <v/>
      </c>
      <c r="T45" s="11">
        <f>$B$5/$B$6*S44+(1-$B$5/$B$6)*T44+$B$5/$B$6*(1-INDEX(HubTail,40))*($T$85-$S$85)</f>
        <v/>
      </c>
      <c r="U45" s="11">
        <f>$B$5/$B$6*T44+(1-$B$5/$B$6)*U44+$B$5/$B$6*(1-INDEX(HubTail,40))*($U$85-$T$85)</f>
        <v/>
      </c>
    </row>
    <row r="46">
      <c r="A46" s="10" t="n">
        <v>13</v>
      </c>
      <c r="B46" s="11">
        <f>1-_xlfn.POISSON.DIST(12,$B$6*$B$7,TRUE)</f>
        <v/>
      </c>
      <c r="D46" s="10" t="n">
        <v>37</v>
      </c>
      <c r="E46" s="11">
        <f>$B$17*37/$B$6*(1-INDEX(HubTail,39))-$B$17*$B$7*(1-INDEX(HubTail,38))</f>
        <v/>
      </c>
      <c r="F46" s="11">
        <f>INDEX(HubTail,38)*$B$18*$B$7-INDEX(HubTail,39)*$B$18*37/$B$6+$B$18*$B$8</f>
        <v/>
      </c>
      <c r="G46" s="11">
        <f>$B$5/$B$6*F45+(1-$B$5/$B$6)*G45+$B$5/$B$6*(1-INDEX(HubTail,39))*($G$85-$F$85)</f>
        <v/>
      </c>
      <c r="H46" s="11">
        <f>$B$5/$B$6*G45+(1-$B$5/$B$6)*H45+$B$5/$B$6*(1-INDEX(HubTail,39))*($H$85-$G$85)</f>
        <v/>
      </c>
      <c r="I46" s="11">
        <f>$B$5/$B$6*H45+(1-$B$5/$B$6)*I45+$B$5/$B$6*(1-INDEX(HubTail,39))*($I$85-$H$85)</f>
        <v/>
      </c>
      <c r="J46" s="11">
        <f>$B$5/$B$6*I45+(1-$B$5/$B$6)*J45+$B$5/$B$6*(1-INDEX(HubTail,39))*($J$85-$I$85)</f>
        <v/>
      </c>
      <c r="K46" s="11">
        <f>$B$5/$B$6*J45+(1-$B$5/$B$6)*K45+$B$5/$B$6*(1-INDEX(HubTail,39))*($K$85-$J$85)</f>
        <v/>
      </c>
      <c r="L46" s="11">
        <f>$B$5/$B$6*K45+(1-$B$5/$B$6)*L45+$B$5/$B$6*(1-INDEX(HubTail,39))*($L$85-$K$85)</f>
        <v/>
      </c>
      <c r="M46" s="10" t="n">
        <v>37</v>
      </c>
      <c r="N46" s="11">
        <f>$C$17*37/$B$6*(1-INDEX(HubTail,39))-$C$17*$B$7*(1-INDEX(HubTail,38))</f>
        <v/>
      </c>
      <c r="O46" s="11">
        <f>INDEX(HubTail,38)*$C$18*$B$7-INDEX(HubTail,39)*$C$18*37/$B$6+$C$18*$B$8</f>
        <v/>
      </c>
      <c r="P46" s="11">
        <f>$B$5/$B$6*O45+(1-$B$5/$B$6)*P45+$B$5/$B$6*(1-INDEX(HubTail,39))*($P$85-$O$85)</f>
        <v/>
      </c>
      <c r="Q46" s="11">
        <f>$B$5/$B$6*P45+(1-$B$5/$B$6)*Q45+$B$5/$B$6*(1-INDEX(HubTail,39))*($Q$85-$P$85)</f>
        <v/>
      </c>
      <c r="R46" s="11">
        <f>$B$5/$B$6*Q45+(1-$B$5/$B$6)*R45+$B$5/$B$6*(1-INDEX(HubTail,39))*($R$85-$Q$85)</f>
        <v/>
      </c>
      <c r="S46" s="11">
        <f>$B$5/$B$6*R45+(1-$B$5/$B$6)*S45+$B$5/$B$6*(1-INDEX(HubTail,39))*($S$85-$R$85)</f>
        <v/>
      </c>
      <c r="T46" s="11">
        <f>$B$5/$B$6*S45+(1-$B$5/$B$6)*T45+$B$5/$B$6*(1-INDEX(HubTail,39))*($T$85-$S$85)</f>
        <v/>
      </c>
      <c r="U46" s="11">
        <f>$B$5/$B$6*T45+(1-$B$5/$B$6)*U45+$B$5/$B$6*(1-INDEX(HubTail,39))*($U$85-$T$85)</f>
        <v/>
      </c>
    </row>
    <row r="47">
      <c r="A47" s="10" t="n">
        <v>14</v>
      </c>
      <c r="B47" s="11">
        <f>1-_xlfn.POISSON.DIST(13,$B$6*$B$7,TRUE)</f>
        <v/>
      </c>
      <c r="D47" s="10" t="n">
        <v>36</v>
      </c>
      <c r="E47" s="11">
        <f>$B$17*36/$B$6*(1-INDEX(HubTail,38))-$B$17*$B$7*(1-INDEX(HubTail,37))</f>
        <v/>
      </c>
      <c r="F47" s="11">
        <f>INDEX(HubTail,37)*$B$18*$B$7-INDEX(HubTail,38)*$B$18*36/$B$6+$B$18*$B$8</f>
        <v/>
      </c>
      <c r="G47" s="11">
        <f>$B$5/$B$6*F46+(1-$B$5/$B$6)*G46+$B$5/$B$6*(1-INDEX(HubTail,38))*($G$85-$F$85)</f>
        <v/>
      </c>
      <c r="H47" s="11">
        <f>$B$5/$B$6*G46+(1-$B$5/$B$6)*H46+$B$5/$B$6*(1-INDEX(HubTail,38))*($H$85-$G$85)</f>
        <v/>
      </c>
      <c r="I47" s="11">
        <f>$B$5/$B$6*H46+(1-$B$5/$B$6)*I46+$B$5/$B$6*(1-INDEX(HubTail,38))*($I$85-$H$85)</f>
        <v/>
      </c>
      <c r="J47" s="11">
        <f>$B$5/$B$6*I46+(1-$B$5/$B$6)*J46+$B$5/$B$6*(1-INDEX(HubTail,38))*($J$85-$I$85)</f>
        <v/>
      </c>
      <c r="K47" s="11">
        <f>$B$5/$B$6*J46+(1-$B$5/$B$6)*K46+$B$5/$B$6*(1-INDEX(HubTail,38))*($K$85-$J$85)</f>
        <v/>
      </c>
      <c r="L47" s="11">
        <f>$B$5/$B$6*K46+(1-$B$5/$B$6)*L46+$B$5/$B$6*(1-INDEX(HubTail,38))*($L$85-$K$85)</f>
        <v/>
      </c>
      <c r="M47" s="10" t="n">
        <v>36</v>
      </c>
      <c r="N47" s="11">
        <f>$C$17*36/$B$6*(1-INDEX(HubTail,38))-$C$17*$B$7*(1-INDEX(HubTail,37))</f>
        <v/>
      </c>
      <c r="O47" s="11">
        <f>INDEX(HubTail,37)*$C$18*$B$7-INDEX(HubTail,38)*$C$18*36/$B$6+$C$18*$B$8</f>
        <v/>
      </c>
      <c r="P47" s="11">
        <f>$B$5/$B$6*O46+(1-$B$5/$B$6)*P46+$B$5/$B$6*(1-INDEX(HubTail,38))*($P$85-$O$85)</f>
        <v/>
      </c>
      <c r="Q47" s="11">
        <f>$B$5/$B$6*P46+(1-$B$5/$B$6)*Q46+$B$5/$B$6*(1-INDEX(HubTail,38))*($Q$85-$P$85)</f>
        <v/>
      </c>
      <c r="R47" s="11">
        <f>$B$5/$B$6*Q46+(1-$B$5/$B$6)*R46+$B$5/$B$6*(1-INDEX(HubTail,38))*($R$85-$Q$85)</f>
        <v/>
      </c>
      <c r="S47" s="11">
        <f>$B$5/$B$6*R46+(1-$B$5/$B$6)*S46+$B$5/$B$6*(1-INDEX(HubTail,38))*($S$85-$R$85)</f>
        <v/>
      </c>
      <c r="T47" s="11">
        <f>$B$5/$B$6*S46+(1-$B$5/$B$6)*T46+$B$5/$B$6*(1-INDEX(HubTail,38))*($T$85-$S$85)</f>
        <v/>
      </c>
      <c r="U47" s="11">
        <f>$B$5/$B$6*T46+(1-$B$5/$B$6)*U46+$B$5/$B$6*(1-INDEX(HubTail,38))*($U$85-$T$85)</f>
        <v/>
      </c>
    </row>
    <row r="48">
      <c r="A48" s="10" t="n">
        <v>15</v>
      </c>
      <c r="B48" s="11">
        <f>1-_xlfn.POISSON.DIST(14,$B$6*$B$7,TRUE)</f>
        <v/>
      </c>
      <c r="D48" s="10" t="n">
        <v>35</v>
      </c>
      <c r="E48" s="11">
        <f>$B$17*35/$B$6*(1-INDEX(HubTail,37))-$B$17*$B$7*(1-INDEX(HubTail,36))</f>
        <v/>
      </c>
      <c r="F48" s="11">
        <f>INDEX(HubTail,36)*$B$18*$B$7-INDEX(HubTail,37)*$B$18*35/$B$6+$B$18*$B$8</f>
        <v/>
      </c>
      <c r="G48" s="11">
        <f>$B$5/$B$6*F47+(1-$B$5/$B$6)*G47+$B$5/$B$6*(1-INDEX(HubTail,37))*($G$85-$F$85)</f>
        <v/>
      </c>
      <c r="H48" s="11">
        <f>$B$5/$B$6*G47+(1-$B$5/$B$6)*H47+$B$5/$B$6*(1-INDEX(HubTail,37))*($H$85-$G$85)</f>
        <v/>
      </c>
      <c r="I48" s="11">
        <f>$B$5/$B$6*H47+(1-$B$5/$B$6)*I47+$B$5/$B$6*(1-INDEX(HubTail,37))*($I$85-$H$85)</f>
        <v/>
      </c>
      <c r="J48" s="11">
        <f>$B$5/$B$6*I47+(1-$B$5/$B$6)*J47+$B$5/$B$6*(1-INDEX(HubTail,37))*($J$85-$I$85)</f>
        <v/>
      </c>
      <c r="K48" s="11">
        <f>$B$5/$B$6*J47+(1-$B$5/$B$6)*K47+$B$5/$B$6*(1-INDEX(HubTail,37))*($K$85-$J$85)</f>
        <v/>
      </c>
      <c r="L48" s="11">
        <f>$B$5/$B$6*K47+(1-$B$5/$B$6)*L47+$B$5/$B$6*(1-INDEX(HubTail,37))*($L$85-$K$85)</f>
        <v/>
      </c>
      <c r="M48" s="10" t="n">
        <v>35</v>
      </c>
      <c r="N48" s="11">
        <f>$C$17*35/$B$6*(1-INDEX(HubTail,37))-$C$17*$B$7*(1-INDEX(HubTail,36))</f>
        <v/>
      </c>
      <c r="O48" s="11">
        <f>INDEX(HubTail,36)*$C$18*$B$7-INDEX(HubTail,37)*$C$18*35/$B$6+$C$18*$B$8</f>
        <v/>
      </c>
      <c r="P48" s="11">
        <f>$B$5/$B$6*O47+(1-$B$5/$B$6)*P47+$B$5/$B$6*(1-INDEX(HubTail,37))*($P$85-$O$85)</f>
        <v/>
      </c>
      <c r="Q48" s="11">
        <f>$B$5/$B$6*P47+(1-$B$5/$B$6)*Q47+$B$5/$B$6*(1-INDEX(HubTail,37))*($Q$85-$P$85)</f>
        <v/>
      </c>
      <c r="R48" s="11">
        <f>$B$5/$B$6*Q47+(1-$B$5/$B$6)*R47+$B$5/$B$6*(1-INDEX(HubTail,37))*($R$85-$Q$85)</f>
        <v/>
      </c>
      <c r="S48" s="11">
        <f>$B$5/$B$6*R47+(1-$B$5/$B$6)*S47+$B$5/$B$6*(1-INDEX(HubTail,37))*($S$85-$R$85)</f>
        <v/>
      </c>
      <c r="T48" s="11">
        <f>$B$5/$B$6*S47+(1-$B$5/$B$6)*T47+$B$5/$B$6*(1-INDEX(HubTail,37))*($T$85-$S$85)</f>
        <v/>
      </c>
      <c r="U48" s="11">
        <f>$B$5/$B$6*T47+(1-$B$5/$B$6)*U47+$B$5/$B$6*(1-INDEX(HubTail,37))*($U$85-$T$85)</f>
        <v/>
      </c>
    </row>
    <row r="49">
      <c r="A49" s="10" t="n">
        <v>16</v>
      </c>
      <c r="B49" s="11">
        <f>1-_xlfn.POISSON.DIST(15,$B$6*$B$7,TRUE)</f>
        <v/>
      </c>
      <c r="D49" s="10" t="n">
        <v>34</v>
      </c>
      <c r="E49" s="11">
        <f>$B$17*34/$B$6*(1-INDEX(HubTail,36))-$B$17*$B$7*(1-INDEX(HubTail,35))</f>
        <v/>
      </c>
      <c r="F49" s="11">
        <f>INDEX(HubTail,35)*$B$18*$B$7-INDEX(HubTail,36)*$B$18*34/$B$6+$B$18*$B$8</f>
        <v/>
      </c>
      <c r="G49" s="11">
        <f>$B$5/$B$6*F48+(1-$B$5/$B$6)*G48+$B$5/$B$6*(1-INDEX(HubTail,36))*($G$85-$F$85)</f>
        <v/>
      </c>
      <c r="H49" s="11">
        <f>$B$5/$B$6*G48+(1-$B$5/$B$6)*H48+$B$5/$B$6*(1-INDEX(HubTail,36))*($H$85-$G$85)</f>
        <v/>
      </c>
      <c r="I49" s="11">
        <f>$B$5/$B$6*H48+(1-$B$5/$B$6)*I48+$B$5/$B$6*(1-INDEX(HubTail,36))*($I$85-$H$85)</f>
        <v/>
      </c>
      <c r="J49" s="11">
        <f>$B$5/$B$6*I48+(1-$B$5/$B$6)*J48+$B$5/$B$6*(1-INDEX(HubTail,36))*($J$85-$I$85)</f>
        <v/>
      </c>
      <c r="K49" s="11">
        <f>$B$5/$B$6*J48+(1-$B$5/$B$6)*K48+$B$5/$B$6*(1-INDEX(HubTail,36))*($K$85-$J$85)</f>
        <v/>
      </c>
      <c r="L49" s="11">
        <f>$B$5/$B$6*K48+(1-$B$5/$B$6)*L48+$B$5/$B$6*(1-INDEX(HubTail,36))*($L$85-$K$85)</f>
        <v/>
      </c>
      <c r="M49" s="10" t="n">
        <v>34</v>
      </c>
      <c r="N49" s="11">
        <f>$C$17*34/$B$6*(1-INDEX(HubTail,36))-$C$17*$B$7*(1-INDEX(HubTail,35))</f>
        <v/>
      </c>
      <c r="O49" s="11">
        <f>INDEX(HubTail,35)*$C$18*$B$7-INDEX(HubTail,36)*$C$18*34/$B$6+$C$18*$B$8</f>
        <v/>
      </c>
      <c r="P49" s="11">
        <f>$B$5/$B$6*O48+(1-$B$5/$B$6)*P48+$B$5/$B$6*(1-INDEX(HubTail,36))*($P$85-$O$85)</f>
        <v/>
      </c>
      <c r="Q49" s="11">
        <f>$B$5/$B$6*P48+(1-$B$5/$B$6)*Q48+$B$5/$B$6*(1-INDEX(HubTail,36))*($Q$85-$P$85)</f>
        <v/>
      </c>
      <c r="R49" s="11">
        <f>$B$5/$B$6*Q48+(1-$B$5/$B$6)*R48+$B$5/$B$6*(1-INDEX(HubTail,36))*($R$85-$Q$85)</f>
        <v/>
      </c>
      <c r="S49" s="11">
        <f>$B$5/$B$6*R48+(1-$B$5/$B$6)*S48+$B$5/$B$6*(1-INDEX(HubTail,36))*($S$85-$R$85)</f>
        <v/>
      </c>
      <c r="T49" s="11">
        <f>$B$5/$B$6*S48+(1-$B$5/$B$6)*T48+$B$5/$B$6*(1-INDEX(HubTail,36))*($T$85-$S$85)</f>
        <v/>
      </c>
      <c r="U49" s="11">
        <f>$B$5/$B$6*T48+(1-$B$5/$B$6)*U48+$B$5/$B$6*(1-INDEX(HubTail,36))*($U$85-$T$85)</f>
        <v/>
      </c>
    </row>
    <row r="50">
      <c r="A50" s="10" t="n">
        <v>17</v>
      </c>
      <c r="B50" s="11">
        <f>1-_xlfn.POISSON.DIST(16,$B$6*$B$7,TRUE)</f>
        <v/>
      </c>
      <c r="D50" s="10" t="n">
        <v>33</v>
      </c>
      <c r="E50" s="11">
        <f>$B$17*33/$B$6*(1-INDEX(HubTail,35))-$B$17*$B$7*(1-INDEX(HubTail,34))</f>
        <v/>
      </c>
      <c r="F50" s="11">
        <f>INDEX(HubTail,34)*$B$18*$B$7-INDEX(HubTail,35)*$B$18*33/$B$6+$B$18*$B$8</f>
        <v/>
      </c>
      <c r="G50" s="11">
        <f>$B$5/$B$6*F49+(1-$B$5/$B$6)*G49+$B$5/$B$6*(1-INDEX(HubTail,35))*($G$85-$F$85)</f>
        <v/>
      </c>
      <c r="H50" s="11">
        <f>$B$5/$B$6*G49+(1-$B$5/$B$6)*H49+$B$5/$B$6*(1-INDEX(HubTail,35))*($H$85-$G$85)</f>
        <v/>
      </c>
      <c r="I50" s="11">
        <f>$B$5/$B$6*H49+(1-$B$5/$B$6)*I49+$B$5/$B$6*(1-INDEX(HubTail,35))*($I$85-$H$85)</f>
        <v/>
      </c>
      <c r="J50" s="11">
        <f>$B$5/$B$6*I49+(1-$B$5/$B$6)*J49+$B$5/$B$6*(1-INDEX(HubTail,35))*($J$85-$I$85)</f>
        <v/>
      </c>
      <c r="K50" s="11">
        <f>$B$5/$B$6*J49+(1-$B$5/$B$6)*K49+$B$5/$B$6*(1-INDEX(HubTail,35))*($K$85-$J$85)</f>
        <v/>
      </c>
      <c r="L50" s="11">
        <f>$B$5/$B$6*K49+(1-$B$5/$B$6)*L49+$B$5/$B$6*(1-INDEX(HubTail,35))*($L$85-$K$85)</f>
        <v/>
      </c>
      <c r="M50" s="10" t="n">
        <v>33</v>
      </c>
      <c r="N50" s="11">
        <f>$C$17*33/$B$6*(1-INDEX(HubTail,35))-$C$17*$B$7*(1-INDEX(HubTail,34))</f>
        <v/>
      </c>
      <c r="O50" s="11">
        <f>INDEX(HubTail,34)*$C$18*$B$7-INDEX(HubTail,35)*$C$18*33/$B$6+$C$18*$B$8</f>
        <v/>
      </c>
      <c r="P50" s="11">
        <f>$B$5/$B$6*O49+(1-$B$5/$B$6)*P49+$B$5/$B$6*(1-INDEX(HubTail,35))*($P$85-$O$85)</f>
        <v/>
      </c>
      <c r="Q50" s="11">
        <f>$B$5/$B$6*P49+(1-$B$5/$B$6)*Q49+$B$5/$B$6*(1-INDEX(HubTail,35))*($Q$85-$P$85)</f>
        <v/>
      </c>
      <c r="R50" s="11">
        <f>$B$5/$B$6*Q49+(1-$B$5/$B$6)*R49+$B$5/$B$6*(1-INDEX(HubTail,35))*($R$85-$Q$85)</f>
        <v/>
      </c>
      <c r="S50" s="11">
        <f>$B$5/$B$6*R49+(1-$B$5/$B$6)*S49+$B$5/$B$6*(1-INDEX(HubTail,35))*($S$85-$R$85)</f>
        <v/>
      </c>
      <c r="T50" s="11">
        <f>$B$5/$B$6*S49+(1-$B$5/$B$6)*T49+$B$5/$B$6*(1-INDEX(HubTail,35))*($T$85-$S$85)</f>
        <v/>
      </c>
      <c r="U50" s="11">
        <f>$B$5/$B$6*T49+(1-$B$5/$B$6)*U49+$B$5/$B$6*(1-INDEX(HubTail,35))*($U$85-$T$85)</f>
        <v/>
      </c>
    </row>
    <row r="51">
      <c r="A51" s="10" t="n">
        <v>18</v>
      </c>
      <c r="B51" s="11">
        <f>1-_xlfn.POISSON.DIST(17,$B$6*$B$7,TRUE)</f>
        <v/>
      </c>
      <c r="D51" s="10" t="n">
        <v>32</v>
      </c>
      <c r="E51" s="11">
        <f>$B$17*32/$B$6*(1-INDEX(HubTail,34))-$B$17*$B$7*(1-INDEX(HubTail,33))</f>
        <v/>
      </c>
      <c r="F51" s="11">
        <f>INDEX(HubTail,33)*$B$18*$B$7-INDEX(HubTail,34)*$B$18*32/$B$6+$B$18*$B$8</f>
        <v/>
      </c>
      <c r="G51" s="11">
        <f>$B$5/$B$6*F50+(1-$B$5/$B$6)*G50+$B$5/$B$6*(1-INDEX(HubTail,34))*($G$85-$F$85)</f>
        <v/>
      </c>
      <c r="H51" s="11">
        <f>$B$5/$B$6*G50+(1-$B$5/$B$6)*H50+$B$5/$B$6*(1-INDEX(HubTail,34))*($H$85-$G$85)</f>
        <v/>
      </c>
      <c r="I51" s="11">
        <f>$B$5/$B$6*H50+(1-$B$5/$B$6)*I50+$B$5/$B$6*(1-INDEX(HubTail,34))*($I$85-$H$85)</f>
        <v/>
      </c>
      <c r="J51" s="11">
        <f>$B$5/$B$6*I50+(1-$B$5/$B$6)*J50+$B$5/$B$6*(1-INDEX(HubTail,34))*($J$85-$I$85)</f>
        <v/>
      </c>
      <c r="K51" s="11">
        <f>$B$5/$B$6*J50+(1-$B$5/$B$6)*K50+$B$5/$B$6*(1-INDEX(HubTail,34))*($K$85-$J$85)</f>
        <v/>
      </c>
      <c r="L51" s="11">
        <f>$B$5/$B$6*K50+(1-$B$5/$B$6)*L50+$B$5/$B$6*(1-INDEX(HubTail,34))*($L$85-$K$85)</f>
        <v/>
      </c>
      <c r="M51" s="10" t="n">
        <v>32</v>
      </c>
      <c r="N51" s="11">
        <f>$C$17*32/$B$6*(1-INDEX(HubTail,34))-$C$17*$B$7*(1-INDEX(HubTail,33))</f>
        <v/>
      </c>
      <c r="O51" s="11">
        <f>INDEX(HubTail,33)*$C$18*$B$7-INDEX(HubTail,34)*$C$18*32/$B$6+$C$18*$B$8</f>
        <v/>
      </c>
      <c r="P51" s="11">
        <f>$B$5/$B$6*O50+(1-$B$5/$B$6)*P50+$B$5/$B$6*(1-INDEX(HubTail,34))*($P$85-$O$85)</f>
        <v/>
      </c>
      <c r="Q51" s="11">
        <f>$B$5/$B$6*P50+(1-$B$5/$B$6)*Q50+$B$5/$B$6*(1-INDEX(HubTail,34))*($Q$85-$P$85)</f>
        <v/>
      </c>
      <c r="R51" s="11">
        <f>$B$5/$B$6*Q50+(1-$B$5/$B$6)*R50+$B$5/$B$6*(1-INDEX(HubTail,34))*($R$85-$Q$85)</f>
        <v/>
      </c>
      <c r="S51" s="11">
        <f>$B$5/$B$6*R50+(1-$B$5/$B$6)*S50+$B$5/$B$6*(1-INDEX(HubTail,34))*($S$85-$R$85)</f>
        <v/>
      </c>
      <c r="T51" s="11">
        <f>$B$5/$B$6*S50+(1-$B$5/$B$6)*T50+$B$5/$B$6*(1-INDEX(HubTail,34))*($T$85-$S$85)</f>
        <v/>
      </c>
      <c r="U51" s="11">
        <f>$B$5/$B$6*T50+(1-$B$5/$B$6)*U50+$B$5/$B$6*(1-INDEX(HubTail,34))*($U$85-$T$85)</f>
        <v/>
      </c>
    </row>
    <row r="52">
      <c r="A52" s="10" t="n">
        <v>19</v>
      </c>
      <c r="B52" s="11">
        <f>1-_xlfn.POISSON.DIST(18,$B$6*$B$7,TRUE)</f>
        <v/>
      </c>
      <c r="D52" s="10" t="n">
        <v>31</v>
      </c>
      <c r="E52" s="11">
        <f>$B$17*31/$B$6*(1-INDEX(HubTail,33))-$B$17*$B$7*(1-INDEX(HubTail,32))</f>
        <v/>
      </c>
      <c r="F52" s="11">
        <f>INDEX(HubTail,32)*$B$18*$B$7-INDEX(HubTail,33)*$B$18*31/$B$6+$B$18*$B$8</f>
        <v/>
      </c>
      <c r="G52" s="11">
        <f>$B$5/$B$6*F51+(1-$B$5/$B$6)*G51+$B$5/$B$6*(1-INDEX(HubTail,33))*($G$85-$F$85)</f>
        <v/>
      </c>
      <c r="H52" s="11">
        <f>$B$5/$B$6*G51+(1-$B$5/$B$6)*H51+$B$5/$B$6*(1-INDEX(HubTail,33))*($H$85-$G$85)</f>
        <v/>
      </c>
      <c r="I52" s="11">
        <f>$B$5/$B$6*H51+(1-$B$5/$B$6)*I51+$B$5/$B$6*(1-INDEX(HubTail,33))*($I$85-$H$85)</f>
        <v/>
      </c>
      <c r="J52" s="11">
        <f>$B$5/$B$6*I51+(1-$B$5/$B$6)*J51+$B$5/$B$6*(1-INDEX(HubTail,33))*($J$85-$I$85)</f>
        <v/>
      </c>
      <c r="K52" s="11">
        <f>$B$5/$B$6*J51+(1-$B$5/$B$6)*K51+$B$5/$B$6*(1-INDEX(HubTail,33))*($K$85-$J$85)</f>
        <v/>
      </c>
      <c r="L52" s="11">
        <f>$B$5/$B$6*K51+(1-$B$5/$B$6)*L51+$B$5/$B$6*(1-INDEX(HubTail,33))*($L$85-$K$85)</f>
        <v/>
      </c>
      <c r="M52" s="10" t="n">
        <v>31</v>
      </c>
      <c r="N52" s="11">
        <f>$C$17*31/$B$6*(1-INDEX(HubTail,33))-$C$17*$B$7*(1-INDEX(HubTail,32))</f>
        <v/>
      </c>
      <c r="O52" s="11">
        <f>INDEX(HubTail,32)*$C$18*$B$7-INDEX(HubTail,33)*$C$18*31/$B$6+$C$18*$B$8</f>
        <v/>
      </c>
      <c r="P52" s="11">
        <f>$B$5/$B$6*O51+(1-$B$5/$B$6)*P51+$B$5/$B$6*(1-INDEX(HubTail,33))*($P$85-$O$85)</f>
        <v/>
      </c>
      <c r="Q52" s="11">
        <f>$B$5/$B$6*P51+(1-$B$5/$B$6)*Q51+$B$5/$B$6*(1-INDEX(HubTail,33))*($Q$85-$P$85)</f>
        <v/>
      </c>
      <c r="R52" s="11">
        <f>$B$5/$B$6*Q51+(1-$B$5/$B$6)*R51+$B$5/$B$6*(1-INDEX(HubTail,33))*($R$85-$Q$85)</f>
        <v/>
      </c>
      <c r="S52" s="11">
        <f>$B$5/$B$6*R51+(1-$B$5/$B$6)*S51+$B$5/$B$6*(1-INDEX(HubTail,33))*($S$85-$R$85)</f>
        <v/>
      </c>
      <c r="T52" s="11">
        <f>$B$5/$B$6*S51+(1-$B$5/$B$6)*T51+$B$5/$B$6*(1-INDEX(HubTail,33))*($T$85-$S$85)</f>
        <v/>
      </c>
      <c r="U52" s="11">
        <f>$B$5/$B$6*T51+(1-$B$5/$B$6)*U51+$B$5/$B$6*(1-INDEX(HubTail,33))*($U$85-$T$85)</f>
        <v/>
      </c>
    </row>
    <row r="53">
      <c r="A53" s="10" t="n">
        <v>20</v>
      </c>
      <c r="B53" s="11">
        <f>1-_xlfn.POISSON.DIST(19,$B$6*$B$7,TRUE)</f>
        <v/>
      </c>
      <c r="D53" s="10" t="n">
        <v>30</v>
      </c>
      <c r="E53" s="11">
        <f>$B$17*30/$B$6*(1-INDEX(HubTail,32))-$B$17*$B$7*(1-INDEX(HubTail,31))</f>
        <v/>
      </c>
      <c r="F53" s="11">
        <f>INDEX(HubTail,31)*$B$18*$B$7-INDEX(HubTail,32)*$B$18*30/$B$6+$B$18*$B$8</f>
        <v/>
      </c>
      <c r="G53" s="11">
        <f>$B$5/$B$6*F52+(1-$B$5/$B$6)*G52+$B$5/$B$6*(1-INDEX(HubTail,32))*($G$85-$F$85)</f>
        <v/>
      </c>
      <c r="H53" s="11">
        <f>$B$5/$B$6*G52+(1-$B$5/$B$6)*H52+$B$5/$B$6*(1-INDEX(HubTail,32))*($H$85-$G$85)</f>
        <v/>
      </c>
      <c r="I53" s="11">
        <f>$B$5/$B$6*H52+(1-$B$5/$B$6)*I52+$B$5/$B$6*(1-INDEX(HubTail,32))*($I$85-$H$85)</f>
        <v/>
      </c>
      <c r="J53" s="11">
        <f>$B$5/$B$6*I52+(1-$B$5/$B$6)*J52+$B$5/$B$6*(1-INDEX(HubTail,32))*($J$85-$I$85)</f>
        <v/>
      </c>
      <c r="K53" s="11">
        <f>$B$5/$B$6*J52+(1-$B$5/$B$6)*K52+$B$5/$B$6*(1-INDEX(HubTail,32))*($K$85-$J$85)</f>
        <v/>
      </c>
      <c r="L53" s="11">
        <f>$B$5/$B$6*K52+(1-$B$5/$B$6)*L52+$B$5/$B$6*(1-INDEX(HubTail,32))*($L$85-$K$85)</f>
        <v/>
      </c>
      <c r="M53" s="10" t="n">
        <v>30</v>
      </c>
      <c r="N53" s="11">
        <f>$C$17*30/$B$6*(1-INDEX(HubTail,32))-$C$17*$B$7*(1-INDEX(HubTail,31))</f>
        <v/>
      </c>
      <c r="O53" s="11">
        <f>INDEX(HubTail,31)*$C$18*$B$7-INDEX(HubTail,32)*$C$18*30/$B$6+$C$18*$B$8</f>
        <v/>
      </c>
      <c r="P53" s="11">
        <f>$B$5/$B$6*O52+(1-$B$5/$B$6)*P52+$B$5/$B$6*(1-INDEX(HubTail,32))*($P$85-$O$85)</f>
        <v/>
      </c>
      <c r="Q53" s="11">
        <f>$B$5/$B$6*P52+(1-$B$5/$B$6)*Q52+$B$5/$B$6*(1-INDEX(HubTail,32))*($Q$85-$P$85)</f>
        <v/>
      </c>
      <c r="R53" s="11">
        <f>$B$5/$B$6*Q52+(1-$B$5/$B$6)*R52+$B$5/$B$6*(1-INDEX(HubTail,32))*($R$85-$Q$85)</f>
        <v/>
      </c>
      <c r="S53" s="11">
        <f>$B$5/$B$6*R52+(1-$B$5/$B$6)*S52+$B$5/$B$6*(1-INDEX(HubTail,32))*($S$85-$R$85)</f>
        <v/>
      </c>
      <c r="T53" s="11">
        <f>$B$5/$B$6*S52+(1-$B$5/$B$6)*T52+$B$5/$B$6*(1-INDEX(HubTail,32))*($T$85-$S$85)</f>
        <v/>
      </c>
      <c r="U53" s="11">
        <f>$B$5/$B$6*T52+(1-$B$5/$B$6)*U52+$B$5/$B$6*(1-INDEX(HubTail,32))*($U$85-$T$85)</f>
        <v/>
      </c>
    </row>
    <row r="54">
      <c r="A54" s="10" t="n">
        <v>21</v>
      </c>
      <c r="B54" s="11">
        <f>1-_xlfn.POISSON.DIST(20,$B$6*$B$7,TRUE)</f>
        <v/>
      </c>
      <c r="D54" s="10" t="n">
        <v>29</v>
      </c>
      <c r="E54" s="11">
        <f>$B$17*29/$B$6*(1-INDEX(HubTail,31))-$B$17*$B$7*(1-INDEX(HubTail,30))</f>
        <v/>
      </c>
      <c r="F54" s="11">
        <f>INDEX(HubTail,30)*$B$18*$B$7-INDEX(HubTail,31)*$B$18*29/$B$6+$B$18*$B$8</f>
        <v/>
      </c>
      <c r="G54" s="11">
        <f>$B$5/$B$6*F53+(1-$B$5/$B$6)*G53+$B$5/$B$6*(1-INDEX(HubTail,31))*($G$85-$F$85)</f>
        <v/>
      </c>
      <c r="H54" s="11">
        <f>$B$5/$B$6*G53+(1-$B$5/$B$6)*H53+$B$5/$B$6*(1-INDEX(HubTail,31))*($H$85-$G$85)</f>
        <v/>
      </c>
      <c r="I54" s="11">
        <f>$B$5/$B$6*H53+(1-$B$5/$B$6)*I53+$B$5/$B$6*(1-INDEX(HubTail,31))*($I$85-$H$85)</f>
        <v/>
      </c>
      <c r="J54" s="11">
        <f>$B$5/$B$6*I53+(1-$B$5/$B$6)*J53+$B$5/$B$6*(1-INDEX(HubTail,31))*($J$85-$I$85)</f>
        <v/>
      </c>
      <c r="K54" s="11">
        <f>$B$5/$B$6*J53+(1-$B$5/$B$6)*K53+$B$5/$B$6*(1-INDEX(HubTail,31))*($K$85-$J$85)</f>
        <v/>
      </c>
      <c r="L54" s="11">
        <f>$B$5/$B$6*K53+(1-$B$5/$B$6)*L53+$B$5/$B$6*(1-INDEX(HubTail,31))*($L$85-$K$85)</f>
        <v/>
      </c>
      <c r="M54" s="10" t="n">
        <v>29</v>
      </c>
      <c r="N54" s="11">
        <f>$C$17*29/$B$6*(1-INDEX(HubTail,31))-$C$17*$B$7*(1-INDEX(HubTail,30))</f>
        <v/>
      </c>
      <c r="O54" s="11">
        <f>INDEX(HubTail,30)*$C$18*$B$7-INDEX(HubTail,31)*$C$18*29/$B$6+$C$18*$B$8</f>
        <v/>
      </c>
      <c r="P54" s="11">
        <f>$B$5/$B$6*O53+(1-$B$5/$B$6)*P53+$B$5/$B$6*(1-INDEX(HubTail,31))*($P$85-$O$85)</f>
        <v/>
      </c>
      <c r="Q54" s="11">
        <f>$B$5/$B$6*P53+(1-$B$5/$B$6)*Q53+$B$5/$B$6*(1-INDEX(HubTail,31))*($Q$85-$P$85)</f>
        <v/>
      </c>
      <c r="R54" s="11">
        <f>$B$5/$B$6*Q53+(1-$B$5/$B$6)*R53+$B$5/$B$6*(1-INDEX(HubTail,31))*($R$85-$Q$85)</f>
        <v/>
      </c>
      <c r="S54" s="11">
        <f>$B$5/$B$6*R53+(1-$B$5/$B$6)*S53+$B$5/$B$6*(1-INDEX(HubTail,31))*($S$85-$R$85)</f>
        <v/>
      </c>
      <c r="T54" s="11">
        <f>$B$5/$B$6*S53+(1-$B$5/$B$6)*T53+$B$5/$B$6*(1-INDEX(HubTail,31))*($T$85-$S$85)</f>
        <v/>
      </c>
      <c r="U54" s="11">
        <f>$B$5/$B$6*T53+(1-$B$5/$B$6)*U53+$B$5/$B$6*(1-INDEX(HubTail,31))*($U$85-$T$85)</f>
        <v/>
      </c>
    </row>
    <row r="55">
      <c r="A55" s="10" t="n">
        <v>22</v>
      </c>
      <c r="B55" s="11">
        <f>1-_xlfn.POISSON.DIST(21,$B$6*$B$7,TRUE)</f>
        <v/>
      </c>
      <c r="D55" s="10" t="n">
        <v>28</v>
      </c>
      <c r="E55" s="11">
        <f>$B$17*28/$B$6*(1-INDEX(HubTail,30))-$B$17*$B$7*(1-INDEX(HubTail,29))</f>
        <v/>
      </c>
      <c r="F55" s="11">
        <f>INDEX(HubTail,29)*$B$18*$B$7-INDEX(HubTail,30)*$B$18*28/$B$6+$B$18*$B$8</f>
        <v/>
      </c>
      <c r="G55" s="11">
        <f>$B$5/$B$6*F54+(1-$B$5/$B$6)*G54+$B$5/$B$6*(1-INDEX(HubTail,30))*($G$85-$F$85)</f>
        <v/>
      </c>
      <c r="H55" s="11">
        <f>$B$5/$B$6*G54+(1-$B$5/$B$6)*H54+$B$5/$B$6*(1-INDEX(HubTail,30))*($H$85-$G$85)</f>
        <v/>
      </c>
      <c r="I55" s="11">
        <f>$B$5/$B$6*H54+(1-$B$5/$B$6)*I54+$B$5/$B$6*(1-INDEX(HubTail,30))*($I$85-$H$85)</f>
        <v/>
      </c>
      <c r="J55" s="11">
        <f>$B$5/$B$6*I54+(1-$B$5/$B$6)*J54+$B$5/$B$6*(1-INDEX(HubTail,30))*($J$85-$I$85)</f>
        <v/>
      </c>
      <c r="K55" s="11">
        <f>$B$5/$B$6*J54+(1-$B$5/$B$6)*K54+$B$5/$B$6*(1-INDEX(HubTail,30))*($K$85-$J$85)</f>
        <v/>
      </c>
      <c r="L55" s="11">
        <f>$B$5/$B$6*K54+(1-$B$5/$B$6)*L54+$B$5/$B$6*(1-INDEX(HubTail,30))*($L$85-$K$85)</f>
        <v/>
      </c>
      <c r="M55" s="10" t="n">
        <v>28</v>
      </c>
      <c r="N55" s="11">
        <f>$C$17*28/$B$6*(1-INDEX(HubTail,30))-$C$17*$B$7*(1-INDEX(HubTail,29))</f>
        <v/>
      </c>
      <c r="O55" s="11">
        <f>INDEX(HubTail,29)*$C$18*$B$7-INDEX(HubTail,30)*$C$18*28/$B$6+$C$18*$B$8</f>
        <v/>
      </c>
      <c r="P55" s="11">
        <f>$B$5/$B$6*O54+(1-$B$5/$B$6)*P54+$B$5/$B$6*(1-INDEX(HubTail,30))*($P$85-$O$85)</f>
        <v/>
      </c>
      <c r="Q55" s="11">
        <f>$B$5/$B$6*P54+(1-$B$5/$B$6)*Q54+$B$5/$B$6*(1-INDEX(HubTail,30))*($Q$85-$P$85)</f>
        <v/>
      </c>
      <c r="R55" s="11">
        <f>$B$5/$B$6*Q54+(1-$B$5/$B$6)*R54+$B$5/$B$6*(1-INDEX(HubTail,30))*($R$85-$Q$85)</f>
        <v/>
      </c>
      <c r="S55" s="11">
        <f>$B$5/$B$6*R54+(1-$B$5/$B$6)*S54+$B$5/$B$6*(1-INDEX(HubTail,30))*($S$85-$R$85)</f>
        <v/>
      </c>
      <c r="T55" s="11">
        <f>$B$5/$B$6*S54+(1-$B$5/$B$6)*T54+$B$5/$B$6*(1-INDEX(HubTail,30))*($T$85-$S$85)</f>
        <v/>
      </c>
      <c r="U55" s="11">
        <f>$B$5/$B$6*T54+(1-$B$5/$B$6)*U54+$B$5/$B$6*(1-INDEX(HubTail,30))*($U$85-$T$85)</f>
        <v/>
      </c>
    </row>
    <row r="56">
      <c r="A56" s="10" t="n">
        <v>23</v>
      </c>
      <c r="B56" s="11">
        <f>1-_xlfn.POISSON.DIST(22,$B$6*$B$7,TRUE)</f>
        <v/>
      </c>
      <c r="D56" s="10" t="n">
        <v>27</v>
      </c>
      <c r="E56" s="11">
        <f>$B$17*27/$B$6*(1-INDEX(HubTail,29))-$B$17*$B$7*(1-INDEX(HubTail,28))</f>
        <v/>
      </c>
      <c r="F56" s="11">
        <f>INDEX(HubTail,28)*$B$18*$B$7-INDEX(HubTail,29)*$B$18*27/$B$6+$B$18*$B$8</f>
        <v/>
      </c>
      <c r="G56" s="11">
        <f>$B$5/$B$6*F55+(1-$B$5/$B$6)*G55+$B$5/$B$6*(1-INDEX(HubTail,29))*($G$85-$F$85)</f>
        <v/>
      </c>
      <c r="H56" s="11">
        <f>$B$5/$B$6*G55+(1-$B$5/$B$6)*H55+$B$5/$B$6*(1-INDEX(HubTail,29))*($H$85-$G$85)</f>
        <v/>
      </c>
      <c r="I56" s="11">
        <f>$B$5/$B$6*H55+(1-$B$5/$B$6)*I55+$B$5/$B$6*(1-INDEX(HubTail,29))*($I$85-$H$85)</f>
        <v/>
      </c>
      <c r="J56" s="11">
        <f>$B$5/$B$6*I55+(1-$B$5/$B$6)*J55+$B$5/$B$6*(1-INDEX(HubTail,29))*($J$85-$I$85)</f>
        <v/>
      </c>
      <c r="K56" s="11">
        <f>$B$5/$B$6*J55+(1-$B$5/$B$6)*K55+$B$5/$B$6*(1-INDEX(HubTail,29))*($K$85-$J$85)</f>
        <v/>
      </c>
      <c r="L56" s="11">
        <f>$B$5/$B$6*K55+(1-$B$5/$B$6)*L55+$B$5/$B$6*(1-INDEX(HubTail,29))*($L$85-$K$85)</f>
        <v/>
      </c>
      <c r="M56" s="10" t="n">
        <v>27</v>
      </c>
      <c r="N56" s="11">
        <f>$C$17*27/$B$6*(1-INDEX(HubTail,29))-$C$17*$B$7*(1-INDEX(HubTail,28))</f>
        <v/>
      </c>
      <c r="O56" s="11">
        <f>INDEX(HubTail,28)*$C$18*$B$7-INDEX(HubTail,29)*$C$18*27/$B$6+$C$18*$B$8</f>
        <v/>
      </c>
      <c r="P56" s="11">
        <f>$B$5/$B$6*O55+(1-$B$5/$B$6)*P55+$B$5/$B$6*(1-INDEX(HubTail,29))*($P$85-$O$85)</f>
        <v/>
      </c>
      <c r="Q56" s="11">
        <f>$B$5/$B$6*P55+(1-$B$5/$B$6)*Q55+$B$5/$B$6*(1-INDEX(HubTail,29))*($Q$85-$P$85)</f>
        <v/>
      </c>
      <c r="R56" s="11">
        <f>$B$5/$B$6*Q55+(1-$B$5/$B$6)*R55+$B$5/$B$6*(1-INDEX(HubTail,29))*($R$85-$Q$85)</f>
        <v/>
      </c>
      <c r="S56" s="11">
        <f>$B$5/$B$6*R55+(1-$B$5/$B$6)*S55+$B$5/$B$6*(1-INDEX(HubTail,29))*($S$85-$R$85)</f>
        <v/>
      </c>
      <c r="T56" s="11">
        <f>$B$5/$B$6*S55+(1-$B$5/$B$6)*T55+$B$5/$B$6*(1-INDEX(HubTail,29))*($T$85-$S$85)</f>
        <v/>
      </c>
      <c r="U56" s="11">
        <f>$B$5/$B$6*T55+(1-$B$5/$B$6)*U55+$B$5/$B$6*(1-INDEX(HubTail,29))*($U$85-$T$85)</f>
        <v/>
      </c>
    </row>
    <row r="57">
      <c r="A57" s="10" t="n">
        <v>24</v>
      </c>
      <c r="B57" s="11">
        <f>1-_xlfn.POISSON.DIST(23,$B$6*$B$7,TRUE)</f>
        <v/>
      </c>
      <c r="D57" s="10" t="n">
        <v>26</v>
      </c>
      <c r="E57" s="11">
        <f>$B$17*26/$B$6*(1-INDEX(HubTail,28))-$B$17*$B$7*(1-INDEX(HubTail,27))</f>
        <v/>
      </c>
      <c r="F57" s="11">
        <f>INDEX(HubTail,27)*$B$18*$B$7-INDEX(HubTail,28)*$B$18*26/$B$6+$B$18*$B$8</f>
        <v/>
      </c>
      <c r="G57" s="11">
        <f>$B$5/$B$6*F56+(1-$B$5/$B$6)*G56+$B$5/$B$6*(1-INDEX(HubTail,28))*($G$85-$F$85)</f>
        <v/>
      </c>
      <c r="H57" s="11">
        <f>$B$5/$B$6*G56+(1-$B$5/$B$6)*H56+$B$5/$B$6*(1-INDEX(HubTail,28))*($H$85-$G$85)</f>
        <v/>
      </c>
      <c r="I57" s="11">
        <f>$B$5/$B$6*H56+(1-$B$5/$B$6)*I56+$B$5/$B$6*(1-INDEX(HubTail,28))*($I$85-$H$85)</f>
        <v/>
      </c>
      <c r="J57" s="11">
        <f>$B$5/$B$6*I56+(1-$B$5/$B$6)*J56+$B$5/$B$6*(1-INDEX(HubTail,28))*($J$85-$I$85)</f>
        <v/>
      </c>
      <c r="K57" s="11">
        <f>$B$5/$B$6*J56+(1-$B$5/$B$6)*K56+$B$5/$B$6*(1-INDEX(HubTail,28))*($K$85-$J$85)</f>
        <v/>
      </c>
      <c r="L57" s="11">
        <f>$B$5/$B$6*K56+(1-$B$5/$B$6)*L56+$B$5/$B$6*(1-INDEX(HubTail,28))*($L$85-$K$85)</f>
        <v/>
      </c>
      <c r="M57" s="10" t="n">
        <v>26</v>
      </c>
      <c r="N57" s="11">
        <f>$C$17*26/$B$6*(1-INDEX(HubTail,28))-$C$17*$B$7*(1-INDEX(HubTail,27))</f>
        <v/>
      </c>
      <c r="O57" s="11">
        <f>INDEX(HubTail,27)*$C$18*$B$7-INDEX(HubTail,28)*$C$18*26/$B$6+$C$18*$B$8</f>
        <v/>
      </c>
      <c r="P57" s="11">
        <f>$B$5/$B$6*O56+(1-$B$5/$B$6)*P56+$B$5/$B$6*(1-INDEX(HubTail,28))*($P$85-$O$85)</f>
        <v/>
      </c>
      <c r="Q57" s="11">
        <f>$B$5/$B$6*P56+(1-$B$5/$B$6)*Q56+$B$5/$B$6*(1-INDEX(HubTail,28))*($Q$85-$P$85)</f>
        <v/>
      </c>
      <c r="R57" s="11">
        <f>$B$5/$B$6*Q56+(1-$B$5/$B$6)*R56+$B$5/$B$6*(1-INDEX(HubTail,28))*($R$85-$Q$85)</f>
        <v/>
      </c>
      <c r="S57" s="11">
        <f>$B$5/$B$6*R56+(1-$B$5/$B$6)*S56+$B$5/$B$6*(1-INDEX(HubTail,28))*($S$85-$R$85)</f>
        <v/>
      </c>
      <c r="T57" s="11">
        <f>$B$5/$B$6*S56+(1-$B$5/$B$6)*T56+$B$5/$B$6*(1-INDEX(HubTail,28))*($T$85-$S$85)</f>
        <v/>
      </c>
      <c r="U57" s="11">
        <f>$B$5/$B$6*T56+(1-$B$5/$B$6)*U56+$B$5/$B$6*(1-INDEX(HubTail,28))*($U$85-$T$85)</f>
        <v/>
      </c>
    </row>
    <row r="58">
      <c r="A58" s="10" t="n">
        <v>25</v>
      </c>
      <c r="B58" s="11">
        <f>1-_xlfn.POISSON.DIST(24,$B$6*$B$7,TRUE)</f>
        <v/>
      </c>
      <c r="D58" s="10" t="n">
        <v>25</v>
      </c>
      <c r="E58" s="11">
        <f>$B$17*25/$B$6*(1-INDEX(HubTail,27))-$B$17*$B$7*(1-INDEX(HubTail,26))</f>
        <v/>
      </c>
      <c r="F58" s="11">
        <f>INDEX(HubTail,26)*$B$18*$B$7-INDEX(HubTail,27)*$B$18*25/$B$6+$B$18*$B$8</f>
        <v/>
      </c>
      <c r="G58" s="11">
        <f>$B$5/$B$6*F57+(1-$B$5/$B$6)*G57+$B$5/$B$6*(1-INDEX(HubTail,27))*($G$85-$F$85)</f>
        <v/>
      </c>
      <c r="H58" s="11">
        <f>$B$5/$B$6*G57+(1-$B$5/$B$6)*H57+$B$5/$B$6*(1-INDEX(HubTail,27))*($H$85-$G$85)</f>
        <v/>
      </c>
      <c r="I58" s="11">
        <f>$B$5/$B$6*H57+(1-$B$5/$B$6)*I57+$B$5/$B$6*(1-INDEX(HubTail,27))*($I$85-$H$85)</f>
        <v/>
      </c>
      <c r="J58" s="11">
        <f>$B$5/$B$6*I57+(1-$B$5/$B$6)*J57+$B$5/$B$6*(1-INDEX(HubTail,27))*($J$85-$I$85)</f>
        <v/>
      </c>
      <c r="K58" s="11">
        <f>$B$5/$B$6*J57+(1-$B$5/$B$6)*K57+$B$5/$B$6*(1-INDEX(HubTail,27))*($K$85-$J$85)</f>
        <v/>
      </c>
      <c r="L58" s="11">
        <f>$B$5/$B$6*K57+(1-$B$5/$B$6)*L57+$B$5/$B$6*(1-INDEX(HubTail,27))*($L$85-$K$85)</f>
        <v/>
      </c>
      <c r="M58" s="10" t="n">
        <v>25</v>
      </c>
      <c r="N58" s="11">
        <f>$C$17*25/$B$6*(1-INDEX(HubTail,27))-$C$17*$B$7*(1-INDEX(HubTail,26))</f>
        <v/>
      </c>
      <c r="O58" s="11">
        <f>INDEX(HubTail,26)*$C$18*$B$7-INDEX(HubTail,27)*$C$18*25/$B$6+$C$18*$B$8</f>
        <v/>
      </c>
      <c r="P58" s="11">
        <f>$B$5/$B$6*O57+(1-$B$5/$B$6)*P57+$B$5/$B$6*(1-INDEX(HubTail,27))*($P$85-$O$85)</f>
        <v/>
      </c>
      <c r="Q58" s="11">
        <f>$B$5/$B$6*P57+(1-$B$5/$B$6)*Q57+$B$5/$B$6*(1-INDEX(HubTail,27))*($Q$85-$P$85)</f>
        <v/>
      </c>
      <c r="R58" s="11">
        <f>$B$5/$B$6*Q57+(1-$B$5/$B$6)*R57+$B$5/$B$6*(1-INDEX(HubTail,27))*($R$85-$Q$85)</f>
        <v/>
      </c>
      <c r="S58" s="11">
        <f>$B$5/$B$6*R57+(1-$B$5/$B$6)*S57+$B$5/$B$6*(1-INDEX(HubTail,27))*($S$85-$R$85)</f>
        <v/>
      </c>
      <c r="T58" s="11">
        <f>$B$5/$B$6*S57+(1-$B$5/$B$6)*T57+$B$5/$B$6*(1-INDEX(HubTail,27))*($T$85-$S$85)</f>
        <v/>
      </c>
      <c r="U58" s="11">
        <f>$B$5/$B$6*T57+(1-$B$5/$B$6)*U57+$B$5/$B$6*(1-INDEX(HubTail,27))*($U$85-$T$85)</f>
        <v/>
      </c>
    </row>
    <row r="59">
      <c r="A59" s="10" t="n">
        <v>26</v>
      </c>
      <c r="B59" s="11">
        <f>1-_xlfn.POISSON.DIST(25,$B$6*$B$7,TRUE)</f>
        <v/>
      </c>
      <c r="D59" s="10" t="n">
        <v>24</v>
      </c>
      <c r="E59" s="11">
        <f>$B$17*24/$B$6*(1-INDEX(HubTail,26))-$B$17*$B$7*(1-INDEX(HubTail,25))</f>
        <v/>
      </c>
      <c r="F59" s="11">
        <f>INDEX(HubTail,25)*$B$18*$B$7-INDEX(HubTail,26)*$B$18*24/$B$6+$B$18*$B$8</f>
        <v/>
      </c>
      <c r="G59" s="11">
        <f>$B$5/$B$6*F58+(1-$B$5/$B$6)*G58+$B$5/$B$6*(1-INDEX(HubTail,26))*($G$85-$F$85)</f>
        <v/>
      </c>
      <c r="H59" s="11">
        <f>$B$5/$B$6*G58+(1-$B$5/$B$6)*H58+$B$5/$B$6*(1-INDEX(HubTail,26))*($H$85-$G$85)</f>
        <v/>
      </c>
      <c r="I59" s="11">
        <f>$B$5/$B$6*H58+(1-$B$5/$B$6)*I58+$B$5/$B$6*(1-INDEX(HubTail,26))*($I$85-$H$85)</f>
        <v/>
      </c>
      <c r="J59" s="11">
        <f>$B$5/$B$6*I58+(1-$B$5/$B$6)*J58+$B$5/$B$6*(1-INDEX(HubTail,26))*($J$85-$I$85)</f>
        <v/>
      </c>
      <c r="K59" s="11">
        <f>$B$5/$B$6*J58+(1-$B$5/$B$6)*K58+$B$5/$B$6*(1-INDEX(HubTail,26))*($K$85-$J$85)</f>
        <v/>
      </c>
      <c r="L59" s="11">
        <f>$B$5/$B$6*K58+(1-$B$5/$B$6)*L58+$B$5/$B$6*(1-INDEX(HubTail,26))*($L$85-$K$85)</f>
        <v/>
      </c>
      <c r="M59" s="10" t="n">
        <v>24</v>
      </c>
      <c r="N59" s="11">
        <f>$C$17*24/$B$6*(1-INDEX(HubTail,26))-$C$17*$B$7*(1-INDEX(HubTail,25))</f>
        <v/>
      </c>
      <c r="O59" s="11">
        <f>INDEX(HubTail,25)*$C$18*$B$7-INDEX(HubTail,26)*$C$18*24/$B$6+$C$18*$B$8</f>
        <v/>
      </c>
      <c r="P59" s="11">
        <f>$B$5/$B$6*O58+(1-$B$5/$B$6)*P58+$B$5/$B$6*(1-INDEX(HubTail,26))*($P$85-$O$85)</f>
        <v/>
      </c>
      <c r="Q59" s="11">
        <f>$B$5/$B$6*P58+(1-$B$5/$B$6)*Q58+$B$5/$B$6*(1-INDEX(HubTail,26))*($Q$85-$P$85)</f>
        <v/>
      </c>
      <c r="R59" s="11">
        <f>$B$5/$B$6*Q58+(1-$B$5/$B$6)*R58+$B$5/$B$6*(1-INDEX(HubTail,26))*($R$85-$Q$85)</f>
        <v/>
      </c>
      <c r="S59" s="11">
        <f>$B$5/$B$6*R58+(1-$B$5/$B$6)*S58+$B$5/$B$6*(1-INDEX(HubTail,26))*($S$85-$R$85)</f>
        <v/>
      </c>
      <c r="T59" s="11">
        <f>$B$5/$B$6*S58+(1-$B$5/$B$6)*T58+$B$5/$B$6*(1-INDEX(HubTail,26))*($T$85-$S$85)</f>
        <v/>
      </c>
      <c r="U59" s="11">
        <f>$B$5/$B$6*T58+(1-$B$5/$B$6)*U58+$B$5/$B$6*(1-INDEX(HubTail,26))*($U$85-$T$85)</f>
        <v/>
      </c>
    </row>
    <row r="60">
      <c r="A60" s="10" t="n">
        <v>27</v>
      </c>
      <c r="B60" s="11">
        <f>1-_xlfn.POISSON.DIST(26,$B$6*$B$7,TRUE)</f>
        <v/>
      </c>
      <c r="D60" s="10" t="n">
        <v>23</v>
      </c>
      <c r="E60" s="11">
        <f>$B$17*23/$B$6*(1-INDEX(HubTail,25))-$B$17*$B$7*(1-INDEX(HubTail,24))</f>
        <v/>
      </c>
      <c r="F60" s="11">
        <f>INDEX(HubTail,24)*$B$18*$B$7-INDEX(HubTail,25)*$B$18*23/$B$6+$B$18*$B$8</f>
        <v/>
      </c>
      <c r="G60" s="11">
        <f>$B$5/$B$6*F59+(1-$B$5/$B$6)*G59+$B$5/$B$6*(1-INDEX(HubTail,25))*($G$85-$F$85)</f>
        <v/>
      </c>
      <c r="H60" s="11">
        <f>$B$5/$B$6*G59+(1-$B$5/$B$6)*H59+$B$5/$B$6*(1-INDEX(HubTail,25))*($H$85-$G$85)</f>
        <v/>
      </c>
      <c r="I60" s="11">
        <f>$B$5/$B$6*H59+(1-$B$5/$B$6)*I59+$B$5/$B$6*(1-INDEX(HubTail,25))*($I$85-$H$85)</f>
        <v/>
      </c>
      <c r="J60" s="11">
        <f>$B$5/$B$6*I59+(1-$B$5/$B$6)*J59+$B$5/$B$6*(1-INDEX(HubTail,25))*($J$85-$I$85)</f>
        <v/>
      </c>
      <c r="K60" s="11">
        <f>$B$5/$B$6*J59+(1-$B$5/$B$6)*K59+$B$5/$B$6*(1-INDEX(HubTail,25))*($K$85-$J$85)</f>
        <v/>
      </c>
      <c r="L60" s="11">
        <f>$B$5/$B$6*K59+(1-$B$5/$B$6)*L59+$B$5/$B$6*(1-INDEX(HubTail,25))*($L$85-$K$85)</f>
        <v/>
      </c>
      <c r="M60" s="10" t="n">
        <v>23</v>
      </c>
      <c r="N60" s="11">
        <f>$C$17*23/$B$6*(1-INDEX(HubTail,25))-$C$17*$B$7*(1-INDEX(HubTail,24))</f>
        <v/>
      </c>
      <c r="O60" s="11">
        <f>INDEX(HubTail,24)*$C$18*$B$7-INDEX(HubTail,25)*$C$18*23/$B$6+$C$18*$B$8</f>
        <v/>
      </c>
      <c r="P60" s="11">
        <f>$B$5/$B$6*O59+(1-$B$5/$B$6)*P59+$B$5/$B$6*(1-INDEX(HubTail,25))*($P$85-$O$85)</f>
        <v/>
      </c>
      <c r="Q60" s="11">
        <f>$B$5/$B$6*P59+(1-$B$5/$B$6)*Q59+$B$5/$B$6*(1-INDEX(HubTail,25))*($Q$85-$P$85)</f>
        <v/>
      </c>
      <c r="R60" s="11">
        <f>$B$5/$B$6*Q59+(1-$B$5/$B$6)*R59+$B$5/$B$6*(1-INDEX(HubTail,25))*($R$85-$Q$85)</f>
        <v/>
      </c>
      <c r="S60" s="11">
        <f>$B$5/$B$6*R59+(1-$B$5/$B$6)*S59+$B$5/$B$6*(1-INDEX(HubTail,25))*($S$85-$R$85)</f>
        <v/>
      </c>
      <c r="T60" s="11">
        <f>$B$5/$B$6*S59+(1-$B$5/$B$6)*T59+$B$5/$B$6*(1-INDEX(HubTail,25))*($T$85-$S$85)</f>
        <v/>
      </c>
      <c r="U60" s="11">
        <f>$B$5/$B$6*T59+(1-$B$5/$B$6)*U59+$B$5/$B$6*(1-INDEX(HubTail,25))*($U$85-$T$85)</f>
        <v/>
      </c>
    </row>
    <row r="61">
      <c r="A61" s="10" t="n">
        <v>28</v>
      </c>
      <c r="B61" s="11">
        <f>1-_xlfn.POISSON.DIST(27,$B$6*$B$7,TRUE)</f>
        <v/>
      </c>
      <c r="D61" s="10" t="n">
        <v>22</v>
      </c>
      <c r="E61" s="11">
        <f>$B$17*22/$B$6*(1-INDEX(HubTail,24))-$B$17*$B$7*(1-INDEX(HubTail,23))</f>
        <v/>
      </c>
      <c r="F61" s="11">
        <f>INDEX(HubTail,23)*$B$18*$B$7-INDEX(HubTail,24)*$B$18*22/$B$6+$B$18*$B$8</f>
        <v/>
      </c>
      <c r="G61" s="11">
        <f>$B$5/$B$6*F60+(1-$B$5/$B$6)*G60+$B$5/$B$6*(1-INDEX(HubTail,24))*($G$85-$F$85)</f>
        <v/>
      </c>
      <c r="H61" s="11">
        <f>$B$5/$B$6*G60+(1-$B$5/$B$6)*H60+$B$5/$B$6*(1-INDEX(HubTail,24))*($H$85-$G$85)</f>
        <v/>
      </c>
      <c r="I61" s="11">
        <f>$B$5/$B$6*H60+(1-$B$5/$B$6)*I60+$B$5/$B$6*(1-INDEX(HubTail,24))*($I$85-$H$85)</f>
        <v/>
      </c>
      <c r="J61" s="11">
        <f>$B$5/$B$6*I60+(1-$B$5/$B$6)*J60+$B$5/$B$6*(1-INDEX(HubTail,24))*($J$85-$I$85)</f>
        <v/>
      </c>
      <c r="K61" s="11">
        <f>$B$5/$B$6*J60+(1-$B$5/$B$6)*K60+$B$5/$B$6*(1-INDEX(HubTail,24))*($K$85-$J$85)</f>
        <v/>
      </c>
      <c r="L61" s="11">
        <f>$B$5/$B$6*K60+(1-$B$5/$B$6)*L60+$B$5/$B$6*(1-INDEX(HubTail,24))*($L$85-$K$85)</f>
        <v/>
      </c>
      <c r="M61" s="10" t="n">
        <v>22</v>
      </c>
      <c r="N61" s="11">
        <f>$C$17*22/$B$6*(1-INDEX(HubTail,24))-$C$17*$B$7*(1-INDEX(HubTail,23))</f>
        <v/>
      </c>
      <c r="O61" s="11">
        <f>INDEX(HubTail,23)*$C$18*$B$7-INDEX(HubTail,24)*$C$18*22/$B$6+$C$18*$B$8</f>
        <v/>
      </c>
      <c r="P61" s="11">
        <f>$B$5/$B$6*O60+(1-$B$5/$B$6)*P60+$B$5/$B$6*(1-INDEX(HubTail,24))*($P$85-$O$85)</f>
        <v/>
      </c>
      <c r="Q61" s="11">
        <f>$B$5/$B$6*P60+(1-$B$5/$B$6)*Q60+$B$5/$B$6*(1-INDEX(HubTail,24))*($Q$85-$P$85)</f>
        <v/>
      </c>
      <c r="R61" s="11">
        <f>$B$5/$B$6*Q60+(1-$B$5/$B$6)*R60+$B$5/$B$6*(1-INDEX(HubTail,24))*($R$85-$Q$85)</f>
        <v/>
      </c>
      <c r="S61" s="11">
        <f>$B$5/$B$6*R60+(1-$B$5/$B$6)*S60+$B$5/$B$6*(1-INDEX(HubTail,24))*($S$85-$R$85)</f>
        <v/>
      </c>
      <c r="T61" s="11">
        <f>$B$5/$B$6*S60+(1-$B$5/$B$6)*T60+$B$5/$B$6*(1-INDEX(HubTail,24))*($T$85-$S$85)</f>
        <v/>
      </c>
      <c r="U61" s="11">
        <f>$B$5/$B$6*T60+(1-$B$5/$B$6)*U60+$B$5/$B$6*(1-INDEX(HubTail,24))*($U$85-$T$85)</f>
        <v/>
      </c>
    </row>
    <row r="62">
      <c r="A62" s="10" t="n">
        <v>29</v>
      </c>
      <c r="B62" s="11">
        <f>1-_xlfn.POISSON.DIST(28,$B$6*$B$7,TRUE)</f>
        <v/>
      </c>
      <c r="D62" s="10" t="n">
        <v>21</v>
      </c>
      <c r="E62" s="11">
        <f>$B$17*21/$B$6*(1-INDEX(HubTail,23))-$B$17*$B$7*(1-INDEX(HubTail,22))</f>
        <v/>
      </c>
      <c r="F62" s="11">
        <f>INDEX(HubTail,22)*$B$18*$B$7-INDEX(HubTail,23)*$B$18*21/$B$6+$B$18*$B$8</f>
        <v/>
      </c>
      <c r="G62" s="11">
        <f>$B$5/$B$6*F61+(1-$B$5/$B$6)*G61+$B$5/$B$6*(1-INDEX(HubTail,23))*($G$85-$F$85)</f>
        <v/>
      </c>
      <c r="H62" s="11">
        <f>$B$5/$B$6*G61+(1-$B$5/$B$6)*H61+$B$5/$B$6*(1-INDEX(HubTail,23))*($H$85-$G$85)</f>
        <v/>
      </c>
      <c r="I62" s="11">
        <f>$B$5/$B$6*H61+(1-$B$5/$B$6)*I61+$B$5/$B$6*(1-INDEX(HubTail,23))*($I$85-$H$85)</f>
        <v/>
      </c>
      <c r="J62" s="11">
        <f>$B$5/$B$6*I61+(1-$B$5/$B$6)*J61+$B$5/$B$6*(1-INDEX(HubTail,23))*($J$85-$I$85)</f>
        <v/>
      </c>
      <c r="K62" s="11">
        <f>$B$5/$B$6*J61+(1-$B$5/$B$6)*K61+$B$5/$B$6*(1-INDEX(HubTail,23))*($K$85-$J$85)</f>
        <v/>
      </c>
      <c r="L62" s="11">
        <f>$B$5/$B$6*K61+(1-$B$5/$B$6)*L61+$B$5/$B$6*(1-INDEX(HubTail,23))*($L$85-$K$85)</f>
        <v/>
      </c>
      <c r="M62" s="10" t="n">
        <v>21</v>
      </c>
      <c r="N62" s="11">
        <f>$C$17*21/$B$6*(1-INDEX(HubTail,23))-$C$17*$B$7*(1-INDEX(HubTail,22))</f>
        <v/>
      </c>
      <c r="O62" s="11">
        <f>INDEX(HubTail,22)*$C$18*$B$7-INDEX(HubTail,23)*$C$18*21/$B$6+$C$18*$B$8</f>
        <v/>
      </c>
      <c r="P62" s="11">
        <f>$B$5/$B$6*O61+(1-$B$5/$B$6)*P61+$B$5/$B$6*(1-INDEX(HubTail,23))*($P$85-$O$85)</f>
        <v/>
      </c>
      <c r="Q62" s="11">
        <f>$B$5/$B$6*P61+(1-$B$5/$B$6)*Q61+$B$5/$B$6*(1-INDEX(HubTail,23))*($Q$85-$P$85)</f>
        <v/>
      </c>
      <c r="R62" s="11">
        <f>$B$5/$B$6*Q61+(1-$B$5/$B$6)*R61+$B$5/$B$6*(1-INDEX(HubTail,23))*($R$85-$Q$85)</f>
        <v/>
      </c>
      <c r="S62" s="11">
        <f>$B$5/$B$6*R61+(1-$B$5/$B$6)*S61+$B$5/$B$6*(1-INDEX(HubTail,23))*($S$85-$R$85)</f>
        <v/>
      </c>
      <c r="T62" s="11">
        <f>$B$5/$B$6*S61+(1-$B$5/$B$6)*T61+$B$5/$B$6*(1-INDEX(HubTail,23))*($T$85-$S$85)</f>
        <v/>
      </c>
      <c r="U62" s="11">
        <f>$B$5/$B$6*T61+(1-$B$5/$B$6)*U61+$B$5/$B$6*(1-INDEX(HubTail,23))*($U$85-$T$85)</f>
        <v/>
      </c>
    </row>
    <row r="63">
      <c r="A63" s="10" t="n">
        <v>30</v>
      </c>
      <c r="B63" s="11">
        <f>1-_xlfn.POISSON.DIST(29,$B$6*$B$7,TRUE)</f>
        <v/>
      </c>
      <c r="D63" s="10" t="n">
        <v>20</v>
      </c>
      <c r="E63" s="11">
        <f>$B$17*20/$B$6*(1-INDEX(HubTail,22))-$B$17*$B$7*(1-INDEX(HubTail,21))</f>
        <v/>
      </c>
      <c r="F63" s="11">
        <f>INDEX(HubTail,21)*$B$18*$B$7-INDEX(HubTail,22)*$B$18*20/$B$6+$B$18*$B$8</f>
        <v/>
      </c>
      <c r="G63" s="11">
        <f>$B$5/$B$6*F62+(1-$B$5/$B$6)*G62+$B$5/$B$6*(1-INDEX(HubTail,22))*($G$85-$F$85)</f>
        <v/>
      </c>
      <c r="H63" s="11">
        <f>$B$5/$B$6*G62+(1-$B$5/$B$6)*H62+$B$5/$B$6*(1-INDEX(HubTail,22))*($H$85-$G$85)</f>
        <v/>
      </c>
      <c r="I63" s="11">
        <f>$B$5/$B$6*H62+(1-$B$5/$B$6)*I62+$B$5/$B$6*(1-INDEX(HubTail,22))*($I$85-$H$85)</f>
        <v/>
      </c>
      <c r="J63" s="11">
        <f>$B$5/$B$6*I62+(1-$B$5/$B$6)*J62+$B$5/$B$6*(1-INDEX(HubTail,22))*($J$85-$I$85)</f>
        <v/>
      </c>
      <c r="K63" s="11">
        <f>$B$5/$B$6*J62+(1-$B$5/$B$6)*K62+$B$5/$B$6*(1-INDEX(HubTail,22))*($K$85-$J$85)</f>
        <v/>
      </c>
      <c r="L63" s="11">
        <f>$B$5/$B$6*K62+(1-$B$5/$B$6)*L62+$B$5/$B$6*(1-INDEX(HubTail,22))*($L$85-$K$85)</f>
        <v/>
      </c>
      <c r="M63" s="10" t="n">
        <v>20</v>
      </c>
      <c r="N63" s="11">
        <f>$C$17*20/$B$6*(1-INDEX(HubTail,22))-$C$17*$B$7*(1-INDEX(HubTail,21))</f>
        <v/>
      </c>
      <c r="O63" s="11">
        <f>INDEX(HubTail,21)*$C$18*$B$7-INDEX(HubTail,22)*$C$18*20/$B$6+$C$18*$B$8</f>
        <v/>
      </c>
      <c r="P63" s="11">
        <f>$B$5/$B$6*O62+(1-$B$5/$B$6)*P62+$B$5/$B$6*(1-INDEX(HubTail,22))*($P$85-$O$85)</f>
        <v/>
      </c>
      <c r="Q63" s="11">
        <f>$B$5/$B$6*P62+(1-$B$5/$B$6)*Q62+$B$5/$B$6*(1-INDEX(HubTail,22))*($Q$85-$P$85)</f>
        <v/>
      </c>
      <c r="R63" s="11">
        <f>$B$5/$B$6*Q62+(1-$B$5/$B$6)*R62+$B$5/$B$6*(1-INDEX(HubTail,22))*($R$85-$Q$85)</f>
        <v/>
      </c>
      <c r="S63" s="11">
        <f>$B$5/$B$6*R62+(1-$B$5/$B$6)*S62+$B$5/$B$6*(1-INDEX(HubTail,22))*($S$85-$R$85)</f>
        <v/>
      </c>
      <c r="T63" s="11">
        <f>$B$5/$B$6*S62+(1-$B$5/$B$6)*T62+$B$5/$B$6*(1-INDEX(HubTail,22))*($T$85-$S$85)</f>
        <v/>
      </c>
      <c r="U63" s="11">
        <f>$B$5/$B$6*T62+(1-$B$5/$B$6)*U62+$B$5/$B$6*(1-INDEX(HubTail,22))*($U$85-$T$85)</f>
        <v/>
      </c>
    </row>
    <row r="64">
      <c r="A64" s="10" t="n">
        <v>31</v>
      </c>
      <c r="B64" s="11">
        <f>1-_xlfn.POISSON.DIST(30,$B$6*$B$7,TRUE)</f>
        <v/>
      </c>
      <c r="D64" s="10" t="n">
        <v>19</v>
      </c>
      <c r="E64" s="11">
        <f>$B$17*19/$B$6*(1-INDEX(HubTail,21))-$B$17*$B$7*(1-INDEX(HubTail,20))</f>
        <v/>
      </c>
      <c r="F64" s="11">
        <f>INDEX(HubTail,20)*$B$18*$B$7-INDEX(HubTail,21)*$B$18*19/$B$6+$B$18*$B$8</f>
        <v/>
      </c>
      <c r="G64" s="11">
        <f>$B$5/$B$6*F63+(1-$B$5/$B$6)*G63+$B$5/$B$6*(1-INDEX(HubTail,21))*($G$85-$F$85)</f>
        <v/>
      </c>
      <c r="H64" s="11">
        <f>$B$5/$B$6*G63+(1-$B$5/$B$6)*H63+$B$5/$B$6*(1-INDEX(HubTail,21))*($H$85-$G$85)</f>
        <v/>
      </c>
      <c r="I64" s="11">
        <f>$B$5/$B$6*H63+(1-$B$5/$B$6)*I63+$B$5/$B$6*(1-INDEX(HubTail,21))*($I$85-$H$85)</f>
        <v/>
      </c>
      <c r="J64" s="11">
        <f>$B$5/$B$6*I63+(1-$B$5/$B$6)*J63+$B$5/$B$6*(1-INDEX(HubTail,21))*($J$85-$I$85)</f>
        <v/>
      </c>
      <c r="K64" s="11">
        <f>$B$5/$B$6*J63+(1-$B$5/$B$6)*K63+$B$5/$B$6*(1-INDEX(HubTail,21))*($K$85-$J$85)</f>
        <v/>
      </c>
      <c r="L64" s="11">
        <f>$B$5/$B$6*K63+(1-$B$5/$B$6)*L63+$B$5/$B$6*(1-INDEX(HubTail,21))*($L$85-$K$85)</f>
        <v/>
      </c>
      <c r="M64" s="10" t="n">
        <v>19</v>
      </c>
      <c r="N64" s="11">
        <f>$C$17*19/$B$6*(1-INDEX(HubTail,21))-$C$17*$B$7*(1-INDEX(HubTail,20))</f>
        <v/>
      </c>
      <c r="O64" s="11">
        <f>INDEX(HubTail,20)*$C$18*$B$7-INDEX(HubTail,21)*$C$18*19/$B$6+$C$18*$B$8</f>
        <v/>
      </c>
      <c r="P64" s="11">
        <f>$B$5/$B$6*O63+(1-$B$5/$B$6)*P63+$B$5/$B$6*(1-INDEX(HubTail,21))*($P$85-$O$85)</f>
        <v/>
      </c>
      <c r="Q64" s="11">
        <f>$B$5/$B$6*P63+(1-$B$5/$B$6)*Q63+$B$5/$B$6*(1-INDEX(HubTail,21))*($Q$85-$P$85)</f>
        <v/>
      </c>
      <c r="R64" s="11">
        <f>$B$5/$B$6*Q63+(1-$B$5/$B$6)*R63+$B$5/$B$6*(1-INDEX(HubTail,21))*($R$85-$Q$85)</f>
        <v/>
      </c>
      <c r="S64" s="11">
        <f>$B$5/$B$6*R63+(1-$B$5/$B$6)*S63+$B$5/$B$6*(1-INDEX(HubTail,21))*($S$85-$R$85)</f>
        <v/>
      </c>
      <c r="T64" s="11">
        <f>$B$5/$B$6*S63+(1-$B$5/$B$6)*T63+$B$5/$B$6*(1-INDEX(HubTail,21))*($T$85-$S$85)</f>
        <v/>
      </c>
      <c r="U64" s="11">
        <f>$B$5/$B$6*T63+(1-$B$5/$B$6)*U63+$B$5/$B$6*(1-INDEX(HubTail,21))*($U$85-$T$85)</f>
        <v/>
      </c>
    </row>
    <row r="65">
      <c r="A65" s="10" t="n">
        <v>32</v>
      </c>
      <c r="B65" s="11">
        <f>1-_xlfn.POISSON.DIST(31,$B$6*$B$7,TRUE)</f>
        <v/>
      </c>
      <c r="D65" s="10" t="n">
        <v>18</v>
      </c>
      <c r="E65" s="11">
        <f>$B$17*18/$B$6*(1-INDEX(HubTail,20))-$B$17*$B$7*(1-INDEX(HubTail,19))</f>
        <v/>
      </c>
      <c r="F65" s="11">
        <f>INDEX(HubTail,19)*$B$18*$B$7-INDEX(HubTail,20)*$B$18*18/$B$6+$B$18*$B$8</f>
        <v/>
      </c>
      <c r="G65" s="11">
        <f>$B$5/$B$6*F64+(1-$B$5/$B$6)*G64+$B$5/$B$6*(1-INDEX(HubTail,20))*($G$85-$F$85)</f>
        <v/>
      </c>
      <c r="H65" s="11">
        <f>$B$5/$B$6*G64+(1-$B$5/$B$6)*H64+$B$5/$B$6*(1-INDEX(HubTail,20))*($H$85-$G$85)</f>
        <v/>
      </c>
      <c r="I65" s="11">
        <f>$B$5/$B$6*H64+(1-$B$5/$B$6)*I64+$B$5/$B$6*(1-INDEX(HubTail,20))*($I$85-$H$85)</f>
        <v/>
      </c>
      <c r="J65" s="11">
        <f>$B$5/$B$6*I64+(1-$B$5/$B$6)*J64+$B$5/$B$6*(1-INDEX(HubTail,20))*($J$85-$I$85)</f>
        <v/>
      </c>
      <c r="K65" s="11">
        <f>$B$5/$B$6*J64+(1-$B$5/$B$6)*K64+$B$5/$B$6*(1-INDEX(HubTail,20))*($K$85-$J$85)</f>
        <v/>
      </c>
      <c r="L65" s="11">
        <f>$B$5/$B$6*K64+(1-$B$5/$B$6)*L64+$B$5/$B$6*(1-INDEX(HubTail,20))*($L$85-$K$85)</f>
        <v/>
      </c>
      <c r="M65" s="10" t="n">
        <v>18</v>
      </c>
      <c r="N65" s="11">
        <f>$C$17*18/$B$6*(1-INDEX(HubTail,20))-$C$17*$B$7*(1-INDEX(HubTail,19))</f>
        <v/>
      </c>
      <c r="O65" s="11">
        <f>INDEX(HubTail,19)*$C$18*$B$7-INDEX(HubTail,20)*$C$18*18/$B$6+$C$18*$B$8</f>
        <v/>
      </c>
      <c r="P65" s="11">
        <f>$B$5/$B$6*O64+(1-$B$5/$B$6)*P64+$B$5/$B$6*(1-INDEX(HubTail,20))*($P$85-$O$85)</f>
        <v/>
      </c>
      <c r="Q65" s="11">
        <f>$B$5/$B$6*P64+(1-$B$5/$B$6)*Q64+$B$5/$B$6*(1-INDEX(HubTail,20))*($Q$85-$P$85)</f>
        <v/>
      </c>
      <c r="R65" s="11">
        <f>$B$5/$B$6*Q64+(1-$B$5/$B$6)*R64+$B$5/$B$6*(1-INDEX(HubTail,20))*($R$85-$Q$85)</f>
        <v/>
      </c>
      <c r="S65" s="11">
        <f>$B$5/$B$6*R64+(1-$B$5/$B$6)*S64+$B$5/$B$6*(1-INDEX(HubTail,20))*($S$85-$R$85)</f>
        <v/>
      </c>
      <c r="T65" s="11">
        <f>$B$5/$B$6*S64+(1-$B$5/$B$6)*T64+$B$5/$B$6*(1-INDEX(HubTail,20))*($T$85-$S$85)</f>
        <v/>
      </c>
      <c r="U65" s="11">
        <f>$B$5/$B$6*T64+(1-$B$5/$B$6)*U64+$B$5/$B$6*(1-INDEX(HubTail,20))*($U$85-$T$85)</f>
        <v/>
      </c>
    </row>
    <row r="66">
      <c r="A66" s="10" t="n">
        <v>33</v>
      </c>
      <c r="B66" s="11">
        <f>1-_xlfn.POISSON.DIST(32,$B$6*$B$7,TRUE)</f>
        <v/>
      </c>
      <c r="D66" s="10" t="n">
        <v>17</v>
      </c>
      <c r="E66" s="11">
        <f>$B$17*17/$B$6*(1-INDEX(HubTail,19))-$B$17*$B$7*(1-INDEX(HubTail,18))</f>
        <v/>
      </c>
      <c r="F66" s="11">
        <f>INDEX(HubTail,18)*$B$18*$B$7-INDEX(HubTail,19)*$B$18*17/$B$6+$B$18*$B$8</f>
        <v/>
      </c>
      <c r="G66" s="11">
        <f>$B$5/$B$6*F65+(1-$B$5/$B$6)*G65+$B$5/$B$6*(1-INDEX(HubTail,19))*($G$85-$F$85)</f>
        <v/>
      </c>
      <c r="H66" s="11">
        <f>$B$5/$B$6*G65+(1-$B$5/$B$6)*H65+$B$5/$B$6*(1-INDEX(HubTail,19))*($H$85-$G$85)</f>
        <v/>
      </c>
      <c r="I66" s="11">
        <f>$B$5/$B$6*H65+(1-$B$5/$B$6)*I65+$B$5/$B$6*(1-INDEX(HubTail,19))*($I$85-$H$85)</f>
        <v/>
      </c>
      <c r="J66" s="11">
        <f>$B$5/$B$6*I65+(1-$B$5/$B$6)*J65+$B$5/$B$6*(1-INDEX(HubTail,19))*($J$85-$I$85)</f>
        <v/>
      </c>
      <c r="K66" s="11">
        <f>$B$5/$B$6*J65+(1-$B$5/$B$6)*K65+$B$5/$B$6*(1-INDEX(HubTail,19))*($K$85-$J$85)</f>
        <v/>
      </c>
      <c r="L66" s="11">
        <f>$B$5/$B$6*K65+(1-$B$5/$B$6)*L65+$B$5/$B$6*(1-INDEX(HubTail,19))*($L$85-$K$85)</f>
        <v/>
      </c>
      <c r="M66" s="10" t="n">
        <v>17</v>
      </c>
      <c r="N66" s="11">
        <f>$C$17*17/$B$6*(1-INDEX(HubTail,19))-$C$17*$B$7*(1-INDEX(HubTail,18))</f>
        <v/>
      </c>
      <c r="O66" s="11">
        <f>INDEX(HubTail,18)*$C$18*$B$7-INDEX(HubTail,19)*$C$18*17/$B$6+$C$18*$B$8</f>
        <v/>
      </c>
      <c r="P66" s="11">
        <f>$B$5/$B$6*O65+(1-$B$5/$B$6)*P65+$B$5/$B$6*(1-INDEX(HubTail,19))*($P$85-$O$85)</f>
        <v/>
      </c>
      <c r="Q66" s="11">
        <f>$B$5/$B$6*P65+(1-$B$5/$B$6)*Q65+$B$5/$B$6*(1-INDEX(HubTail,19))*($Q$85-$P$85)</f>
        <v/>
      </c>
      <c r="R66" s="11">
        <f>$B$5/$B$6*Q65+(1-$B$5/$B$6)*R65+$B$5/$B$6*(1-INDEX(HubTail,19))*($R$85-$Q$85)</f>
        <v/>
      </c>
      <c r="S66" s="11">
        <f>$B$5/$B$6*R65+(1-$B$5/$B$6)*S65+$B$5/$B$6*(1-INDEX(HubTail,19))*($S$85-$R$85)</f>
        <v/>
      </c>
      <c r="T66" s="11">
        <f>$B$5/$B$6*S65+(1-$B$5/$B$6)*T65+$B$5/$B$6*(1-INDEX(HubTail,19))*($T$85-$S$85)</f>
        <v/>
      </c>
      <c r="U66" s="11">
        <f>$B$5/$B$6*T65+(1-$B$5/$B$6)*U65+$B$5/$B$6*(1-INDEX(HubTail,19))*($U$85-$T$85)</f>
        <v/>
      </c>
    </row>
    <row r="67">
      <c r="A67" s="10" t="n">
        <v>34</v>
      </c>
      <c r="B67" s="11">
        <f>1-_xlfn.POISSON.DIST(33,$B$6*$B$7,TRUE)</f>
        <v/>
      </c>
      <c r="D67" s="10" t="n">
        <v>16</v>
      </c>
      <c r="E67" s="11">
        <f>$B$17*16/$B$6*(1-INDEX(HubTail,18))-$B$17*$B$7*(1-INDEX(HubTail,17))</f>
        <v/>
      </c>
      <c r="F67" s="11">
        <f>INDEX(HubTail,17)*$B$18*$B$7-INDEX(HubTail,18)*$B$18*16/$B$6+$B$18*$B$8</f>
        <v/>
      </c>
      <c r="G67" s="11">
        <f>$B$5/$B$6*F66+(1-$B$5/$B$6)*G66+$B$5/$B$6*(1-INDEX(HubTail,18))*($G$85-$F$85)</f>
        <v/>
      </c>
      <c r="H67" s="11">
        <f>$B$5/$B$6*G66+(1-$B$5/$B$6)*H66+$B$5/$B$6*(1-INDEX(HubTail,18))*($H$85-$G$85)</f>
        <v/>
      </c>
      <c r="I67" s="11">
        <f>$B$5/$B$6*H66+(1-$B$5/$B$6)*I66+$B$5/$B$6*(1-INDEX(HubTail,18))*($I$85-$H$85)</f>
        <v/>
      </c>
      <c r="J67" s="11">
        <f>$B$5/$B$6*I66+(1-$B$5/$B$6)*J66+$B$5/$B$6*(1-INDEX(HubTail,18))*($J$85-$I$85)</f>
        <v/>
      </c>
      <c r="K67" s="11">
        <f>$B$5/$B$6*J66+(1-$B$5/$B$6)*K66+$B$5/$B$6*(1-INDEX(HubTail,18))*($K$85-$J$85)</f>
        <v/>
      </c>
      <c r="L67" s="11">
        <f>$B$5/$B$6*K66+(1-$B$5/$B$6)*L66+$B$5/$B$6*(1-INDEX(HubTail,18))*($L$85-$K$85)</f>
        <v/>
      </c>
      <c r="M67" s="10" t="n">
        <v>16</v>
      </c>
      <c r="N67" s="11">
        <f>$C$17*16/$B$6*(1-INDEX(HubTail,18))-$C$17*$B$7*(1-INDEX(HubTail,17))</f>
        <v/>
      </c>
      <c r="O67" s="11">
        <f>INDEX(HubTail,17)*$C$18*$B$7-INDEX(HubTail,18)*$C$18*16/$B$6+$C$18*$B$8</f>
        <v/>
      </c>
      <c r="P67" s="11">
        <f>$B$5/$B$6*O66+(1-$B$5/$B$6)*P66+$B$5/$B$6*(1-INDEX(HubTail,18))*($P$85-$O$85)</f>
        <v/>
      </c>
      <c r="Q67" s="11">
        <f>$B$5/$B$6*P66+(1-$B$5/$B$6)*Q66+$B$5/$B$6*(1-INDEX(HubTail,18))*($Q$85-$P$85)</f>
        <v/>
      </c>
      <c r="R67" s="11">
        <f>$B$5/$B$6*Q66+(1-$B$5/$B$6)*R66+$B$5/$B$6*(1-INDEX(HubTail,18))*($R$85-$Q$85)</f>
        <v/>
      </c>
      <c r="S67" s="11">
        <f>$B$5/$B$6*R66+(1-$B$5/$B$6)*S66+$B$5/$B$6*(1-INDEX(HubTail,18))*($S$85-$R$85)</f>
        <v/>
      </c>
      <c r="T67" s="11">
        <f>$B$5/$B$6*S66+(1-$B$5/$B$6)*T66+$B$5/$B$6*(1-INDEX(HubTail,18))*($T$85-$S$85)</f>
        <v/>
      </c>
      <c r="U67" s="11">
        <f>$B$5/$B$6*T66+(1-$B$5/$B$6)*U66+$B$5/$B$6*(1-INDEX(HubTail,18))*($U$85-$T$85)</f>
        <v/>
      </c>
    </row>
    <row r="68">
      <c r="A68" s="10" t="n">
        <v>35</v>
      </c>
      <c r="B68" s="11">
        <f>1-_xlfn.POISSON.DIST(34,$B$6*$B$7,TRUE)</f>
        <v/>
      </c>
      <c r="D68" s="10" t="n">
        <v>15</v>
      </c>
      <c r="E68" s="11">
        <f>$B$17*15/$B$6*(1-INDEX(HubTail,17))-$B$17*$B$7*(1-INDEX(HubTail,16))</f>
        <v/>
      </c>
      <c r="F68" s="11">
        <f>INDEX(HubTail,16)*$B$18*$B$7-INDEX(HubTail,17)*$B$18*15/$B$6+$B$18*$B$8</f>
        <v/>
      </c>
      <c r="G68" s="11">
        <f>$B$5/$B$6*F67+(1-$B$5/$B$6)*G67+$B$5/$B$6*(1-INDEX(HubTail,17))*($G$85-$F$85)</f>
        <v/>
      </c>
      <c r="H68" s="11">
        <f>$B$5/$B$6*G67+(1-$B$5/$B$6)*H67+$B$5/$B$6*(1-INDEX(HubTail,17))*($H$85-$G$85)</f>
        <v/>
      </c>
      <c r="I68" s="11">
        <f>$B$5/$B$6*H67+(1-$B$5/$B$6)*I67+$B$5/$B$6*(1-INDEX(HubTail,17))*($I$85-$H$85)</f>
        <v/>
      </c>
      <c r="J68" s="11">
        <f>$B$5/$B$6*I67+(1-$B$5/$B$6)*J67+$B$5/$B$6*(1-INDEX(HubTail,17))*($J$85-$I$85)</f>
        <v/>
      </c>
      <c r="K68" s="11">
        <f>$B$5/$B$6*J67+(1-$B$5/$B$6)*K67+$B$5/$B$6*(1-INDEX(HubTail,17))*($K$85-$J$85)</f>
        <v/>
      </c>
      <c r="L68" s="11">
        <f>$B$5/$B$6*K67+(1-$B$5/$B$6)*L67+$B$5/$B$6*(1-INDEX(HubTail,17))*($L$85-$K$85)</f>
        <v/>
      </c>
      <c r="M68" s="10" t="n">
        <v>15</v>
      </c>
      <c r="N68" s="11">
        <f>$C$17*15/$B$6*(1-INDEX(HubTail,17))-$C$17*$B$7*(1-INDEX(HubTail,16))</f>
        <v/>
      </c>
      <c r="O68" s="11">
        <f>INDEX(HubTail,16)*$C$18*$B$7-INDEX(HubTail,17)*$C$18*15/$B$6+$C$18*$B$8</f>
        <v/>
      </c>
      <c r="P68" s="11">
        <f>$B$5/$B$6*O67+(1-$B$5/$B$6)*P67+$B$5/$B$6*(1-INDEX(HubTail,17))*($P$85-$O$85)</f>
        <v/>
      </c>
      <c r="Q68" s="11">
        <f>$B$5/$B$6*P67+(1-$B$5/$B$6)*Q67+$B$5/$B$6*(1-INDEX(HubTail,17))*($Q$85-$P$85)</f>
        <v/>
      </c>
      <c r="R68" s="11">
        <f>$B$5/$B$6*Q67+(1-$B$5/$B$6)*R67+$B$5/$B$6*(1-INDEX(HubTail,17))*($R$85-$Q$85)</f>
        <v/>
      </c>
      <c r="S68" s="11">
        <f>$B$5/$B$6*R67+(1-$B$5/$B$6)*S67+$B$5/$B$6*(1-INDEX(HubTail,17))*($S$85-$R$85)</f>
        <v/>
      </c>
      <c r="T68" s="11">
        <f>$B$5/$B$6*S67+(1-$B$5/$B$6)*T67+$B$5/$B$6*(1-INDEX(HubTail,17))*($T$85-$S$85)</f>
        <v/>
      </c>
      <c r="U68" s="11">
        <f>$B$5/$B$6*T67+(1-$B$5/$B$6)*U67+$B$5/$B$6*(1-INDEX(HubTail,17))*($U$85-$T$85)</f>
        <v/>
      </c>
    </row>
    <row r="69">
      <c r="A69" s="10" t="n">
        <v>36</v>
      </c>
      <c r="B69" s="11">
        <f>1-_xlfn.POISSON.DIST(35,$B$6*$B$7,TRUE)</f>
        <v/>
      </c>
      <c r="D69" s="10" t="n">
        <v>14</v>
      </c>
      <c r="E69" s="11">
        <f>$B$17*14/$B$6*(1-INDEX(HubTail,16))-$B$17*$B$7*(1-INDEX(HubTail,15))</f>
        <v/>
      </c>
      <c r="F69" s="11">
        <f>INDEX(HubTail,15)*$B$18*$B$7-INDEX(HubTail,16)*$B$18*14/$B$6+$B$18*$B$8</f>
        <v/>
      </c>
      <c r="G69" s="11">
        <f>$B$5/$B$6*F68+(1-$B$5/$B$6)*G68+$B$5/$B$6*(1-INDEX(HubTail,16))*($G$85-$F$85)</f>
        <v/>
      </c>
      <c r="H69" s="11">
        <f>$B$5/$B$6*G68+(1-$B$5/$B$6)*H68+$B$5/$B$6*(1-INDEX(HubTail,16))*($H$85-$G$85)</f>
        <v/>
      </c>
      <c r="I69" s="11">
        <f>$B$5/$B$6*H68+(1-$B$5/$B$6)*I68+$B$5/$B$6*(1-INDEX(HubTail,16))*($I$85-$H$85)</f>
        <v/>
      </c>
      <c r="J69" s="11">
        <f>$B$5/$B$6*I68+(1-$B$5/$B$6)*J68+$B$5/$B$6*(1-INDEX(HubTail,16))*($J$85-$I$85)</f>
        <v/>
      </c>
      <c r="K69" s="11">
        <f>$B$5/$B$6*J68+(1-$B$5/$B$6)*K68+$B$5/$B$6*(1-INDEX(HubTail,16))*($K$85-$J$85)</f>
        <v/>
      </c>
      <c r="L69" s="11">
        <f>$B$5/$B$6*K68+(1-$B$5/$B$6)*L68+$B$5/$B$6*(1-INDEX(HubTail,16))*($L$85-$K$85)</f>
        <v/>
      </c>
      <c r="M69" s="10" t="n">
        <v>14</v>
      </c>
      <c r="N69" s="11">
        <f>$C$17*14/$B$6*(1-INDEX(HubTail,16))-$C$17*$B$7*(1-INDEX(HubTail,15))</f>
        <v/>
      </c>
      <c r="O69" s="11">
        <f>INDEX(HubTail,15)*$C$18*$B$7-INDEX(HubTail,16)*$C$18*14/$B$6+$C$18*$B$8</f>
        <v/>
      </c>
      <c r="P69" s="11">
        <f>$B$5/$B$6*O68+(1-$B$5/$B$6)*P68+$B$5/$B$6*(1-INDEX(HubTail,16))*($P$85-$O$85)</f>
        <v/>
      </c>
      <c r="Q69" s="11">
        <f>$B$5/$B$6*P68+(1-$B$5/$B$6)*Q68+$B$5/$B$6*(1-INDEX(HubTail,16))*($Q$85-$P$85)</f>
        <v/>
      </c>
      <c r="R69" s="11">
        <f>$B$5/$B$6*Q68+(1-$B$5/$B$6)*R68+$B$5/$B$6*(1-INDEX(HubTail,16))*($R$85-$Q$85)</f>
        <v/>
      </c>
      <c r="S69" s="11">
        <f>$B$5/$B$6*R68+(1-$B$5/$B$6)*S68+$B$5/$B$6*(1-INDEX(HubTail,16))*($S$85-$R$85)</f>
        <v/>
      </c>
      <c r="T69" s="11">
        <f>$B$5/$B$6*S68+(1-$B$5/$B$6)*T68+$B$5/$B$6*(1-INDEX(HubTail,16))*($T$85-$S$85)</f>
        <v/>
      </c>
      <c r="U69" s="11">
        <f>$B$5/$B$6*T68+(1-$B$5/$B$6)*U68+$B$5/$B$6*(1-INDEX(HubTail,16))*($U$85-$T$85)</f>
        <v/>
      </c>
    </row>
    <row r="70">
      <c r="A70" s="10" t="n">
        <v>37</v>
      </c>
      <c r="B70" s="11">
        <f>1-_xlfn.POISSON.DIST(36,$B$6*$B$7,TRUE)</f>
        <v/>
      </c>
      <c r="D70" s="10" t="n">
        <v>13</v>
      </c>
      <c r="E70" s="11">
        <f>$B$17*13/$B$6*(1-INDEX(HubTail,15))-$B$17*$B$7*(1-INDEX(HubTail,14))</f>
        <v/>
      </c>
      <c r="F70" s="11">
        <f>INDEX(HubTail,14)*$B$18*$B$7-INDEX(HubTail,15)*$B$18*13/$B$6+$B$18*$B$8</f>
        <v/>
      </c>
      <c r="G70" s="11">
        <f>$B$5/$B$6*F69+(1-$B$5/$B$6)*G69+$B$5/$B$6*(1-INDEX(HubTail,15))*($G$85-$F$85)</f>
        <v/>
      </c>
      <c r="H70" s="11">
        <f>$B$5/$B$6*G69+(1-$B$5/$B$6)*H69+$B$5/$B$6*(1-INDEX(HubTail,15))*($H$85-$G$85)</f>
        <v/>
      </c>
      <c r="I70" s="11">
        <f>$B$5/$B$6*H69+(1-$B$5/$B$6)*I69+$B$5/$B$6*(1-INDEX(HubTail,15))*($I$85-$H$85)</f>
        <v/>
      </c>
      <c r="J70" s="11">
        <f>$B$5/$B$6*I69+(1-$B$5/$B$6)*J69+$B$5/$B$6*(1-INDEX(HubTail,15))*($J$85-$I$85)</f>
        <v/>
      </c>
      <c r="K70" s="11">
        <f>$B$5/$B$6*J69+(1-$B$5/$B$6)*K69+$B$5/$B$6*(1-INDEX(HubTail,15))*($K$85-$J$85)</f>
        <v/>
      </c>
      <c r="L70" s="11">
        <f>$B$5/$B$6*K69+(1-$B$5/$B$6)*L69+$B$5/$B$6*(1-INDEX(HubTail,15))*($L$85-$K$85)</f>
        <v/>
      </c>
      <c r="M70" s="10" t="n">
        <v>13</v>
      </c>
      <c r="N70" s="11">
        <f>$C$17*13/$B$6*(1-INDEX(HubTail,15))-$C$17*$B$7*(1-INDEX(HubTail,14))</f>
        <v/>
      </c>
      <c r="O70" s="11">
        <f>INDEX(HubTail,14)*$C$18*$B$7-INDEX(HubTail,15)*$C$18*13/$B$6+$C$18*$B$8</f>
        <v/>
      </c>
      <c r="P70" s="11">
        <f>$B$5/$B$6*O69+(1-$B$5/$B$6)*P69+$B$5/$B$6*(1-INDEX(HubTail,15))*($P$85-$O$85)</f>
        <v/>
      </c>
      <c r="Q70" s="11">
        <f>$B$5/$B$6*P69+(1-$B$5/$B$6)*Q69+$B$5/$B$6*(1-INDEX(HubTail,15))*($Q$85-$P$85)</f>
        <v/>
      </c>
      <c r="R70" s="11">
        <f>$B$5/$B$6*Q69+(1-$B$5/$B$6)*R69+$B$5/$B$6*(1-INDEX(HubTail,15))*($R$85-$Q$85)</f>
        <v/>
      </c>
      <c r="S70" s="11">
        <f>$B$5/$B$6*R69+(1-$B$5/$B$6)*S69+$B$5/$B$6*(1-INDEX(HubTail,15))*($S$85-$R$85)</f>
        <v/>
      </c>
      <c r="T70" s="11">
        <f>$B$5/$B$6*S69+(1-$B$5/$B$6)*T69+$B$5/$B$6*(1-INDEX(HubTail,15))*($T$85-$S$85)</f>
        <v/>
      </c>
      <c r="U70" s="11">
        <f>$B$5/$B$6*T69+(1-$B$5/$B$6)*U69+$B$5/$B$6*(1-INDEX(HubTail,15))*($U$85-$T$85)</f>
        <v/>
      </c>
    </row>
    <row r="71">
      <c r="A71" s="10" t="n">
        <v>38</v>
      </c>
      <c r="B71" s="11">
        <f>1-_xlfn.POISSON.DIST(37,$B$6*$B$7,TRUE)</f>
        <v/>
      </c>
      <c r="D71" s="10" t="n">
        <v>12</v>
      </c>
      <c r="E71" s="11">
        <f>$B$17*12/$B$6*(1-INDEX(HubTail,14))-$B$17*$B$7*(1-INDEX(HubTail,13))</f>
        <v/>
      </c>
      <c r="F71" s="11">
        <f>INDEX(HubTail,13)*$B$18*$B$7-INDEX(HubTail,14)*$B$18*12/$B$6+$B$18*$B$8</f>
        <v/>
      </c>
      <c r="G71" s="11">
        <f>$B$5/$B$6*F70+(1-$B$5/$B$6)*G70+$B$5/$B$6*(1-INDEX(HubTail,14))*($G$85-$F$85)</f>
        <v/>
      </c>
      <c r="H71" s="11">
        <f>$B$5/$B$6*G70+(1-$B$5/$B$6)*H70+$B$5/$B$6*(1-INDEX(HubTail,14))*($H$85-$G$85)</f>
        <v/>
      </c>
      <c r="I71" s="11">
        <f>$B$5/$B$6*H70+(1-$B$5/$B$6)*I70+$B$5/$B$6*(1-INDEX(HubTail,14))*($I$85-$H$85)</f>
        <v/>
      </c>
      <c r="J71" s="11">
        <f>$B$5/$B$6*I70+(1-$B$5/$B$6)*J70+$B$5/$B$6*(1-INDEX(HubTail,14))*($J$85-$I$85)</f>
        <v/>
      </c>
      <c r="K71" s="11">
        <f>$B$5/$B$6*J70+(1-$B$5/$B$6)*K70+$B$5/$B$6*(1-INDEX(HubTail,14))*($K$85-$J$85)</f>
        <v/>
      </c>
      <c r="L71" s="11">
        <f>$B$5/$B$6*K70+(1-$B$5/$B$6)*L70+$B$5/$B$6*(1-INDEX(HubTail,14))*($L$85-$K$85)</f>
        <v/>
      </c>
      <c r="M71" s="10" t="n">
        <v>12</v>
      </c>
      <c r="N71" s="11">
        <f>$C$17*12/$B$6*(1-INDEX(HubTail,14))-$C$17*$B$7*(1-INDEX(HubTail,13))</f>
        <v/>
      </c>
      <c r="O71" s="11">
        <f>INDEX(HubTail,13)*$C$18*$B$7-INDEX(HubTail,14)*$C$18*12/$B$6+$C$18*$B$8</f>
        <v/>
      </c>
      <c r="P71" s="11">
        <f>$B$5/$B$6*O70+(1-$B$5/$B$6)*P70+$B$5/$B$6*(1-INDEX(HubTail,14))*($P$85-$O$85)</f>
        <v/>
      </c>
      <c r="Q71" s="11">
        <f>$B$5/$B$6*P70+(1-$B$5/$B$6)*Q70+$B$5/$B$6*(1-INDEX(HubTail,14))*($Q$85-$P$85)</f>
        <v/>
      </c>
      <c r="R71" s="11">
        <f>$B$5/$B$6*Q70+(1-$B$5/$B$6)*R70+$B$5/$B$6*(1-INDEX(HubTail,14))*($R$85-$Q$85)</f>
        <v/>
      </c>
      <c r="S71" s="11">
        <f>$B$5/$B$6*R70+(1-$B$5/$B$6)*S70+$B$5/$B$6*(1-INDEX(HubTail,14))*($S$85-$R$85)</f>
        <v/>
      </c>
      <c r="T71" s="11">
        <f>$B$5/$B$6*S70+(1-$B$5/$B$6)*T70+$B$5/$B$6*(1-INDEX(HubTail,14))*($T$85-$S$85)</f>
        <v/>
      </c>
      <c r="U71" s="11">
        <f>$B$5/$B$6*T70+(1-$B$5/$B$6)*U70+$B$5/$B$6*(1-INDEX(HubTail,14))*($U$85-$T$85)</f>
        <v/>
      </c>
    </row>
    <row r="72">
      <c r="A72" s="10" t="n">
        <v>39</v>
      </c>
      <c r="B72" s="11">
        <f>1-_xlfn.POISSON.DIST(38,$B$6*$B$7,TRUE)</f>
        <v/>
      </c>
      <c r="D72" s="10" t="n">
        <v>11</v>
      </c>
      <c r="E72" s="11">
        <f>$B$17*11/$B$6*(1-INDEX(HubTail,13))-$B$17*$B$7*(1-INDEX(HubTail,12))</f>
        <v/>
      </c>
      <c r="F72" s="11">
        <f>INDEX(HubTail,12)*$B$18*$B$7-INDEX(HubTail,13)*$B$18*11/$B$6+$B$18*$B$8</f>
        <v/>
      </c>
      <c r="G72" s="11">
        <f>$B$5/$B$6*F71+(1-$B$5/$B$6)*G71+$B$5/$B$6*(1-INDEX(HubTail,13))*($G$85-$F$85)</f>
        <v/>
      </c>
      <c r="H72" s="11">
        <f>$B$5/$B$6*G71+(1-$B$5/$B$6)*H71+$B$5/$B$6*(1-INDEX(HubTail,13))*($H$85-$G$85)</f>
        <v/>
      </c>
      <c r="I72" s="11">
        <f>$B$5/$B$6*H71+(1-$B$5/$B$6)*I71+$B$5/$B$6*(1-INDEX(HubTail,13))*($I$85-$H$85)</f>
        <v/>
      </c>
      <c r="J72" s="11">
        <f>$B$5/$B$6*I71+(1-$B$5/$B$6)*J71+$B$5/$B$6*(1-INDEX(HubTail,13))*($J$85-$I$85)</f>
        <v/>
      </c>
      <c r="K72" s="11">
        <f>$B$5/$B$6*J71+(1-$B$5/$B$6)*K71+$B$5/$B$6*(1-INDEX(HubTail,13))*($K$85-$J$85)</f>
        <v/>
      </c>
      <c r="L72" s="11">
        <f>$B$5/$B$6*K71+(1-$B$5/$B$6)*L71+$B$5/$B$6*(1-INDEX(HubTail,13))*($L$85-$K$85)</f>
        <v/>
      </c>
      <c r="M72" s="10" t="n">
        <v>11</v>
      </c>
      <c r="N72" s="11">
        <f>$C$17*11/$B$6*(1-INDEX(HubTail,13))-$C$17*$B$7*(1-INDEX(HubTail,12))</f>
        <v/>
      </c>
      <c r="O72" s="11">
        <f>INDEX(HubTail,12)*$C$18*$B$7-INDEX(HubTail,13)*$C$18*11/$B$6+$C$18*$B$8</f>
        <v/>
      </c>
      <c r="P72" s="11">
        <f>$B$5/$B$6*O71+(1-$B$5/$B$6)*P71+$B$5/$B$6*(1-INDEX(HubTail,13))*($P$85-$O$85)</f>
        <v/>
      </c>
      <c r="Q72" s="11">
        <f>$B$5/$B$6*P71+(1-$B$5/$B$6)*Q71+$B$5/$B$6*(1-INDEX(HubTail,13))*($Q$85-$P$85)</f>
        <v/>
      </c>
      <c r="R72" s="11">
        <f>$B$5/$B$6*Q71+(1-$B$5/$B$6)*R71+$B$5/$B$6*(1-INDEX(HubTail,13))*($R$85-$Q$85)</f>
        <v/>
      </c>
      <c r="S72" s="11">
        <f>$B$5/$B$6*R71+(1-$B$5/$B$6)*S71+$B$5/$B$6*(1-INDEX(HubTail,13))*($S$85-$R$85)</f>
        <v/>
      </c>
      <c r="T72" s="11">
        <f>$B$5/$B$6*S71+(1-$B$5/$B$6)*T71+$B$5/$B$6*(1-INDEX(HubTail,13))*($T$85-$S$85)</f>
        <v/>
      </c>
      <c r="U72" s="11">
        <f>$B$5/$B$6*T71+(1-$B$5/$B$6)*U71+$B$5/$B$6*(1-INDEX(HubTail,13))*($U$85-$T$85)</f>
        <v/>
      </c>
    </row>
    <row r="73">
      <c r="A73" s="10" t="n">
        <v>40</v>
      </c>
      <c r="B73" s="11">
        <f>1-_xlfn.POISSON.DIST(39,$B$6*$B$7,TRUE)</f>
        <v/>
      </c>
      <c r="D73" s="10" t="n">
        <v>10</v>
      </c>
      <c r="E73" s="11">
        <f>$B$17*10/$B$6*(1-INDEX(HubTail,12))-$B$17*$B$7*(1-INDEX(HubTail,11))</f>
        <v/>
      </c>
      <c r="F73" s="11">
        <f>INDEX(HubTail,11)*$B$18*$B$7-INDEX(HubTail,12)*$B$18*10/$B$6+$B$18*$B$8</f>
        <v/>
      </c>
      <c r="G73" s="11">
        <f>$B$5/$B$6*F72+(1-$B$5/$B$6)*G72+$B$5/$B$6*(1-INDEX(HubTail,12))*($G$85-$F$85)</f>
        <v/>
      </c>
      <c r="H73" s="11">
        <f>$B$5/$B$6*G72+(1-$B$5/$B$6)*H72+$B$5/$B$6*(1-INDEX(HubTail,12))*($H$85-$G$85)</f>
        <v/>
      </c>
      <c r="I73" s="11">
        <f>$B$5/$B$6*H72+(1-$B$5/$B$6)*I72+$B$5/$B$6*(1-INDEX(HubTail,12))*($I$85-$H$85)</f>
        <v/>
      </c>
      <c r="J73" s="11">
        <f>$B$5/$B$6*I72+(1-$B$5/$B$6)*J72+$B$5/$B$6*(1-INDEX(HubTail,12))*($J$85-$I$85)</f>
        <v/>
      </c>
      <c r="K73" s="11">
        <f>$B$5/$B$6*J72+(1-$B$5/$B$6)*K72+$B$5/$B$6*(1-INDEX(HubTail,12))*($K$85-$J$85)</f>
        <v/>
      </c>
      <c r="L73" s="11">
        <f>$B$5/$B$6*K72+(1-$B$5/$B$6)*L72+$B$5/$B$6*(1-INDEX(HubTail,12))*($L$85-$K$85)</f>
        <v/>
      </c>
      <c r="M73" s="10" t="n">
        <v>10</v>
      </c>
      <c r="N73" s="11">
        <f>$C$17*10/$B$6*(1-INDEX(HubTail,12))-$C$17*$B$7*(1-INDEX(HubTail,11))</f>
        <v/>
      </c>
      <c r="O73" s="11">
        <f>INDEX(HubTail,11)*$C$18*$B$7-INDEX(HubTail,12)*$C$18*10/$B$6+$C$18*$B$8</f>
        <v/>
      </c>
      <c r="P73" s="11">
        <f>$B$5/$B$6*O72+(1-$B$5/$B$6)*P72+$B$5/$B$6*(1-INDEX(HubTail,12))*($P$85-$O$85)</f>
        <v/>
      </c>
      <c r="Q73" s="11">
        <f>$B$5/$B$6*P72+(1-$B$5/$B$6)*Q72+$B$5/$B$6*(1-INDEX(HubTail,12))*($Q$85-$P$85)</f>
        <v/>
      </c>
      <c r="R73" s="11">
        <f>$B$5/$B$6*Q72+(1-$B$5/$B$6)*R72+$B$5/$B$6*(1-INDEX(HubTail,12))*($R$85-$Q$85)</f>
        <v/>
      </c>
      <c r="S73" s="11">
        <f>$B$5/$B$6*R72+(1-$B$5/$B$6)*S72+$B$5/$B$6*(1-INDEX(HubTail,12))*($S$85-$R$85)</f>
        <v/>
      </c>
      <c r="T73" s="11">
        <f>$B$5/$B$6*S72+(1-$B$5/$B$6)*T72+$B$5/$B$6*(1-INDEX(HubTail,12))*($T$85-$S$85)</f>
        <v/>
      </c>
      <c r="U73" s="11">
        <f>$B$5/$B$6*T72+(1-$B$5/$B$6)*U72+$B$5/$B$6*(1-INDEX(HubTail,12))*($U$85-$T$85)</f>
        <v/>
      </c>
    </row>
    <row r="74">
      <c r="A74" s="10" t="n">
        <v>41</v>
      </c>
      <c r="B74" s="11">
        <f>1-_xlfn.POISSON.DIST(40,$B$6*$B$7,TRUE)</f>
        <v/>
      </c>
      <c r="D74" s="10" t="n">
        <v>9</v>
      </c>
      <c r="E74" s="11">
        <f>$B$17*9/$B$6*(1-INDEX(HubTail,11))-$B$17*$B$7*(1-INDEX(HubTail,10))</f>
        <v/>
      </c>
      <c r="F74" s="11">
        <f>INDEX(HubTail,10)*$B$18*$B$7-INDEX(HubTail,11)*$B$18*9/$B$6+$B$18*$B$8</f>
        <v/>
      </c>
      <c r="G74" s="11">
        <f>$B$5/$B$6*F73+(1-$B$5/$B$6)*G73+$B$5/$B$6*(1-INDEX(HubTail,11))*($G$85-$F$85)</f>
        <v/>
      </c>
      <c r="H74" s="11">
        <f>$B$5/$B$6*G73+(1-$B$5/$B$6)*H73+$B$5/$B$6*(1-INDEX(HubTail,11))*($H$85-$G$85)</f>
        <v/>
      </c>
      <c r="I74" s="11">
        <f>$B$5/$B$6*H73+(1-$B$5/$B$6)*I73+$B$5/$B$6*(1-INDEX(HubTail,11))*($I$85-$H$85)</f>
        <v/>
      </c>
      <c r="J74" s="11">
        <f>$B$5/$B$6*I73+(1-$B$5/$B$6)*J73+$B$5/$B$6*(1-INDEX(HubTail,11))*($J$85-$I$85)</f>
        <v/>
      </c>
      <c r="K74" s="11">
        <f>$B$5/$B$6*J73+(1-$B$5/$B$6)*K73+$B$5/$B$6*(1-INDEX(HubTail,11))*($K$85-$J$85)</f>
        <v/>
      </c>
      <c r="L74" s="11">
        <f>$B$5/$B$6*K73+(1-$B$5/$B$6)*L73+$B$5/$B$6*(1-INDEX(HubTail,11))*($L$85-$K$85)</f>
        <v/>
      </c>
      <c r="M74" s="10" t="n">
        <v>9</v>
      </c>
      <c r="N74" s="11">
        <f>$C$17*9/$B$6*(1-INDEX(HubTail,11))-$C$17*$B$7*(1-INDEX(HubTail,10))</f>
        <v/>
      </c>
      <c r="O74" s="11">
        <f>INDEX(HubTail,10)*$C$18*$B$7-INDEX(HubTail,11)*$C$18*9/$B$6+$C$18*$B$8</f>
        <v/>
      </c>
      <c r="P74" s="11">
        <f>$B$5/$B$6*O73+(1-$B$5/$B$6)*P73+$B$5/$B$6*(1-INDEX(HubTail,11))*($P$85-$O$85)</f>
        <v/>
      </c>
      <c r="Q74" s="11">
        <f>$B$5/$B$6*P73+(1-$B$5/$B$6)*Q73+$B$5/$B$6*(1-INDEX(HubTail,11))*($Q$85-$P$85)</f>
        <v/>
      </c>
      <c r="R74" s="11">
        <f>$B$5/$B$6*Q73+(1-$B$5/$B$6)*R73+$B$5/$B$6*(1-INDEX(HubTail,11))*($R$85-$Q$85)</f>
        <v/>
      </c>
      <c r="S74" s="11">
        <f>$B$5/$B$6*R73+(1-$B$5/$B$6)*S73+$B$5/$B$6*(1-INDEX(HubTail,11))*($S$85-$R$85)</f>
        <v/>
      </c>
      <c r="T74" s="11">
        <f>$B$5/$B$6*S73+(1-$B$5/$B$6)*T73+$B$5/$B$6*(1-INDEX(HubTail,11))*($T$85-$S$85)</f>
        <v/>
      </c>
      <c r="U74" s="11">
        <f>$B$5/$B$6*T73+(1-$B$5/$B$6)*U73+$B$5/$B$6*(1-INDEX(HubTail,11))*($U$85-$T$85)</f>
        <v/>
      </c>
    </row>
    <row r="75">
      <c r="A75" s="10" t="n">
        <v>42</v>
      </c>
      <c r="B75" s="11">
        <f>1-_xlfn.POISSON.DIST(41,$B$6*$B$7,TRUE)</f>
        <v/>
      </c>
      <c r="D75" s="10" t="n">
        <v>8</v>
      </c>
      <c r="E75" s="11">
        <f>$B$17*8/$B$6*(1-INDEX(HubTail,10))-$B$17*$B$7*(1-INDEX(HubTail,9))</f>
        <v/>
      </c>
      <c r="F75" s="11">
        <f>INDEX(HubTail,9)*$B$18*$B$7-INDEX(HubTail,10)*$B$18*8/$B$6+$B$18*$B$8</f>
        <v/>
      </c>
      <c r="G75" s="11">
        <f>$B$5/$B$6*F74+(1-$B$5/$B$6)*G74+$B$5/$B$6*(1-INDEX(HubTail,10))*($G$85-$F$85)</f>
        <v/>
      </c>
      <c r="H75" s="11">
        <f>$B$5/$B$6*G74+(1-$B$5/$B$6)*H74+$B$5/$B$6*(1-INDEX(HubTail,10))*($H$85-$G$85)</f>
        <v/>
      </c>
      <c r="I75" s="11">
        <f>$B$5/$B$6*H74+(1-$B$5/$B$6)*I74+$B$5/$B$6*(1-INDEX(HubTail,10))*($I$85-$H$85)</f>
        <v/>
      </c>
      <c r="J75" s="11">
        <f>$B$5/$B$6*I74+(1-$B$5/$B$6)*J74+$B$5/$B$6*(1-INDEX(HubTail,10))*($J$85-$I$85)</f>
        <v/>
      </c>
      <c r="K75" s="11">
        <f>$B$5/$B$6*J74+(1-$B$5/$B$6)*K74+$B$5/$B$6*(1-INDEX(HubTail,10))*($K$85-$J$85)</f>
        <v/>
      </c>
      <c r="L75" s="11">
        <f>$B$5/$B$6*K74+(1-$B$5/$B$6)*L74+$B$5/$B$6*(1-INDEX(HubTail,10))*($L$85-$K$85)</f>
        <v/>
      </c>
      <c r="M75" s="10" t="n">
        <v>8</v>
      </c>
      <c r="N75" s="11">
        <f>$C$17*8/$B$6*(1-INDEX(HubTail,10))-$C$17*$B$7*(1-INDEX(HubTail,9))</f>
        <v/>
      </c>
      <c r="O75" s="11">
        <f>INDEX(HubTail,9)*$C$18*$B$7-INDEX(HubTail,10)*$C$18*8/$B$6+$C$18*$B$8</f>
        <v/>
      </c>
      <c r="P75" s="11">
        <f>$B$5/$B$6*O74+(1-$B$5/$B$6)*P74+$B$5/$B$6*(1-INDEX(HubTail,10))*($P$85-$O$85)</f>
        <v/>
      </c>
      <c r="Q75" s="11">
        <f>$B$5/$B$6*P74+(1-$B$5/$B$6)*Q74+$B$5/$B$6*(1-INDEX(HubTail,10))*($Q$85-$P$85)</f>
        <v/>
      </c>
      <c r="R75" s="11">
        <f>$B$5/$B$6*Q74+(1-$B$5/$B$6)*R74+$B$5/$B$6*(1-INDEX(HubTail,10))*($R$85-$Q$85)</f>
        <v/>
      </c>
      <c r="S75" s="11">
        <f>$B$5/$B$6*R74+(1-$B$5/$B$6)*S74+$B$5/$B$6*(1-INDEX(HubTail,10))*($S$85-$R$85)</f>
        <v/>
      </c>
      <c r="T75" s="11">
        <f>$B$5/$B$6*S74+(1-$B$5/$B$6)*T74+$B$5/$B$6*(1-INDEX(HubTail,10))*($T$85-$S$85)</f>
        <v/>
      </c>
      <c r="U75" s="11">
        <f>$B$5/$B$6*T74+(1-$B$5/$B$6)*U74+$B$5/$B$6*(1-INDEX(HubTail,10))*($U$85-$T$85)</f>
        <v/>
      </c>
    </row>
    <row r="76">
      <c r="A76" s="10" t="n">
        <v>43</v>
      </c>
      <c r="B76" s="11">
        <f>1-_xlfn.POISSON.DIST(42,$B$6*$B$7,TRUE)</f>
        <v/>
      </c>
      <c r="D76" s="10" t="n">
        <v>7</v>
      </c>
      <c r="E76" s="11">
        <f>$B$17*7/$B$6*(1-INDEX(HubTail,9))-$B$17*$B$7*(1-INDEX(HubTail,8))</f>
        <v/>
      </c>
      <c r="F76" s="11">
        <f>INDEX(HubTail,8)*$B$18*$B$7-INDEX(HubTail,9)*$B$18*7/$B$6+$B$18*$B$8</f>
        <v/>
      </c>
      <c r="G76" s="11">
        <f>$B$5/$B$6*F75+(1-$B$5/$B$6)*G75+$B$5/$B$6*(1-INDEX(HubTail,9))*($G$85-$F$85)</f>
        <v/>
      </c>
      <c r="H76" s="11">
        <f>$B$5/$B$6*G75+(1-$B$5/$B$6)*H75+$B$5/$B$6*(1-INDEX(HubTail,9))*($H$85-$G$85)</f>
        <v/>
      </c>
      <c r="I76" s="11">
        <f>$B$5/$B$6*H75+(1-$B$5/$B$6)*I75+$B$5/$B$6*(1-INDEX(HubTail,9))*($I$85-$H$85)</f>
        <v/>
      </c>
      <c r="J76" s="11">
        <f>$B$5/$B$6*I75+(1-$B$5/$B$6)*J75+$B$5/$B$6*(1-INDEX(HubTail,9))*($J$85-$I$85)</f>
        <v/>
      </c>
      <c r="K76" s="11">
        <f>$B$5/$B$6*J75+(1-$B$5/$B$6)*K75+$B$5/$B$6*(1-INDEX(HubTail,9))*($K$85-$J$85)</f>
        <v/>
      </c>
      <c r="L76" s="11">
        <f>$B$5/$B$6*K75+(1-$B$5/$B$6)*L75+$B$5/$B$6*(1-INDEX(HubTail,9))*($L$85-$K$85)</f>
        <v/>
      </c>
      <c r="M76" s="10" t="n">
        <v>7</v>
      </c>
      <c r="N76" s="11">
        <f>$C$17*7/$B$6*(1-INDEX(HubTail,9))-$C$17*$B$7*(1-INDEX(HubTail,8))</f>
        <v/>
      </c>
      <c r="O76" s="11">
        <f>INDEX(HubTail,8)*$C$18*$B$7-INDEX(HubTail,9)*$C$18*7/$B$6+$C$18*$B$8</f>
        <v/>
      </c>
      <c r="P76" s="11">
        <f>$B$5/$B$6*O75+(1-$B$5/$B$6)*P75+$B$5/$B$6*(1-INDEX(HubTail,9))*($P$85-$O$85)</f>
        <v/>
      </c>
      <c r="Q76" s="11">
        <f>$B$5/$B$6*P75+(1-$B$5/$B$6)*Q75+$B$5/$B$6*(1-INDEX(HubTail,9))*($Q$85-$P$85)</f>
        <v/>
      </c>
      <c r="R76" s="11">
        <f>$B$5/$B$6*Q75+(1-$B$5/$B$6)*R75+$B$5/$B$6*(1-INDEX(HubTail,9))*($R$85-$Q$85)</f>
        <v/>
      </c>
      <c r="S76" s="11">
        <f>$B$5/$B$6*R75+(1-$B$5/$B$6)*S75+$B$5/$B$6*(1-INDEX(HubTail,9))*($S$85-$R$85)</f>
        <v/>
      </c>
      <c r="T76" s="11">
        <f>$B$5/$B$6*S75+(1-$B$5/$B$6)*T75+$B$5/$B$6*(1-INDEX(HubTail,9))*($T$85-$S$85)</f>
        <v/>
      </c>
      <c r="U76" s="11">
        <f>$B$5/$B$6*T75+(1-$B$5/$B$6)*U75+$B$5/$B$6*(1-INDEX(HubTail,9))*($U$85-$T$85)</f>
        <v/>
      </c>
    </row>
    <row r="77">
      <c r="A77" s="10" t="n">
        <v>44</v>
      </c>
      <c r="B77" s="11">
        <f>1-_xlfn.POISSON.DIST(43,$B$6*$B$7,TRUE)</f>
        <v/>
      </c>
      <c r="D77" s="10" t="n">
        <v>6</v>
      </c>
      <c r="E77" s="11">
        <f>$B$17*6/$B$6*(1-INDEX(HubTail,8))-$B$17*$B$7*(1-INDEX(HubTail,7))</f>
        <v/>
      </c>
      <c r="F77" s="11">
        <f>INDEX(HubTail,7)*$B$18*$B$7-INDEX(HubTail,8)*$B$18*6/$B$6+$B$18*$B$8</f>
        <v/>
      </c>
      <c r="G77" s="11">
        <f>$B$5/$B$6*F76+(1-$B$5/$B$6)*G76+$B$5/$B$6*(1-INDEX(HubTail,8))*($G$85-$F$85)</f>
        <v/>
      </c>
      <c r="H77" s="11">
        <f>$B$5/$B$6*G76+(1-$B$5/$B$6)*H76+$B$5/$B$6*(1-INDEX(HubTail,8))*($H$85-$G$85)</f>
        <v/>
      </c>
      <c r="I77" s="11">
        <f>$B$5/$B$6*H76+(1-$B$5/$B$6)*I76+$B$5/$B$6*(1-INDEX(HubTail,8))*($I$85-$H$85)</f>
        <v/>
      </c>
      <c r="J77" s="11">
        <f>$B$5/$B$6*I76+(1-$B$5/$B$6)*J76+$B$5/$B$6*(1-INDEX(HubTail,8))*($J$85-$I$85)</f>
        <v/>
      </c>
      <c r="K77" s="11">
        <f>$B$5/$B$6*J76+(1-$B$5/$B$6)*K76+$B$5/$B$6*(1-INDEX(HubTail,8))*($K$85-$J$85)</f>
        <v/>
      </c>
      <c r="L77" s="11">
        <f>$B$5/$B$6*K76+(1-$B$5/$B$6)*L76+$B$5/$B$6*(1-INDEX(HubTail,8))*($L$85-$K$85)</f>
        <v/>
      </c>
      <c r="M77" s="10" t="n">
        <v>6</v>
      </c>
      <c r="N77" s="11">
        <f>$C$17*6/$B$6*(1-INDEX(HubTail,8))-$C$17*$B$7*(1-INDEX(HubTail,7))</f>
        <v/>
      </c>
      <c r="O77" s="11">
        <f>INDEX(HubTail,7)*$C$18*$B$7-INDEX(HubTail,8)*$C$18*6/$B$6+$C$18*$B$8</f>
        <v/>
      </c>
      <c r="P77" s="11">
        <f>$B$5/$B$6*O76+(1-$B$5/$B$6)*P76+$B$5/$B$6*(1-INDEX(HubTail,8))*($P$85-$O$85)</f>
        <v/>
      </c>
      <c r="Q77" s="11">
        <f>$B$5/$B$6*P76+(1-$B$5/$B$6)*Q76+$B$5/$B$6*(1-INDEX(HubTail,8))*($Q$85-$P$85)</f>
        <v/>
      </c>
      <c r="R77" s="11">
        <f>$B$5/$B$6*Q76+(1-$B$5/$B$6)*R76+$B$5/$B$6*(1-INDEX(HubTail,8))*($R$85-$Q$85)</f>
        <v/>
      </c>
      <c r="S77" s="11">
        <f>$B$5/$B$6*R76+(1-$B$5/$B$6)*S76+$B$5/$B$6*(1-INDEX(HubTail,8))*($S$85-$R$85)</f>
        <v/>
      </c>
      <c r="T77" s="11">
        <f>$B$5/$B$6*S76+(1-$B$5/$B$6)*T76+$B$5/$B$6*(1-INDEX(HubTail,8))*($T$85-$S$85)</f>
        <v/>
      </c>
      <c r="U77" s="11">
        <f>$B$5/$B$6*T76+(1-$B$5/$B$6)*U76+$B$5/$B$6*(1-INDEX(HubTail,8))*($U$85-$T$85)</f>
        <v/>
      </c>
    </row>
    <row r="78">
      <c r="A78" s="10" t="n">
        <v>45</v>
      </c>
      <c r="B78" s="11">
        <f>1-_xlfn.POISSON.DIST(44,$B$6*$B$7,TRUE)</f>
        <v/>
      </c>
      <c r="D78" s="10" t="n">
        <v>5</v>
      </c>
      <c r="E78" s="11">
        <f>$B$17*5/$B$6*(1-INDEX(HubTail,7))-$B$17*$B$7*(1-INDEX(HubTail,6))</f>
        <v/>
      </c>
      <c r="F78" s="11">
        <f>INDEX(HubTail,6)*$B$18*$B$7-INDEX(HubTail,7)*$B$18*5/$B$6+$B$18*$B$8</f>
        <v/>
      </c>
      <c r="G78" s="11">
        <f>$B$5/$B$6*F77+(1-$B$5/$B$6)*G77+$B$5/$B$6*(1-INDEX(HubTail,7))*($G$85-$F$85)</f>
        <v/>
      </c>
      <c r="H78" s="11">
        <f>$B$5/$B$6*G77+(1-$B$5/$B$6)*H77+$B$5/$B$6*(1-INDEX(HubTail,7))*($H$85-$G$85)</f>
        <v/>
      </c>
      <c r="I78" s="11">
        <f>$B$5/$B$6*H77+(1-$B$5/$B$6)*I77+$B$5/$B$6*(1-INDEX(HubTail,7))*($I$85-$H$85)</f>
        <v/>
      </c>
      <c r="J78" s="11">
        <f>$B$5/$B$6*I77+(1-$B$5/$B$6)*J77+$B$5/$B$6*(1-INDEX(HubTail,7))*($J$85-$I$85)</f>
        <v/>
      </c>
      <c r="K78" s="11">
        <f>$B$5/$B$6*J77+(1-$B$5/$B$6)*K77+$B$5/$B$6*(1-INDEX(HubTail,7))*($K$85-$J$85)</f>
        <v/>
      </c>
      <c r="L78" s="11">
        <f>$B$5/$B$6*K77+(1-$B$5/$B$6)*L77+$B$5/$B$6*(1-INDEX(HubTail,7))*($L$85-$K$85)</f>
        <v/>
      </c>
      <c r="M78" s="10" t="n">
        <v>5</v>
      </c>
      <c r="N78" s="11">
        <f>$C$17*5/$B$6*(1-INDEX(HubTail,7))-$C$17*$B$7*(1-INDEX(HubTail,6))</f>
        <v/>
      </c>
      <c r="O78" s="11">
        <f>INDEX(HubTail,6)*$C$18*$B$7-INDEX(HubTail,7)*$C$18*5/$B$6+$C$18*$B$8</f>
        <v/>
      </c>
      <c r="P78" s="11">
        <f>$B$5/$B$6*O77+(1-$B$5/$B$6)*P77+$B$5/$B$6*(1-INDEX(HubTail,7))*($P$85-$O$85)</f>
        <v/>
      </c>
      <c r="Q78" s="11">
        <f>$B$5/$B$6*P77+(1-$B$5/$B$6)*Q77+$B$5/$B$6*(1-INDEX(HubTail,7))*($Q$85-$P$85)</f>
        <v/>
      </c>
      <c r="R78" s="11">
        <f>$B$5/$B$6*Q77+(1-$B$5/$B$6)*R77+$B$5/$B$6*(1-INDEX(HubTail,7))*($R$85-$Q$85)</f>
        <v/>
      </c>
      <c r="S78" s="11">
        <f>$B$5/$B$6*R77+(1-$B$5/$B$6)*S77+$B$5/$B$6*(1-INDEX(HubTail,7))*($S$85-$R$85)</f>
        <v/>
      </c>
      <c r="T78" s="11">
        <f>$B$5/$B$6*S77+(1-$B$5/$B$6)*T77+$B$5/$B$6*(1-INDEX(HubTail,7))*($T$85-$S$85)</f>
        <v/>
      </c>
      <c r="U78" s="11">
        <f>$B$5/$B$6*T77+(1-$B$5/$B$6)*U77+$B$5/$B$6*(1-INDEX(HubTail,7))*($U$85-$T$85)</f>
        <v/>
      </c>
    </row>
    <row r="79">
      <c r="A79" s="10" t="n">
        <v>46</v>
      </c>
      <c r="B79" s="11">
        <f>1-_xlfn.POISSON.DIST(45,$B$6*$B$7,TRUE)</f>
        <v/>
      </c>
      <c r="D79" s="10" t="n">
        <v>4</v>
      </c>
      <c r="E79" s="11">
        <f>$B$17*4/$B$6*(1-INDEX(HubTail,6))-$B$17*$B$7*(1-INDEX(HubTail,5))</f>
        <v/>
      </c>
      <c r="F79" s="11">
        <f>INDEX(HubTail,5)*$B$18*$B$7-INDEX(HubTail,6)*$B$18*4/$B$6+$B$18*$B$8</f>
        <v/>
      </c>
      <c r="G79" s="11">
        <f>$B$5/$B$6*F78+(1-$B$5/$B$6)*G78+$B$5/$B$6*(1-INDEX(HubTail,6))*($G$85-$F$85)</f>
        <v/>
      </c>
      <c r="H79" s="11">
        <f>$B$5/$B$6*G78+(1-$B$5/$B$6)*H78+$B$5/$B$6*(1-INDEX(HubTail,6))*($H$85-$G$85)</f>
        <v/>
      </c>
      <c r="I79" s="11">
        <f>$B$5/$B$6*H78+(1-$B$5/$B$6)*I78+$B$5/$B$6*(1-INDEX(HubTail,6))*($I$85-$H$85)</f>
        <v/>
      </c>
      <c r="J79" s="11">
        <f>$B$5/$B$6*I78+(1-$B$5/$B$6)*J78+$B$5/$B$6*(1-INDEX(HubTail,6))*($J$85-$I$85)</f>
        <v/>
      </c>
      <c r="K79" s="11">
        <f>$B$5/$B$6*J78+(1-$B$5/$B$6)*K78+$B$5/$B$6*(1-INDEX(HubTail,6))*($K$85-$J$85)</f>
        <v/>
      </c>
      <c r="L79" s="11">
        <f>$B$5/$B$6*K78+(1-$B$5/$B$6)*L78+$B$5/$B$6*(1-INDEX(HubTail,6))*($L$85-$K$85)</f>
        <v/>
      </c>
      <c r="M79" s="10" t="n">
        <v>4</v>
      </c>
      <c r="N79" s="11">
        <f>$C$17*4/$B$6*(1-INDEX(HubTail,6))-$C$17*$B$7*(1-INDEX(HubTail,5))</f>
        <v/>
      </c>
      <c r="O79" s="11">
        <f>INDEX(HubTail,5)*$C$18*$B$7-INDEX(HubTail,6)*$C$18*4/$B$6+$C$18*$B$8</f>
        <v/>
      </c>
      <c r="P79" s="11">
        <f>$B$5/$B$6*O78+(1-$B$5/$B$6)*P78+$B$5/$B$6*(1-INDEX(HubTail,6))*($P$85-$O$85)</f>
        <v/>
      </c>
      <c r="Q79" s="11">
        <f>$B$5/$B$6*P78+(1-$B$5/$B$6)*Q78+$B$5/$B$6*(1-INDEX(HubTail,6))*($Q$85-$P$85)</f>
        <v/>
      </c>
      <c r="R79" s="11">
        <f>$B$5/$B$6*Q78+(1-$B$5/$B$6)*R78+$B$5/$B$6*(1-INDEX(HubTail,6))*($R$85-$Q$85)</f>
        <v/>
      </c>
      <c r="S79" s="11">
        <f>$B$5/$B$6*R78+(1-$B$5/$B$6)*S78+$B$5/$B$6*(1-INDEX(HubTail,6))*($S$85-$R$85)</f>
        <v/>
      </c>
      <c r="T79" s="11">
        <f>$B$5/$B$6*S78+(1-$B$5/$B$6)*T78+$B$5/$B$6*(1-INDEX(HubTail,6))*($T$85-$S$85)</f>
        <v/>
      </c>
      <c r="U79" s="11">
        <f>$B$5/$B$6*T78+(1-$B$5/$B$6)*U78+$B$5/$B$6*(1-INDEX(HubTail,6))*($U$85-$T$85)</f>
        <v/>
      </c>
    </row>
    <row r="80">
      <c r="A80" s="10" t="n">
        <v>47</v>
      </c>
      <c r="B80" s="11">
        <f>1-_xlfn.POISSON.DIST(46,$B$6*$B$7,TRUE)</f>
        <v/>
      </c>
      <c r="D80" s="10" t="n">
        <v>3</v>
      </c>
      <c r="E80" s="11">
        <f>$B$17*3/$B$6*(1-INDEX(HubTail,5))-$B$17*$B$7*(1-INDEX(HubTail,4))</f>
        <v/>
      </c>
      <c r="F80" s="11">
        <f>INDEX(HubTail,4)*$B$18*$B$7-INDEX(HubTail,5)*$B$18*3/$B$6+$B$18*$B$8</f>
        <v/>
      </c>
      <c r="G80" s="11">
        <f>$B$5/$B$6*F79+(1-$B$5/$B$6)*G79+$B$5/$B$6*(1-INDEX(HubTail,5))*($G$85-$F$85)</f>
        <v/>
      </c>
      <c r="H80" s="11">
        <f>$B$5/$B$6*G79+(1-$B$5/$B$6)*H79+$B$5/$B$6*(1-INDEX(HubTail,5))*($H$85-$G$85)</f>
        <v/>
      </c>
      <c r="I80" s="11">
        <f>$B$5/$B$6*H79+(1-$B$5/$B$6)*I79+$B$5/$B$6*(1-INDEX(HubTail,5))*($I$85-$H$85)</f>
        <v/>
      </c>
      <c r="J80" s="11">
        <f>$B$5/$B$6*I79+(1-$B$5/$B$6)*J79+$B$5/$B$6*(1-INDEX(HubTail,5))*($J$85-$I$85)</f>
        <v/>
      </c>
      <c r="K80" s="11">
        <f>$B$5/$B$6*J79+(1-$B$5/$B$6)*K79+$B$5/$B$6*(1-INDEX(HubTail,5))*($K$85-$J$85)</f>
        <v/>
      </c>
      <c r="L80" s="11">
        <f>$B$5/$B$6*K79+(1-$B$5/$B$6)*L79+$B$5/$B$6*(1-INDEX(HubTail,5))*($L$85-$K$85)</f>
        <v/>
      </c>
      <c r="M80" s="10" t="n">
        <v>3</v>
      </c>
      <c r="N80" s="11">
        <f>$C$17*3/$B$6*(1-INDEX(HubTail,5))-$C$17*$B$7*(1-INDEX(HubTail,4))</f>
        <v/>
      </c>
      <c r="O80" s="11">
        <f>INDEX(HubTail,4)*$C$18*$B$7-INDEX(HubTail,5)*$C$18*3/$B$6+$C$18*$B$8</f>
        <v/>
      </c>
      <c r="P80" s="11">
        <f>$B$5/$B$6*O79+(1-$B$5/$B$6)*P79+$B$5/$B$6*(1-INDEX(HubTail,5))*($P$85-$O$85)</f>
        <v/>
      </c>
      <c r="Q80" s="11">
        <f>$B$5/$B$6*P79+(1-$B$5/$B$6)*Q79+$B$5/$B$6*(1-INDEX(HubTail,5))*($Q$85-$P$85)</f>
        <v/>
      </c>
      <c r="R80" s="11">
        <f>$B$5/$B$6*Q79+(1-$B$5/$B$6)*R79+$B$5/$B$6*(1-INDEX(HubTail,5))*($R$85-$Q$85)</f>
        <v/>
      </c>
      <c r="S80" s="11">
        <f>$B$5/$B$6*R79+(1-$B$5/$B$6)*S79+$B$5/$B$6*(1-INDEX(HubTail,5))*($S$85-$R$85)</f>
        <v/>
      </c>
      <c r="T80" s="11">
        <f>$B$5/$B$6*S79+(1-$B$5/$B$6)*T79+$B$5/$B$6*(1-INDEX(HubTail,5))*($T$85-$S$85)</f>
        <v/>
      </c>
      <c r="U80" s="11">
        <f>$B$5/$B$6*T79+(1-$B$5/$B$6)*U79+$B$5/$B$6*(1-INDEX(HubTail,5))*($U$85-$T$85)</f>
        <v/>
      </c>
    </row>
    <row r="81">
      <c r="A81" s="10" t="n">
        <v>48</v>
      </c>
      <c r="B81" s="11">
        <f>1-_xlfn.POISSON.DIST(47,$B$6*$B$7,TRUE)</f>
        <v/>
      </c>
      <c r="D81" s="10" t="n">
        <v>2</v>
      </c>
      <c r="E81" s="11">
        <f>$B$17*2/$B$6*(1-INDEX(HubTail,4))-$B$17*$B$7*(1-INDEX(HubTail,3))</f>
        <v/>
      </c>
      <c r="F81" s="11">
        <f>INDEX(HubTail,3)*$B$18*$B$7-INDEX(HubTail,4)*$B$18*2/$B$6+$B$18*$B$8</f>
        <v/>
      </c>
      <c r="G81" s="11">
        <f>$B$5/$B$6*F80+(1-$B$5/$B$6)*G80+$B$5/$B$6*(1-INDEX(HubTail,4))*($G$85-$F$85)</f>
        <v/>
      </c>
      <c r="H81" s="11">
        <f>$B$5/$B$6*G80+(1-$B$5/$B$6)*H80+$B$5/$B$6*(1-INDEX(HubTail,4))*($H$85-$G$85)</f>
        <v/>
      </c>
      <c r="I81" s="11">
        <f>$B$5/$B$6*H80+(1-$B$5/$B$6)*I80+$B$5/$B$6*(1-INDEX(HubTail,4))*($I$85-$H$85)</f>
        <v/>
      </c>
      <c r="J81" s="11">
        <f>$B$5/$B$6*I80+(1-$B$5/$B$6)*J80+$B$5/$B$6*(1-INDEX(HubTail,4))*($J$85-$I$85)</f>
        <v/>
      </c>
      <c r="K81" s="11">
        <f>$B$5/$B$6*J80+(1-$B$5/$B$6)*K80+$B$5/$B$6*(1-INDEX(HubTail,4))*($K$85-$J$85)</f>
        <v/>
      </c>
      <c r="L81" s="11">
        <f>$B$5/$B$6*K80+(1-$B$5/$B$6)*L80+$B$5/$B$6*(1-INDEX(HubTail,4))*($L$85-$K$85)</f>
        <v/>
      </c>
      <c r="M81" s="10" t="n">
        <v>2</v>
      </c>
      <c r="N81" s="11">
        <f>$C$17*2/$B$6*(1-INDEX(HubTail,4))-$C$17*$B$7*(1-INDEX(HubTail,3))</f>
        <v/>
      </c>
      <c r="O81" s="11">
        <f>INDEX(HubTail,3)*$C$18*$B$7-INDEX(HubTail,4)*$C$18*2/$B$6+$C$18*$B$8</f>
        <v/>
      </c>
      <c r="P81" s="11">
        <f>$B$5/$B$6*O80+(1-$B$5/$B$6)*P80+$B$5/$B$6*(1-INDEX(HubTail,4))*($P$85-$O$85)</f>
        <v/>
      </c>
      <c r="Q81" s="11">
        <f>$B$5/$B$6*P80+(1-$B$5/$B$6)*Q80+$B$5/$B$6*(1-INDEX(HubTail,4))*($Q$85-$P$85)</f>
        <v/>
      </c>
      <c r="R81" s="11">
        <f>$B$5/$B$6*Q80+(1-$B$5/$B$6)*R80+$B$5/$B$6*(1-INDEX(HubTail,4))*($R$85-$Q$85)</f>
        <v/>
      </c>
      <c r="S81" s="11">
        <f>$B$5/$B$6*R80+(1-$B$5/$B$6)*S80+$B$5/$B$6*(1-INDEX(HubTail,4))*($S$85-$R$85)</f>
        <v/>
      </c>
      <c r="T81" s="11">
        <f>$B$5/$B$6*S80+(1-$B$5/$B$6)*T80+$B$5/$B$6*(1-INDEX(HubTail,4))*($T$85-$S$85)</f>
        <v/>
      </c>
      <c r="U81" s="11">
        <f>$B$5/$B$6*T80+(1-$B$5/$B$6)*U80+$B$5/$B$6*(1-INDEX(HubTail,4))*($U$85-$T$85)</f>
        <v/>
      </c>
    </row>
    <row r="82">
      <c r="A82" s="10" t="n">
        <v>49</v>
      </c>
      <c r="B82" s="11">
        <f>1-_xlfn.POISSON.DIST(48,$B$6*$B$7,TRUE)</f>
        <v/>
      </c>
      <c r="D82" s="10" t="n">
        <v>1</v>
      </c>
      <c r="E82" s="11">
        <f>$B$17*1/$B$6*(1-INDEX(HubTail,3))-$B$17*$B$7*(1-INDEX(HubTail,2))</f>
        <v/>
      </c>
      <c r="F82" s="11">
        <f>INDEX(HubTail,2)*$B$18*$B$7-INDEX(HubTail,3)*$B$18*1/$B$6+$B$18*$B$8</f>
        <v/>
      </c>
      <c r="G82" s="11">
        <f>$B$5/$B$6*F81+(1-$B$5/$B$6)*G81+$B$5/$B$6*(1-INDEX(HubTail,3))*($G$85-$F$85)</f>
        <v/>
      </c>
      <c r="H82" s="11">
        <f>$B$5/$B$6*G81+(1-$B$5/$B$6)*H81+$B$5/$B$6*(1-INDEX(HubTail,3))*($H$85-$G$85)</f>
        <v/>
      </c>
      <c r="I82" s="11">
        <f>$B$5/$B$6*H81+(1-$B$5/$B$6)*I81+$B$5/$B$6*(1-INDEX(HubTail,3))*($I$85-$H$85)</f>
        <v/>
      </c>
      <c r="J82" s="11">
        <f>$B$5/$B$6*I81+(1-$B$5/$B$6)*J81+$B$5/$B$6*(1-INDEX(HubTail,3))*($J$85-$I$85)</f>
        <v/>
      </c>
      <c r="K82" s="11">
        <f>$B$5/$B$6*J81+(1-$B$5/$B$6)*K81+$B$5/$B$6*(1-INDEX(HubTail,3))*($K$85-$J$85)</f>
        <v/>
      </c>
      <c r="L82" s="11">
        <f>$B$5/$B$6*K81+(1-$B$5/$B$6)*L81+$B$5/$B$6*(1-INDEX(HubTail,3))*($L$85-$K$85)</f>
        <v/>
      </c>
      <c r="M82" s="10" t="n">
        <v>1</v>
      </c>
      <c r="N82" s="11">
        <f>$C$17*1/$B$6*(1-INDEX(HubTail,3))-$C$17*$B$7*(1-INDEX(HubTail,2))</f>
        <v/>
      </c>
      <c r="O82" s="11">
        <f>INDEX(HubTail,2)*$C$18*$B$7-INDEX(HubTail,3)*$C$18*1/$B$6+$C$18*$B$8</f>
        <v/>
      </c>
      <c r="P82" s="11">
        <f>$B$5/$B$6*O81+(1-$B$5/$B$6)*P81+$B$5/$B$6*(1-INDEX(HubTail,3))*($P$85-$O$85)</f>
        <v/>
      </c>
      <c r="Q82" s="11">
        <f>$B$5/$B$6*P81+(1-$B$5/$B$6)*Q81+$B$5/$B$6*(1-INDEX(HubTail,3))*($Q$85-$P$85)</f>
        <v/>
      </c>
      <c r="R82" s="11">
        <f>$B$5/$B$6*Q81+(1-$B$5/$B$6)*R81+$B$5/$B$6*(1-INDEX(HubTail,3))*($R$85-$Q$85)</f>
        <v/>
      </c>
      <c r="S82" s="11">
        <f>$B$5/$B$6*R81+(1-$B$5/$B$6)*S81+$B$5/$B$6*(1-INDEX(HubTail,3))*($S$85-$R$85)</f>
        <v/>
      </c>
      <c r="T82" s="11">
        <f>$B$5/$B$6*S81+(1-$B$5/$B$6)*T81+$B$5/$B$6*(1-INDEX(HubTail,3))*($T$85-$S$85)</f>
        <v/>
      </c>
      <c r="U82" s="11">
        <f>$B$5/$B$6*T81+(1-$B$5/$B$6)*U81+$B$5/$B$6*(1-INDEX(HubTail,3))*($U$85-$T$85)</f>
        <v/>
      </c>
    </row>
    <row r="83">
      <c r="A83" s="10" t="n">
        <v>50</v>
      </c>
      <c r="B83" s="11">
        <f>1-_xlfn.POISSON.DIST(49,$B$6*$B$7,TRUE)</f>
        <v/>
      </c>
      <c r="D83" s="10" t="n">
        <v>0</v>
      </c>
      <c r="E83" s="11">
        <f>0</f>
        <v/>
      </c>
      <c r="F83" s="11">
        <f>$B$18*($B$7+$B$8-0/$B$6)</f>
        <v/>
      </c>
      <c r="G83" s="11">
        <f>$B$5/$B$6*F82+(1-$B$5/$B$6)*G82+$B$5/$B$6*(1-INDEX(HubTail,2))*($G$85-$F$85)</f>
        <v/>
      </c>
      <c r="H83" s="11">
        <f>$B$5/$B$6*G82+(1-$B$5/$B$6)*H82+$B$5/$B$6*(1-INDEX(HubTail,2))*($H$85-$G$85)</f>
        <v/>
      </c>
      <c r="I83" s="11">
        <f>$B$5/$B$6*H82+(1-$B$5/$B$6)*I82+$B$5/$B$6*(1-INDEX(HubTail,2))*($I$85-$H$85)</f>
        <v/>
      </c>
      <c r="J83" s="11">
        <f>$B$5/$B$6*I82+(1-$B$5/$B$6)*J82+$B$5/$B$6*(1-INDEX(HubTail,2))*($J$85-$I$85)</f>
        <v/>
      </c>
      <c r="K83" s="11">
        <f>$B$5/$B$6*J82+(1-$B$5/$B$6)*K82+$B$5/$B$6*(1-INDEX(HubTail,2))*($K$85-$J$85)</f>
        <v/>
      </c>
      <c r="L83" s="11">
        <f>$B$5/$B$6*K82+(1-$B$5/$B$6)*L82+$B$5/$B$6*(1-INDEX(HubTail,2))*($L$85-$K$85)</f>
        <v/>
      </c>
      <c r="M83" s="10" t="n">
        <v>0</v>
      </c>
      <c r="N83" s="11">
        <f>0</f>
        <v/>
      </c>
      <c r="O83" s="11">
        <f>$C$18*($B$7+$B$8-0/$B$6)</f>
        <v/>
      </c>
      <c r="P83" s="11">
        <f>$B$5/$B$6*O82+(1-$B$5/$B$6)*P82+$B$5/$B$6*(1-INDEX(HubTail,2))*($P$85-$O$85)</f>
        <v/>
      </c>
      <c r="Q83" s="11">
        <f>$B$5/$B$6*P82+(1-$B$5/$B$6)*Q82+$B$5/$B$6*(1-INDEX(HubTail,2))*($Q$85-$P$85)</f>
        <v/>
      </c>
      <c r="R83" s="11">
        <f>$B$5/$B$6*Q82+(1-$B$5/$B$6)*R82+$B$5/$B$6*(1-INDEX(HubTail,2))*($R$85-$Q$85)</f>
        <v/>
      </c>
      <c r="S83" s="11">
        <f>$B$5/$B$6*R82+(1-$B$5/$B$6)*S82+$B$5/$B$6*(1-INDEX(HubTail,2))*($S$85-$R$85)</f>
        <v/>
      </c>
      <c r="T83" s="11">
        <f>$B$5/$B$6*S82+(1-$B$5/$B$6)*T82+$B$5/$B$6*(1-INDEX(HubTail,2))*($T$85-$S$85)</f>
        <v/>
      </c>
      <c r="U83" s="11">
        <f>$B$5/$B$6*T82+(1-$B$5/$B$6)*U82+$B$5/$B$6*(1-INDEX(HubTail,2))*($U$85-$T$85)</f>
        <v/>
      </c>
    </row>
    <row r="84">
      <c r="A84" s="10" t="n">
        <v>51</v>
      </c>
      <c r="B84" s="11">
        <f>1-_xlfn.POISSON.DIST(50,$B$6*$B$7,TRUE)</f>
        <v/>
      </c>
    </row>
    <row r="85">
      <c r="D85" s="17" t="inlineStr">
        <is>
          <t>pi^S_j</t>
        </is>
      </c>
      <c r="F85" s="11">
        <f>$B$18*$B$8</f>
        <v/>
      </c>
      <c r="G85" s="11">
        <f>($B$16+$B$18)/$B$5*(1*_xlfn.POISSON.DIST(0,$B$5*$B$8,TRUE)-$B$5*$B$8*0)+$B$18*($B$8-1/$B$5)</f>
        <v/>
      </c>
      <c r="H85" s="11">
        <f>($B$16+$B$18)/$B$5*(2*_xlfn.POISSON.DIST(1,$B$5*$B$8,TRUE)-$B$5*$B$8*_xlfn.POISSON.DIST(0,$B$5*$B$8,TRUE))+$B$18*($B$8-2/$B$5)</f>
        <v/>
      </c>
      <c r="I85" s="11">
        <f>($B$16+$B$18)/$B$5*(3*_xlfn.POISSON.DIST(2,$B$5*$B$8,TRUE)-$B$5*$B$8*_xlfn.POISSON.DIST(1,$B$5*$B$8,TRUE))+$B$18*($B$8-3/$B$5)</f>
        <v/>
      </c>
      <c r="J85" s="11">
        <f>($B$16+$B$18)/$B$5*(4*_xlfn.POISSON.DIST(3,$B$5*$B$8,TRUE)-$B$5*$B$8*_xlfn.POISSON.DIST(2,$B$5*$B$8,TRUE))+$B$18*($B$8-4/$B$5)</f>
        <v/>
      </c>
      <c r="K85" s="11">
        <f>($B$16+$B$18)/$B$5*(5*_xlfn.POISSON.DIST(4,$B$5*$B$8,TRUE)-$B$5*$B$8*_xlfn.POISSON.DIST(3,$B$5*$B$8,TRUE))+$B$18*($B$8-5/$B$5)</f>
        <v/>
      </c>
      <c r="L85" s="11">
        <f>($B$16+$B$18)/$B$5*(6*_xlfn.POISSON.DIST(5,$B$5*$B$8,TRUE)-$B$5*$B$8*_xlfn.POISSON.DIST(4,$B$5*$B$8,TRUE))+$B$18*($B$8-6/$B$5)</f>
        <v/>
      </c>
      <c r="M85" s="17" t="inlineStr">
        <is>
          <t>pi^S_j</t>
        </is>
      </c>
      <c r="O85" s="11">
        <f>$C$18*$B$8</f>
        <v/>
      </c>
      <c r="P85" s="11">
        <f>($C$16+$C$18)/$B$5*(1*_xlfn.POISSON.DIST(0,$B$5*$B$8,TRUE)-$B$5*$B$8*0)+$C$18*($B$8-1/$B$5)</f>
        <v/>
      </c>
      <c r="Q85" s="11">
        <f>($C$16+$C$18)/$B$5*(2*_xlfn.POISSON.DIST(1,$B$5*$B$8,TRUE)-$B$5*$B$8*_xlfn.POISSON.DIST(0,$B$5*$B$8,TRUE))+$C$18*($B$8-2/$B$5)</f>
        <v/>
      </c>
      <c r="R85" s="11">
        <f>($C$16+$C$18)/$B$5*(3*_xlfn.POISSON.DIST(2,$B$5*$B$8,TRUE)-$B$5*$B$8*_xlfn.POISSON.DIST(1,$B$5*$B$8,TRUE))+$C$18*($B$8-3/$B$5)</f>
        <v/>
      </c>
      <c r="S85" s="11">
        <f>($C$16+$C$18)/$B$5*(4*_xlfn.POISSON.DIST(3,$B$5*$B$8,TRUE)-$B$5*$B$8*_xlfn.POISSON.DIST(2,$B$5*$B$8,TRUE))+$C$18*($B$8-4/$B$5)</f>
        <v/>
      </c>
      <c r="T85" s="11">
        <f>($C$16+$C$18)/$B$5*(5*_xlfn.POISSON.DIST(4,$B$5*$B$8,TRUE)-$B$5*$B$8*_xlfn.POISSON.DIST(3,$B$5*$B$8,TRUE))+$C$18*($B$8-5/$B$5)</f>
        <v/>
      </c>
      <c r="U85" s="11">
        <f>($C$16+$C$18)/$B$5*(6*_xlfn.POISSON.DIST(5,$B$5*$B$8,TRUE)-$B$5*$B$8*_xlfn.POISSON.DIST(4,$B$5*$B$8,TRUE))+$C$18*($B$8-6/$B$5)</f>
        <v/>
      </c>
    </row>
    <row r="87">
      <c r="A87" s="2" t="inlineStr">
        <is>
          <t>Each column walks down from S_0 = 50, where (A.9) sets it to pi^S_j, by (A.11) above zero and (A.12) below. The column S_j = 0 needs no walk: (A.7) and (A.8) give it outright.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</cols>
  <sheetData>
    <row r="1">
      <c r="A1" s="1" t="inlineStr">
        <is>
          <t>One storeroom behind the hub, three routes</t>
        </is>
      </c>
    </row>
    <row r="2">
      <c r="A2" s="2" t="inlineStr">
        <is>
          <t>@sec-batchedmultiechelon. The wait at the hub makes the storeroom's lead time random.</t>
        </is>
      </c>
    </row>
    <row r="4">
      <c r="A4" s="3" t="inlineStr">
        <is>
          <t>Read from the other sheets</t>
        </is>
      </c>
    </row>
    <row r="5">
      <c r="A5" t="inlineStr">
        <is>
          <t>lambda_j</t>
        </is>
      </c>
      <c r="B5" s="7">
        <f>Hub!B5</f>
        <v/>
      </c>
    </row>
    <row r="6">
      <c r="A6" t="inlineStr">
        <is>
          <t>O_j</t>
        </is>
      </c>
      <c r="B6" s="7">
        <f>Hub!B8</f>
        <v/>
      </c>
    </row>
    <row r="7">
      <c r="A7" t="inlineStr">
        <is>
          <t>mean wait</t>
        </is>
      </c>
      <c r="B7" s="7">
        <f>Hub!B27</f>
        <v/>
      </c>
    </row>
    <row r="8">
      <c r="A8" t="inlineStr">
        <is>
          <t>Var[W]</t>
        </is>
      </c>
      <c r="B8" s="7">
        <f>Hub!B28</f>
        <v/>
      </c>
    </row>
    <row r="9">
      <c r="A9" t="inlineStr">
        <is>
          <t>S_j</t>
        </is>
      </c>
      <c r="B9" s="12">
        <f>Exact!B12</f>
        <v/>
      </c>
    </row>
    <row r="11">
      <c r="A11" s="3" t="inlineStr">
        <is>
          <t>The two moment routes' parameters</t>
        </is>
      </c>
    </row>
    <row r="12">
      <c r="A12" t="inlineStr">
        <is>
          <t>mean lead time demand</t>
        </is>
      </c>
      <c r="B12" s="7">
        <f>B5*(B6+B7)</f>
        <v/>
      </c>
    </row>
    <row r="13">
      <c r="A13" t="inlineStr">
        <is>
          <t>its variance</t>
        </is>
      </c>
      <c r="B13" s="7">
        <f>B12+B5^2*B8</f>
        <v/>
      </c>
    </row>
    <row r="14">
      <c r="A14" t="inlineStr">
        <is>
          <t>negative binomial p</t>
        </is>
      </c>
      <c r="B14" s="7">
        <f>B12/B13</f>
        <v/>
      </c>
    </row>
    <row r="15">
      <c r="A15" t="inlineStr">
        <is>
          <t>negative binomial r</t>
        </is>
      </c>
      <c r="B15" s="7">
        <f>B12^2/(B13-B12)</f>
        <v/>
      </c>
    </row>
    <row r="17">
      <c r="A17" s="3" t="inlineStr">
        <is>
          <t>Backorders and on-hand per storeroom</t>
        </is>
      </c>
    </row>
    <row r="18">
      <c r="B18" s="9" t="inlineStr">
        <is>
          <t>mean only</t>
        </is>
      </c>
      <c r="C18" s="9" t="inlineStr">
        <is>
          <t>two moments</t>
        </is>
      </c>
      <c r="D18" s="9" t="inlineStr">
        <is>
          <t>conditioned</t>
        </is>
      </c>
      <c r="E18" s="9" t="inlineStr">
        <is>
          <t>exact</t>
        </is>
      </c>
    </row>
    <row r="19">
      <c r="A19" t="inlineStr">
        <is>
          <t>expected backorders</t>
        </is>
      </c>
      <c r="B19" s="7">
        <f>SUMPRODUCT(B26:B56,$E$26:$E$56)</f>
        <v/>
      </c>
      <c r="C19" s="7">
        <f>SUMPRODUCT(C26:C56,$E$26:$E$56)</f>
        <v/>
      </c>
      <c r="D19" s="7">
        <f>SUMPRODUCT(D26:D56,$E$26:$E$56)</f>
        <v/>
      </c>
      <c r="E19" s="7">
        <f>Exact!B29</f>
        <v/>
      </c>
    </row>
    <row r="20">
      <c r="A20" t="inlineStr">
        <is>
          <t>expected on-hand</t>
        </is>
      </c>
      <c r="B20" s="7">
        <f>$B$9-SUMPRODUCT(B26:B56,$A$26:$A$56)+B19</f>
        <v/>
      </c>
      <c r="C20" s="7">
        <f>$B$9-SUMPRODUCT(C26:C56,$A$26:$A$56)+C19</f>
        <v/>
      </c>
      <c r="D20" s="7">
        <f>$B$9-SUMPRODUCT(D26:D56,$A$26:$A$56)+D19</f>
        <v/>
      </c>
      <c r="E20" s="7">
        <f>B9-B5*(B6+B7)+E19</f>
        <v/>
      </c>
    </row>
    <row r="21">
      <c r="A21" s="2" t="inlineStr">
        <is>
          <t>On-hand less backorders is S_j - lambda_j (O_j + E[W]) in every route with the exact mean wait.</t>
        </is>
      </c>
    </row>
    <row r="22">
      <c r="A22" s="2" t="inlineStr">
        <is>
          <t>The wait's grid from the Delay sheet, one column per day: probability, then midpoint.</t>
        </is>
      </c>
    </row>
    <row r="23">
      <c r="F23" s="18">
        <f>INDEX(DelayMass,1)</f>
        <v/>
      </c>
      <c r="G23" s="18">
        <f>INDEX(DelayMass,2)</f>
        <v/>
      </c>
      <c r="H23" s="18">
        <f>INDEX(DelayMass,3)</f>
        <v/>
      </c>
      <c r="I23" s="18">
        <f>INDEX(DelayMass,4)</f>
        <v/>
      </c>
      <c r="J23" s="18">
        <f>INDEX(DelayMass,5)</f>
        <v/>
      </c>
      <c r="K23" s="18">
        <f>INDEX(DelayMass,6)</f>
        <v/>
      </c>
      <c r="L23" s="18">
        <f>INDEX(DelayMass,7)</f>
        <v/>
      </c>
      <c r="M23" s="18">
        <f>INDEX(DelayMass,8)</f>
        <v/>
      </c>
      <c r="N23" s="18">
        <f>INDEX(DelayMass,9)</f>
        <v/>
      </c>
      <c r="O23" s="18">
        <f>INDEX(DelayMass,10)</f>
        <v/>
      </c>
      <c r="P23" s="18">
        <f>INDEX(DelayMass,11)</f>
        <v/>
      </c>
      <c r="Q23" s="18">
        <f>INDEX(DelayMass,12)</f>
        <v/>
      </c>
      <c r="R23" s="18">
        <f>INDEX(DelayMass,13)</f>
        <v/>
      </c>
      <c r="S23" s="18">
        <f>INDEX(DelayMass,14)</f>
        <v/>
      </c>
      <c r="T23" s="18">
        <f>INDEX(DelayMass,15)</f>
        <v/>
      </c>
      <c r="U23" s="18">
        <f>INDEX(DelayMass,16)</f>
        <v/>
      </c>
      <c r="V23" s="18">
        <f>INDEX(DelayMass,17)</f>
        <v/>
      </c>
      <c r="W23" s="18">
        <f>INDEX(DelayMass,18)</f>
        <v/>
      </c>
      <c r="X23" s="18">
        <f>INDEX(DelayMass,19)</f>
        <v/>
      </c>
      <c r="Y23" s="18">
        <f>INDEX(DelayMass,20)</f>
        <v/>
      </c>
      <c r="Z23" s="18">
        <f>INDEX(DelayMass,21)</f>
        <v/>
      </c>
      <c r="AA23" s="18">
        <f>INDEX(DelayMass,22)</f>
        <v/>
      </c>
    </row>
    <row r="24">
      <c r="F24" s="19">
        <f>INDEX(DelayMid,1)</f>
        <v/>
      </c>
      <c r="G24" s="19">
        <f>INDEX(DelayMid,2)</f>
        <v/>
      </c>
      <c r="H24" s="19">
        <f>INDEX(DelayMid,3)</f>
        <v/>
      </c>
      <c r="I24" s="19">
        <f>INDEX(DelayMid,4)</f>
        <v/>
      </c>
      <c r="J24" s="19">
        <f>INDEX(DelayMid,5)</f>
        <v/>
      </c>
      <c r="K24" s="19">
        <f>INDEX(DelayMid,6)</f>
        <v/>
      </c>
      <c r="L24" s="19">
        <f>INDEX(DelayMid,7)</f>
        <v/>
      </c>
      <c r="M24" s="19">
        <f>INDEX(DelayMid,8)</f>
        <v/>
      </c>
      <c r="N24" s="19">
        <f>INDEX(DelayMid,9)</f>
        <v/>
      </c>
      <c r="O24" s="19">
        <f>INDEX(DelayMid,10)</f>
        <v/>
      </c>
      <c r="P24" s="19">
        <f>INDEX(DelayMid,11)</f>
        <v/>
      </c>
      <c r="Q24" s="19">
        <f>INDEX(DelayMid,12)</f>
        <v/>
      </c>
      <c r="R24" s="19">
        <f>INDEX(DelayMid,13)</f>
        <v/>
      </c>
      <c r="S24" s="19">
        <f>INDEX(DelayMid,14)</f>
        <v/>
      </c>
      <c r="T24" s="19">
        <f>INDEX(DelayMid,15)</f>
        <v/>
      </c>
      <c r="U24" s="19">
        <f>INDEX(DelayMid,16)</f>
        <v/>
      </c>
      <c r="V24" s="19">
        <f>INDEX(DelayMid,17)</f>
        <v/>
      </c>
      <c r="W24" s="19">
        <f>INDEX(DelayMid,18)</f>
        <v/>
      </c>
      <c r="X24" s="19">
        <f>INDEX(DelayMid,19)</f>
        <v/>
      </c>
      <c r="Y24" s="19">
        <f>INDEX(DelayMid,20)</f>
        <v/>
      </c>
      <c r="Z24" s="19">
        <f>INDEX(DelayMid,21)</f>
        <v/>
      </c>
      <c r="AA24" s="19">
        <f>INDEX(DelayMid,22)</f>
        <v/>
      </c>
    </row>
    <row r="25">
      <c r="A25" s="9" t="inlineStr">
        <is>
          <t>x</t>
        </is>
      </c>
      <c r="B25" s="9" t="inlineStr">
        <is>
          <t>mean only</t>
        </is>
      </c>
      <c r="C25" s="9" t="inlineStr">
        <is>
          <t>two moments</t>
        </is>
      </c>
      <c r="D25" s="9" t="inlineStr">
        <is>
          <t>conditioned</t>
        </is>
      </c>
      <c r="E25" s="9" t="inlineStr">
        <is>
          <t>(x - S_j)+</t>
        </is>
      </c>
      <c r="F25" s="9" t="inlineStr">
        <is>
          <t>day 0</t>
        </is>
      </c>
      <c r="G25" s="9" t="inlineStr">
        <is>
          <t>day 1</t>
        </is>
      </c>
      <c r="H25" s="9" t="inlineStr">
        <is>
          <t>day 2</t>
        </is>
      </c>
      <c r="I25" s="9" t="inlineStr">
        <is>
          <t>day 3</t>
        </is>
      </c>
      <c r="J25" s="9" t="inlineStr">
        <is>
          <t>day 4</t>
        </is>
      </c>
      <c r="K25" s="9" t="inlineStr">
        <is>
          <t>day 5</t>
        </is>
      </c>
      <c r="L25" s="9" t="inlineStr">
        <is>
          <t>day 6</t>
        </is>
      </c>
      <c r="M25" s="9" t="inlineStr">
        <is>
          <t>day 7</t>
        </is>
      </c>
      <c r="N25" s="9" t="inlineStr">
        <is>
          <t>day 8</t>
        </is>
      </c>
      <c r="O25" s="9" t="inlineStr">
        <is>
          <t>day 9</t>
        </is>
      </c>
      <c r="P25" s="9" t="inlineStr">
        <is>
          <t>day 10</t>
        </is>
      </c>
      <c r="Q25" s="9" t="inlineStr">
        <is>
          <t>day 11</t>
        </is>
      </c>
      <c r="R25" s="9" t="inlineStr">
        <is>
          <t>day 12</t>
        </is>
      </c>
      <c r="S25" s="9" t="inlineStr">
        <is>
          <t>day 13</t>
        </is>
      </c>
      <c r="T25" s="9" t="inlineStr">
        <is>
          <t>day 14</t>
        </is>
      </c>
      <c r="U25" s="9" t="inlineStr">
        <is>
          <t>day 15</t>
        </is>
      </c>
      <c r="V25" s="9" t="inlineStr">
        <is>
          <t>day 16</t>
        </is>
      </c>
      <c r="W25" s="9" t="inlineStr">
        <is>
          <t>day 17</t>
        </is>
      </c>
      <c r="X25" s="9" t="inlineStr">
        <is>
          <t>day 18</t>
        </is>
      </c>
      <c r="Y25" s="9" t="inlineStr">
        <is>
          <t>day 19</t>
        </is>
      </c>
      <c r="Z25" s="9" t="inlineStr">
        <is>
          <t>day 20</t>
        </is>
      </c>
      <c r="AA25" s="9" t="inlineStr">
        <is>
          <t>day 21</t>
        </is>
      </c>
    </row>
    <row r="26">
      <c r="A26" s="10" t="n">
        <v>0</v>
      </c>
      <c r="B26" s="11">
        <f>_xlfn.POISSON.DIST(A26,$B$12,FALSE)</f>
        <v/>
      </c>
      <c r="C26" s="11">
        <f>$B$14^$B$15</f>
        <v/>
      </c>
      <c r="D26" s="11">
        <f>SUMPRODUCT(F26:AA26,$F$23:$AA$23)</f>
        <v/>
      </c>
      <c r="E26" s="12">
        <f>MAX(0,A26-$B$9)</f>
        <v/>
      </c>
      <c r="F26" s="18">
        <f>_xlfn.POISSON.DIST($A26,$B$5*($B$6+F$24),FALSE)</f>
        <v/>
      </c>
      <c r="G26" s="18">
        <f>_xlfn.POISSON.DIST($A26,$B$5*($B$6+G$24),FALSE)</f>
        <v/>
      </c>
      <c r="H26" s="18">
        <f>_xlfn.POISSON.DIST($A26,$B$5*($B$6+H$24),FALSE)</f>
        <v/>
      </c>
      <c r="I26" s="18">
        <f>_xlfn.POISSON.DIST($A26,$B$5*($B$6+I$24),FALSE)</f>
        <v/>
      </c>
      <c r="J26" s="18">
        <f>_xlfn.POISSON.DIST($A26,$B$5*($B$6+J$24),FALSE)</f>
        <v/>
      </c>
      <c r="K26" s="18">
        <f>_xlfn.POISSON.DIST($A26,$B$5*($B$6+K$24),FALSE)</f>
        <v/>
      </c>
      <c r="L26" s="18">
        <f>_xlfn.POISSON.DIST($A26,$B$5*($B$6+L$24),FALSE)</f>
        <v/>
      </c>
      <c r="M26" s="18">
        <f>_xlfn.POISSON.DIST($A26,$B$5*($B$6+M$24),FALSE)</f>
        <v/>
      </c>
      <c r="N26" s="18">
        <f>_xlfn.POISSON.DIST($A26,$B$5*($B$6+N$24),FALSE)</f>
        <v/>
      </c>
      <c r="O26" s="18">
        <f>_xlfn.POISSON.DIST($A26,$B$5*($B$6+O$24),FALSE)</f>
        <v/>
      </c>
      <c r="P26" s="18">
        <f>_xlfn.POISSON.DIST($A26,$B$5*($B$6+P$24),FALSE)</f>
        <v/>
      </c>
      <c r="Q26" s="18">
        <f>_xlfn.POISSON.DIST($A26,$B$5*($B$6+Q$24),FALSE)</f>
        <v/>
      </c>
      <c r="R26" s="18">
        <f>_xlfn.POISSON.DIST($A26,$B$5*($B$6+R$24),FALSE)</f>
        <v/>
      </c>
      <c r="S26" s="18">
        <f>_xlfn.POISSON.DIST($A26,$B$5*($B$6+S$24),FALSE)</f>
        <v/>
      </c>
      <c r="T26" s="18">
        <f>_xlfn.POISSON.DIST($A26,$B$5*($B$6+T$24),FALSE)</f>
        <v/>
      </c>
      <c r="U26" s="18">
        <f>_xlfn.POISSON.DIST($A26,$B$5*($B$6+U$24),FALSE)</f>
        <v/>
      </c>
      <c r="V26" s="18">
        <f>_xlfn.POISSON.DIST($A26,$B$5*($B$6+V$24),FALSE)</f>
        <v/>
      </c>
      <c r="W26" s="18">
        <f>_xlfn.POISSON.DIST($A26,$B$5*($B$6+W$24),FALSE)</f>
        <v/>
      </c>
      <c r="X26" s="18">
        <f>_xlfn.POISSON.DIST($A26,$B$5*($B$6+X$24),FALSE)</f>
        <v/>
      </c>
      <c r="Y26" s="18">
        <f>_xlfn.POISSON.DIST($A26,$B$5*($B$6+Y$24),FALSE)</f>
        <v/>
      </c>
      <c r="Z26" s="18">
        <f>_xlfn.POISSON.DIST($A26,$B$5*($B$6+Z$24),FALSE)</f>
        <v/>
      </c>
      <c r="AA26" s="18">
        <f>_xlfn.POISSON.DIST($A26,$B$5*($B$6+AA$24),FALSE)</f>
        <v/>
      </c>
    </row>
    <row r="27">
      <c r="A27" s="10" t="n">
        <v>1</v>
      </c>
      <c r="B27" s="11">
        <f>_xlfn.POISSON.DIST(A27,$B$12,FALSE)</f>
        <v/>
      </c>
      <c r="C27" s="11">
        <f>C26*($B$15+A27-1)*(1-$B$14)/A27</f>
        <v/>
      </c>
      <c r="D27" s="11">
        <f>SUMPRODUCT(F27:AA27,$F$23:$AA$23)</f>
        <v/>
      </c>
      <c r="E27" s="12">
        <f>MAX(0,A27-$B$9)</f>
        <v/>
      </c>
      <c r="F27" s="18">
        <f>_xlfn.POISSON.DIST($A27,$B$5*($B$6+F$24),FALSE)</f>
        <v/>
      </c>
      <c r="G27" s="18">
        <f>_xlfn.POISSON.DIST($A27,$B$5*($B$6+G$24),FALSE)</f>
        <v/>
      </c>
      <c r="H27" s="18">
        <f>_xlfn.POISSON.DIST($A27,$B$5*($B$6+H$24),FALSE)</f>
        <v/>
      </c>
      <c r="I27" s="18">
        <f>_xlfn.POISSON.DIST($A27,$B$5*($B$6+I$24),FALSE)</f>
        <v/>
      </c>
      <c r="J27" s="18">
        <f>_xlfn.POISSON.DIST($A27,$B$5*($B$6+J$24),FALSE)</f>
        <v/>
      </c>
      <c r="K27" s="18">
        <f>_xlfn.POISSON.DIST($A27,$B$5*($B$6+K$24),FALSE)</f>
        <v/>
      </c>
      <c r="L27" s="18">
        <f>_xlfn.POISSON.DIST($A27,$B$5*($B$6+L$24),FALSE)</f>
        <v/>
      </c>
      <c r="M27" s="18">
        <f>_xlfn.POISSON.DIST($A27,$B$5*($B$6+M$24),FALSE)</f>
        <v/>
      </c>
      <c r="N27" s="18">
        <f>_xlfn.POISSON.DIST($A27,$B$5*($B$6+N$24),FALSE)</f>
        <v/>
      </c>
      <c r="O27" s="18">
        <f>_xlfn.POISSON.DIST($A27,$B$5*($B$6+O$24),FALSE)</f>
        <v/>
      </c>
      <c r="P27" s="18">
        <f>_xlfn.POISSON.DIST($A27,$B$5*($B$6+P$24),FALSE)</f>
        <v/>
      </c>
      <c r="Q27" s="18">
        <f>_xlfn.POISSON.DIST($A27,$B$5*($B$6+Q$24),FALSE)</f>
        <v/>
      </c>
      <c r="R27" s="18">
        <f>_xlfn.POISSON.DIST($A27,$B$5*($B$6+R$24),FALSE)</f>
        <v/>
      </c>
      <c r="S27" s="18">
        <f>_xlfn.POISSON.DIST($A27,$B$5*($B$6+S$24),FALSE)</f>
        <v/>
      </c>
      <c r="T27" s="18">
        <f>_xlfn.POISSON.DIST($A27,$B$5*($B$6+T$24),FALSE)</f>
        <v/>
      </c>
      <c r="U27" s="18">
        <f>_xlfn.POISSON.DIST($A27,$B$5*($B$6+U$24),FALSE)</f>
        <v/>
      </c>
      <c r="V27" s="18">
        <f>_xlfn.POISSON.DIST($A27,$B$5*($B$6+V$24),FALSE)</f>
        <v/>
      </c>
      <c r="W27" s="18">
        <f>_xlfn.POISSON.DIST($A27,$B$5*($B$6+W$24),FALSE)</f>
        <v/>
      </c>
      <c r="X27" s="18">
        <f>_xlfn.POISSON.DIST($A27,$B$5*($B$6+X$24),FALSE)</f>
        <v/>
      </c>
      <c r="Y27" s="18">
        <f>_xlfn.POISSON.DIST($A27,$B$5*($B$6+Y$24),FALSE)</f>
        <v/>
      </c>
      <c r="Z27" s="18">
        <f>_xlfn.POISSON.DIST($A27,$B$5*($B$6+Z$24),FALSE)</f>
        <v/>
      </c>
      <c r="AA27" s="18">
        <f>_xlfn.POISSON.DIST($A27,$B$5*($B$6+AA$24),FALSE)</f>
        <v/>
      </c>
    </row>
    <row r="28">
      <c r="A28" s="10" t="n">
        <v>2</v>
      </c>
      <c r="B28" s="11">
        <f>_xlfn.POISSON.DIST(A28,$B$12,FALSE)</f>
        <v/>
      </c>
      <c r="C28" s="11">
        <f>C27*($B$15+A28-1)*(1-$B$14)/A28</f>
        <v/>
      </c>
      <c r="D28" s="11">
        <f>SUMPRODUCT(F28:AA28,$F$23:$AA$23)</f>
        <v/>
      </c>
      <c r="E28" s="12">
        <f>MAX(0,A28-$B$9)</f>
        <v/>
      </c>
      <c r="F28" s="18">
        <f>_xlfn.POISSON.DIST($A28,$B$5*($B$6+F$24),FALSE)</f>
        <v/>
      </c>
      <c r="G28" s="18">
        <f>_xlfn.POISSON.DIST($A28,$B$5*($B$6+G$24),FALSE)</f>
        <v/>
      </c>
      <c r="H28" s="18">
        <f>_xlfn.POISSON.DIST($A28,$B$5*($B$6+H$24),FALSE)</f>
        <v/>
      </c>
      <c r="I28" s="18">
        <f>_xlfn.POISSON.DIST($A28,$B$5*($B$6+I$24),FALSE)</f>
        <v/>
      </c>
      <c r="J28" s="18">
        <f>_xlfn.POISSON.DIST($A28,$B$5*($B$6+J$24),FALSE)</f>
        <v/>
      </c>
      <c r="K28" s="18">
        <f>_xlfn.POISSON.DIST($A28,$B$5*($B$6+K$24),FALSE)</f>
        <v/>
      </c>
      <c r="L28" s="18">
        <f>_xlfn.POISSON.DIST($A28,$B$5*($B$6+L$24),FALSE)</f>
        <v/>
      </c>
      <c r="M28" s="18">
        <f>_xlfn.POISSON.DIST($A28,$B$5*($B$6+M$24),FALSE)</f>
        <v/>
      </c>
      <c r="N28" s="18">
        <f>_xlfn.POISSON.DIST($A28,$B$5*($B$6+N$24),FALSE)</f>
        <v/>
      </c>
      <c r="O28" s="18">
        <f>_xlfn.POISSON.DIST($A28,$B$5*($B$6+O$24),FALSE)</f>
        <v/>
      </c>
      <c r="P28" s="18">
        <f>_xlfn.POISSON.DIST($A28,$B$5*($B$6+P$24),FALSE)</f>
        <v/>
      </c>
      <c r="Q28" s="18">
        <f>_xlfn.POISSON.DIST($A28,$B$5*($B$6+Q$24),FALSE)</f>
        <v/>
      </c>
      <c r="R28" s="18">
        <f>_xlfn.POISSON.DIST($A28,$B$5*($B$6+R$24),FALSE)</f>
        <v/>
      </c>
      <c r="S28" s="18">
        <f>_xlfn.POISSON.DIST($A28,$B$5*($B$6+S$24),FALSE)</f>
        <v/>
      </c>
      <c r="T28" s="18">
        <f>_xlfn.POISSON.DIST($A28,$B$5*($B$6+T$24),FALSE)</f>
        <v/>
      </c>
      <c r="U28" s="18">
        <f>_xlfn.POISSON.DIST($A28,$B$5*($B$6+U$24),FALSE)</f>
        <v/>
      </c>
      <c r="V28" s="18">
        <f>_xlfn.POISSON.DIST($A28,$B$5*($B$6+V$24),FALSE)</f>
        <v/>
      </c>
      <c r="W28" s="18">
        <f>_xlfn.POISSON.DIST($A28,$B$5*($B$6+W$24),FALSE)</f>
        <v/>
      </c>
      <c r="X28" s="18">
        <f>_xlfn.POISSON.DIST($A28,$B$5*($B$6+X$24),FALSE)</f>
        <v/>
      </c>
      <c r="Y28" s="18">
        <f>_xlfn.POISSON.DIST($A28,$B$5*($B$6+Y$24),FALSE)</f>
        <v/>
      </c>
      <c r="Z28" s="18">
        <f>_xlfn.POISSON.DIST($A28,$B$5*($B$6+Z$24),FALSE)</f>
        <v/>
      </c>
      <c r="AA28" s="18">
        <f>_xlfn.POISSON.DIST($A28,$B$5*($B$6+AA$24),FALSE)</f>
        <v/>
      </c>
    </row>
    <row r="29">
      <c r="A29" s="10" t="n">
        <v>3</v>
      </c>
      <c r="B29" s="11">
        <f>_xlfn.POISSON.DIST(A29,$B$12,FALSE)</f>
        <v/>
      </c>
      <c r="C29" s="11">
        <f>C28*($B$15+A29-1)*(1-$B$14)/A29</f>
        <v/>
      </c>
      <c r="D29" s="11">
        <f>SUMPRODUCT(F29:AA29,$F$23:$AA$23)</f>
        <v/>
      </c>
      <c r="E29" s="12">
        <f>MAX(0,A29-$B$9)</f>
        <v/>
      </c>
      <c r="F29" s="18">
        <f>_xlfn.POISSON.DIST($A29,$B$5*($B$6+F$24),FALSE)</f>
        <v/>
      </c>
      <c r="G29" s="18">
        <f>_xlfn.POISSON.DIST($A29,$B$5*($B$6+G$24),FALSE)</f>
        <v/>
      </c>
      <c r="H29" s="18">
        <f>_xlfn.POISSON.DIST($A29,$B$5*($B$6+H$24),FALSE)</f>
        <v/>
      </c>
      <c r="I29" s="18">
        <f>_xlfn.POISSON.DIST($A29,$B$5*($B$6+I$24),FALSE)</f>
        <v/>
      </c>
      <c r="J29" s="18">
        <f>_xlfn.POISSON.DIST($A29,$B$5*($B$6+J$24),FALSE)</f>
        <v/>
      </c>
      <c r="K29" s="18">
        <f>_xlfn.POISSON.DIST($A29,$B$5*($B$6+K$24),FALSE)</f>
        <v/>
      </c>
      <c r="L29" s="18">
        <f>_xlfn.POISSON.DIST($A29,$B$5*($B$6+L$24),FALSE)</f>
        <v/>
      </c>
      <c r="M29" s="18">
        <f>_xlfn.POISSON.DIST($A29,$B$5*($B$6+M$24),FALSE)</f>
        <v/>
      </c>
      <c r="N29" s="18">
        <f>_xlfn.POISSON.DIST($A29,$B$5*($B$6+N$24),FALSE)</f>
        <v/>
      </c>
      <c r="O29" s="18">
        <f>_xlfn.POISSON.DIST($A29,$B$5*($B$6+O$24),FALSE)</f>
        <v/>
      </c>
      <c r="P29" s="18">
        <f>_xlfn.POISSON.DIST($A29,$B$5*($B$6+P$24),FALSE)</f>
        <v/>
      </c>
      <c r="Q29" s="18">
        <f>_xlfn.POISSON.DIST($A29,$B$5*($B$6+Q$24),FALSE)</f>
        <v/>
      </c>
      <c r="R29" s="18">
        <f>_xlfn.POISSON.DIST($A29,$B$5*($B$6+R$24),FALSE)</f>
        <v/>
      </c>
      <c r="S29" s="18">
        <f>_xlfn.POISSON.DIST($A29,$B$5*($B$6+S$24),FALSE)</f>
        <v/>
      </c>
      <c r="T29" s="18">
        <f>_xlfn.POISSON.DIST($A29,$B$5*($B$6+T$24),FALSE)</f>
        <v/>
      </c>
      <c r="U29" s="18">
        <f>_xlfn.POISSON.DIST($A29,$B$5*($B$6+U$24),FALSE)</f>
        <v/>
      </c>
      <c r="V29" s="18">
        <f>_xlfn.POISSON.DIST($A29,$B$5*($B$6+V$24),FALSE)</f>
        <v/>
      </c>
      <c r="W29" s="18">
        <f>_xlfn.POISSON.DIST($A29,$B$5*($B$6+W$24),FALSE)</f>
        <v/>
      </c>
      <c r="X29" s="18">
        <f>_xlfn.POISSON.DIST($A29,$B$5*($B$6+X$24),FALSE)</f>
        <v/>
      </c>
      <c r="Y29" s="18">
        <f>_xlfn.POISSON.DIST($A29,$B$5*($B$6+Y$24),FALSE)</f>
        <v/>
      </c>
      <c r="Z29" s="18">
        <f>_xlfn.POISSON.DIST($A29,$B$5*($B$6+Z$24),FALSE)</f>
        <v/>
      </c>
      <c r="AA29" s="18">
        <f>_xlfn.POISSON.DIST($A29,$B$5*($B$6+AA$24),FALSE)</f>
        <v/>
      </c>
    </row>
    <row r="30">
      <c r="A30" s="10" t="n">
        <v>4</v>
      </c>
      <c r="B30" s="11">
        <f>_xlfn.POISSON.DIST(A30,$B$12,FALSE)</f>
        <v/>
      </c>
      <c r="C30" s="11">
        <f>C29*($B$15+A30-1)*(1-$B$14)/A30</f>
        <v/>
      </c>
      <c r="D30" s="11">
        <f>SUMPRODUCT(F30:AA30,$F$23:$AA$23)</f>
        <v/>
      </c>
      <c r="E30" s="12">
        <f>MAX(0,A30-$B$9)</f>
        <v/>
      </c>
      <c r="F30" s="18">
        <f>_xlfn.POISSON.DIST($A30,$B$5*($B$6+F$24),FALSE)</f>
        <v/>
      </c>
      <c r="G30" s="18">
        <f>_xlfn.POISSON.DIST($A30,$B$5*($B$6+G$24),FALSE)</f>
        <v/>
      </c>
      <c r="H30" s="18">
        <f>_xlfn.POISSON.DIST($A30,$B$5*($B$6+H$24),FALSE)</f>
        <v/>
      </c>
      <c r="I30" s="18">
        <f>_xlfn.POISSON.DIST($A30,$B$5*($B$6+I$24),FALSE)</f>
        <v/>
      </c>
      <c r="J30" s="18">
        <f>_xlfn.POISSON.DIST($A30,$B$5*($B$6+J$24),FALSE)</f>
        <v/>
      </c>
      <c r="K30" s="18">
        <f>_xlfn.POISSON.DIST($A30,$B$5*($B$6+K$24),FALSE)</f>
        <v/>
      </c>
      <c r="L30" s="18">
        <f>_xlfn.POISSON.DIST($A30,$B$5*($B$6+L$24),FALSE)</f>
        <v/>
      </c>
      <c r="M30" s="18">
        <f>_xlfn.POISSON.DIST($A30,$B$5*($B$6+M$24),FALSE)</f>
        <v/>
      </c>
      <c r="N30" s="18">
        <f>_xlfn.POISSON.DIST($A30,$B$5*($B$6+N$24),FALSE)</f>
        <v/>
      </c>
      <c r="O30" s="18">
        <f>_xlfn.POISSON.DIST($A30,$B$5*($B$6+O$24),FALSE)</f>
        <v/>
      </c>
      <c r="P30" s="18">
        <f>_xlfn.POISSON.DIST($A30,$B$5*($B$6+P$24),FALSE)</f>
        <v/>
      </c>
      <c r="Q30" s="18">
        <f>_xlfn.POISSON.DIST($A30,$B$5*($B$6+Q$24),FALSE)</f>
        <v/>
      </c>
      <c r="R30" s="18">
        <f>_xlfn.POISSON.DIST($A30,$B$5*($B$6+R$24),FALSE)</f>
        <v/>
      </c>
      <c r="S30" s="18">
        <f>_xlfn.POISSON.DIST($A30,$B$5*($B$6+S$24),FALSE)</f>
        <v/>
      </c>
      <c r="T30" s="18">
        <f>_xlfn.POISSON.DIST($A30,$B$5*($B$6+T$24),FALSE)</f>
        <v/>
      </c>
      <c r="U30" s="18">
        <f>_xlfn.POISSON.DIST($A30,$B$5*($B$6+U$24),FALSE)</f>
        <v/>
      </c>
      <c r="V30" s="18">
        <f>_xlfn.POISSON.DIST($A30,$B$5*($B$6+V$24),FALSE)</f>
        <v/>
      </c>
      <c r="W30" s="18">
        <f>_xlfn.POISSON.DIST($A30,$B$5*($B$6+W$24),FALSE)</f>
        <v/>
      </c>
      <c r="X30" s="18">
        <f>_xlfn.POISSON.DIST($A30,$B$5*($B$6+X$24),FALSE)</f>
        <v/>
      </c>
      <c r="Y30" s="18">
        <f>_xlfn.POISSON.DIST($A30,$B$5*($B$6+Y$24),FALSE)</f>
        <v/>
      </c>
      <c r="Z30" s="18">
        <f>_xlfn.POISSON.DIST($A30,$B$5*($B$6+Z$24),FALSE)</f>
        <v/>
      </c>
      <c r="AA30" s="18">
        <f>_xlfn.POISSON.DIST($A30,$B$5*($B$6+AA$24),FALSE)</f>
        <v/>
      </c>
    </row>
    <row r="31">
      <c r="A31" s="10" t="n">
        <v>5</v>
      </c>
      <c r="B31" s="11">
        <f>_xlfn.POISSON.DIST(A31,$B$12,FALSE)</f>
        <v/>
      </c>
      <c r="C31" s="11">
        <f>C30*($B$15+A31-1)*(1-$B$14)/A31</f>
        <v/>
      </c>
      <c r="D31" s="11">
        <f>SUMPRODUCT(F31:AA31,$F$23:$AA$23)</f>
        <v/>
      </c>
      <c r="E31" s="12">
        <f>MAX(0,A31-$B$9)</f>
        <v/>
      </c>
      <c r="F31" s="18">
        <f>_xlfn.POISSON.DIST($A31,$B$5*($B$6+F$24),FALSE)</f>
        <v/>
      </c>
      <c r="G31" s="18">
        <f>_xlfn.POISSON.DIST($A31,$B$5*($B$6+G$24),FALSE)</f>
        <v/>
      </c>
      <c r="H31" s="18">
        <f>_xlfn.POISSON.DIST($A31,$B$5*($B$6+H$24),FALSE)</f>
        <v/>
      </c>
      <c r="I31" s="18">
        <f>_xlfn.POISSON.DIST($A31,$B$5*($B$6+I$24),FALSE)</f>
        <v/>
      </c>
      <c r="J31" s="18">
        <f>_xlfn.POISSON.DIST($A31,$B$5*($B$6+J$24),FALSE)</f>
        <v/>
      </c>
      <c r="K31" s="18">
        <f>_xlfn.POISSON.DIST($A31,$B$5*($B$6+K$24),FALSE)</f>
        <v/>
      </c>
      <c r="L31" s="18">
        <f>_xlfn.POISSON.DIST($A31,$B$5*($B$6+L$24),FALSE)</f>
        <v/>
      </c>
      <c r="M31" s="18">
        <f>_xlfn.POISSON.DIST($A31,$B$5*($B$6+M$24),FALSE)</f>
        <v/>
      </c>
      <c r="N31" s="18">
        <f>_xlfn.POISSON.DIST($A31,$B$5*($B$6+N$24),FALSE)</f>
        <v/>
      </c>
      <c r="O31" s="18">
        <f>_xlfn.POISSON.DIST($A31,$B$5*($B$6+O$24),FALSE)</f>
        <v/>
      </c>
      <c r="P31" s="18">
        <f>_xlfn.POISSON.DIST($A31,$B$5*($B$6+P$24),FALSE)</f>
        <v/>
      </c>
      <c r="Q31" s="18">
        <f>_xlfn.POISSON.DIST($A31,$B$5*($B$6+Q$24),FALSE)</f>
        <v/>
      </c>
      <c r="R31" s="18">
        <f>_xlfn.POISSON.DIST($A31,$B$5*($B$6+R$24),FALSE)</f>
        <v/>
      </c>
      <c r="S31" s="18">
        <f>_xlfn.POISSON.DIST($A31,$B$5*($B$6+S$24),FALSE)</f>
        <v/>
      </c>
      <c r="T31" s="18">
        <f>_xlfn.POISSON.DIST($A31,$B$5*($B$6+T$24),FALSE)</f>
        <v/>
      </c>
      <c r="U31" s="18">
        <f>_xlfn.POISSON.DIST($A31,$B$5*($B$6+U$24),FALSE)</f>
        <v/>
      </c>
      <c r="V31" s="18">
        <f>_xlfn.POISSON.DIST($A31,$B$5*($B$6+V$24),FALSE)</f>
        <v/>
      </c>
      <c r="W31" s="18">
        <f>_xlfn.POISSON.DIST($A31,$B$5*($B$6+W$24),FALSE)</f>
        <v/>
      </c>
      <c r="X31" s="18">
        <f>_xlfn.POISSON.DIST($A31,$B$5*($B$6+X$24),FALSE)</f>
        <v/>
      </c>
      <c r="Y31" s="18">
        <f>_xlfn.POISSON.DIST($A31,$B$5*($B$6+Y$24),FALSE)</f>
        <v/>
      </c>
      <c r="Z31" s="18">
        <f>_xlfn.POISSON.DIST($A31,$B$5*($B$6+Z$24),FALSE)</f>
        <v/>
      </c>
      <c r="AA31" s="18">
        <f>_xlfn.POISSON.DIST($A31,$B$5*($B$6+AA$24),FALSE)</f>
        <v/>
      </c>
    </row>
    <row r="32">
      <c r="A32" s="10" t="n">
        <v>6</v>
      </c>
      <c r="B32" s="11">
        <f>_xlfn.POISSON.DIST(A32,$B$12,FALSE)</f>
        <v/>
      </c>
      <c r="C32" s="11">
        <f>C31*($B$15+A32-1)*(1-$B$14)/A32</f>
        <v/>
      </c>
      <c r="D32" s="11">
        <f>SUMPRODUCT(F32:AA32,$F$23:$AA$23)</f>
        <v/>
      </c>
      <c r="E32" s="12">
        <f>MAX(0,A32-$B$9)</f>
        <v/>
      </c>
      <c r="F32" s="18">
        <f>_xlfn.POISSON.DIST($A32,$B$5*($B$6+F$24),FALSE)</f>
        <v/>
      </c>
      <c r="G32" s="18">
        <f>_xlfn.POISSON.DIST($A32,$B$5*($B$6+G$24),FALSE)</f>
        <v/>
      </c>
      <c r="H32" s="18">
        <f>_xlfn.POISSON.DIST($A32,$B$5*($B$6+H$24),FALSE)</f>
        <v/>
      </c>
      <c r="I32" s="18">
        <f>_xlfn.POISSON.DIST($A32,$B$5*($B$6+I$24),FALSE)</f>
        <v/>
      </c>
      <c r="J32" s="18">
        <f>_xlfn.POISSON.DIST($A32,$B$5*($B$6+J$24),FALSE)</f>
        <v/>
      </c>
      <c r="K32" s="18">
        <f>_xlfn.POISSON.DIST($A32,$B$5*($B$6+K$24),FALSE)</f>
        <v/>
      </c>
      <c r="L32" s="18">
        <f>_xlfn.POISSON.DIST($A32,$B$5*($B$6+L$24),FALSE)</f>
        <v/>
      </c>
      <c r="M32" s="18">
        <f>_xlfn.POISSON.DIST($A32,$B$5*($B$6+M$24),FALSE)</f>
        <v/>
      </c>
      <c r="N32" s="18">
        <f>_xlfn.POISSON.DIST($A32,$B$5*($B$6+N$24),FALSE)</f>
        <v/>
      </c>
      <c r="O32" s="18">
        <f>_xlfn.POISSON.DIST($A32,$B$5*($B$6+O$24),FALSE)</f>
        <v/>
      </c>
      <c r="P32" s="18">
        <f>_xlfn.POISSON.DIST($A32,$B$5*($B$6+P$24),FALSE)</f>
        <v/>
      </c>
      <c r="Q32" s="18">
        <f>_xlfn.POISSON.DIST($A32,$B$5*($B$6+Q$24),FALSE)</f>
        <v/>
      </c>
      <c r="R32" s="18">
        <f>_xlfn.POISSON.DIST($A32,$B$5*($B$6+R$24),FALSE)</f>
        <v/>
      </c>
      <c r="S32" s="18">
        <f>_xlfn.POISSON.DIST($A32,$B$5*($B$6+S$24),FALSE)</f>
        <v/>
      </c>
      <c r="T32" s="18">
        <f>_xlfn.POISSON.DIST($A32,$B$5*($B$6+T$24),FALSE)</f>
        <v/>
      </c>
      <c r="U32" s="18">
        <f>_xlfn.POISSON.DIST($A32,$B$5*($B$6+U$24),FALSE)</f>
        <v/>
      </c>
      <c r="V32" s="18">
        <f>_xlfn.POISSON.DIST($A32,$B$5*($B$6+V$24),FALSE)</f>
        <v/>
      </c>
      <c r="W32" s="18">
        <f>_xlfn.POISSON.DIST($A32,$B$5*($B$6+W$24),FALSE)</f>
        <v/>
      </c>
      <c r="X32" s="18">
        <f>_xlfn.POISSON.DIST($A32,$B$5*($B$6+X$24),FALSE)</f>
        <v/>
      </c>
      <c r="Y32" s="18">
        <f>_xlfn.POISSON.DIST($A32,$B$5*($B$6+Y$24),FALSE)</f>
        <v/>
      </c>
      <c r="Z32" s="18">
        <f>_xlfn.POISSON.DIST($A32,$B$5*($B$6+Z$24),FALSE)</f>
        <v/>
      </c>
      <c r="AA32" s="18">
        <f>_xlfn.POISSON.DIST($A32,$B$5*($B$6+AA$24),FALSE)</f>
        <v/>
      </c>
    </row>
    <row r="33">
      <c r="A33" s="10" t="n">
        <v>7</v>
      </c>
      <c r="B33" s="11">
        <f>_xlfn.POISSON.DIST(A33,$B$12,FALSE)</f>
        <v/>
      </c>
      <c r="C33" s="11">
        <f>C32*($B$15+A33-1)*(1-$B$14)/A33</f>
        <v/>
      </c>
      <c r="D33" s="11">
        <f>SUMPRODUCT(F33:AA33,$F$23:$AA$23)</f>
        <v/>
      </c>
      <c r="E33" s="12">
        <f>MAX(0,A33-$B$9)</f>
        <v/>
      </c>
      <c r="F33" s="18">
        <f>_xlfn.POISSON.DIST($A33,$B$5*($B$6+F$24),FALSE)</f>
        <v/>
      </c>
      <c r="G33" s="18">
        <f>_xlfn.POISSON.DIST($A33,$B$5*($B$6+G$24),FALSE)</f>
        <v/>
      </c>
      <c r="H33" s="18">
        <f>_xlfn.POISSON.DIST($A33,$B$5*($B$6+H$24),FALSE)</f>
        <v/>
      </c>
      <c r="I33" s="18">
        <f>_xlfn.POISSON.DIST($A33,$B$5*($B$6+I$24),FALSE)</f>
        <v/>
      </c>
      <c r="J33" s="18">
        <f>_xlfn.POISSON.DIST($A33,$B$5*($B$6+J$24),FALSE)</f>
        <v/>
      </c>
      <c r="K33" s="18">
        <f>_xlfn.POISSON.DIST($A33,$B$5*($B$6+K$24),FALSE)</f>
        <v/>
      </c>
      <c r="L33" s="18">
        <f>_xlfn.POISSON.DIST($A33,$B$5*($B$6+L$24),FALSE)</f>
        <v/>
      </c>
      <c r="M33" s="18">
        <f>_xlfn.POISSON.DIST($A33,$B$5*($B$6+M$24),FALSE)</f>
        <v/>
      </c>
      <c r="N33" s="18">
        <f>_xlfn.POISSON.DIST($A33,$B$5*($B$6+N$24),FALSE)</f>
        <v/>
      </c>
      <c r="O33" s="18">
        <f>_xlfn.POISSON.DIST($A33,$B$5*($B$6+O$24),FALSE)</f>
        <v/>
      </c>
      <c r="P33" s="18">
        <f>_xlfn.POISSON.DIST($A33,$B$5*($B$6+P$24),FALSE)</f>
        <v/>
      </c>
      <c r="Q33" s="18">
        <f>_xlfn.POISSON.DIST($A33,$B$5*($B$6+Q$24),FALSE)</f>
        <v/>
      </c>
      <c r="R33" s="18">
        <f>_xlfn.POISSON.DIST($A33,$B$5*($B$6+R$24),FALSE)</f>
        <v/>
      </c>
      <c r="S33" s="18">
        <f>_xlfn.POISSON.DIST($A33,$B$5*($B$6+S$24),FALSE)</f>
        <v/>
      </c>
      <c r="T33" s="18">
        <f>_xlfn.POISSON.DIST($A33,$B$5*($B$6+T$24),FALSE)</f>
        <v/>
      </c>
      <c r="U33" s="18">
        <f>_xlfn.POISSON.DIST($A33,$B$5*($B$6+U$24),FALSE)</f>
        <v/>
      </c>
      <c r="V33" s="18">
        <f>_xlfn.POISSON.DIST($A33,$B$5*($B$6+V$24),FALSE)</f>
        <v/>
      </c>
      <c r="W33" s="18">
        <f>_xlfn.POISSON.DIST($A33,$B$5*($B$6+W$24),FALSE)</f>
        <v/>
      </c>
      <c r="X33" s="18">
        <f>_xlfn.POISSON.DIST($A33,$B$5*($B$6+X$24),FALSE)</f>
        <v/>
      </c>
      <c r="Y33" s="18">
        <f>_xlfn.POISSON.DIST($A33,$B$5*($B$6+Y$24),FALSE)</f>
        <v/>
      </c>
      <c r="Z33" s="18">
        <f>_xlfn.POISSON.DIST($A33,$B$5*($B$6+Z$24),FALSE)</f>
        <v/>
      </c>
      <c r="AA33" s="18">
        <f>_xlfn.POISSON.DIST($A33,$B$5*($B$6+AA$24),FALSE)</f>
        <v/>
      </c>
    </row>
    <row r="34">
      <c r="A34" s="10" t="n">
        <v>8</v>
      </c>
      <c r="B34" s="11">
        <f>_xlfn.POISSON.DIST(A34,$B$12,FALSE)</f>
        <v/>
      </c>
      <c r="C34" s="11">
        <f>C33*($B$15+A34-1)*(1-$B$14)/A34</f>
        <v/>
      </c>
      <c r="D34" s="11">
        <f>SUMPRODUCT(F34:AA34,$F$23:$AA$23)</f>
        <v/>
      </c>
      <c r="E34" s="12">
        <f>MAX(0,A34-$B$9)</f>
        <v/>
      </c>
      <c r="F34" s="18">
        <f>_xlfn.POISSON.DIST($A34,$B$5*($B$6+F$24),FALSE)</f>
        <v/>
      </c>
      <c r="G34" s="18">
        <f>_xlfn.POISSON.DIST($A34,$B$5*($B$6+G$24),FALSE)</f>
        <v/>
      </c>
      <c r="H34" s="18">
        <f>_xlfn.POISSON.DIST($A34,$B$5*($B$6+H$24),FALSE)</f>
        <v/>
      </c>
      <c r="I34" s="18">
        <f>_xlfn.POISSON.DIST($A34,$B$5*($B$6+I$24),FALSE)</f>
        <v/>
      </c>
      <c r="J34" s="18">
        <f>_xlfn.POISSON.DIST($A34,$B$5*($B$6+J$24),FALSE)</f>
        <v/>
      </c>
      <c r="K34" s="18">
        <f>_xlfn.POISSON.DIST($A34,$B$5*($B$6+K$24),FALSE)</f>
        <v/>
      </c>
      <c r="L34" s="18">
        <f>_xlfn.POISSON.DIST($A34,$B$5*($B$6+L$24),FALSE)</f>
        <v/>
      </c>
      <c r="M34" s="18">
        <f>_xlfn.POISSON.DIST($A34,$B$5*($B$6+M$24),FALSE)</f>
        <v/>
      </c>
      <c r="N34" s="18">
        <f>_xlfn.POISSON.DIST($A34,$B$5*($B$6+N$24),FALSE)</f>
        <v/>
      </c>
      <c r="O34" s="18">
        <f>_xlfn.POISSON.DIST($A34,$B$5*($B$6+O$24),FALSE)</f>
        <v/>
      </c>
      <c r="P34" s="18">
        <f>_xlfn.POISSON.DIST($A34,$B$5*($B$6+P$24),FALSE)</f>
        <v/>
      </c>
      <c r="Q34" s="18">
        <f>_xlfn.POISSON.DIST($A34,$B$5*($B$6+Q$24),FALSE)</f>
        <v/>
      </c>
      <c r="R34" s="18">
        <f>_xlfn.POISSON.DIST($A34,$B$5*($B$6+R$24),FALSE)</f>
        <v/>
      </c>
      <c r="S34" s="18">
        <f>_xlfn.POISSON.DIST($A34,$B$5*($B$6+S$24),FALSE)</f>
        <v/>
      </c>
      <c r="T34" s="18">
        <f>_xlfn.POISSON.DIST($A34,$B$5*($B$6+T$24),FALSE)</f>
        <v/>
      </c>
      <c r="U34" s="18">
        <f>_xlfn.POISSON.DIST($A34,$B$5*($B$6+U$24),FALSE)</f>
        <v/>
      </c>
      <c r="V34" s="18">
        <f>_xlfn.POISSON.DIST($A34,$B$5*($B$6+V$24),FALSE)</f>
        <v/>
      </c>
      <c r="W34" s="18">
        <f>_xlfn.POISSON.DIST($A34,$B$5*($B$6+W$24),FALSE)</f>
        <v/>
      </c>
      <c r="X34" s="18">
        <f>_xlfn.POISSON.DIST($A34,$B$5*($B$6+X$24),FALSE)</f>
        <v/>
      </c>
      <c r="Y34" s="18">
        <f>_xlfn.POISSON.DIST($A34,$B$5*($B$6+Y$24),FALSE)</f>
        <v/>
      </c>
      <c r="Z34" s="18">
        <f>_xlfn.POISSON.DIST($A34,$B$5*($B$6+Z$24),FALSE)</f>
        <v/>
      </c>
      <c r="AA34" s="18">
        <f>_xlfn.POISSON.DIST($A34,$B$5*($B$6+AA$24),FALSE)</f>
        <v/>
      </c>
    </row>
    <row r="35">
      <c r="A35" s="10" t="n">
        <v>9</v>
      </c>
      <c r="B35" s="11">
        <f>_xlfn.POISSON.DIST(A35,$B$12,FALSE)</f>
        <v/>
      </c>
      <c r="C35" s="11">
        <f>C34*($B$15+A35-1)*(1-$B$14)/A35</f>
        <v/>
      </c>
      <c r="D35" s="11">
        <f>SUMPRODUCT(F35:AA35,$F$23:$AA$23)</f>
        <v/>
      </c>
      <c r="E35" s="12">
        <f>MAX(0,A35-$B$9)</f>
        <v/>
      </c>
      <c r="F35" s="18">
        <f>_xlfn.POISSON.DIST($A35,$B$5*($B$6+F$24),FALSE)</f>
        <v/>
      </c>
      <c r="G35" s="18">
        <f>_xlfn.POISSON.DIST($A35,$B$5*($B$6+G$24),FALSE)</f>
        <v/>
      </c>
      <c r="H35" s="18">
        <f>_xlfn.POISSON.DIST($A35,$B$5*($B$6+H$24),FALSE)</f>
        <v/>
      </c>
      <c r="I35" s="18">
        <f>_xlfn.POISSON.DIST($A35,$B$5*($B$6+I$24),FALSE)</f>
        <v/>
      </c>
      <c r="J35" s="18">
        <f>_xlfn.POISSON.DIST($A35,$B$5*($B$6+J$24),FALSE)</f>
        <v/>
      </c>
      <c r="K35" s="18">
        <f>_xlfn.POISSON.DIST($A35,$B$5*($B$6+K$24),FALSE)</f>
        <v/>
      </c>
      <c r="L35" s="18">
        <f>_xlfn.POISSON.DIST($A35,$B$5*($B$6+L$24),FALSE)</f>
        <v/>
      </c>
      <c r="M35" s="18">
        <f>_xlfn.POISSON.DIST($A35,$B$5*($B$6+M$24),FALSE)</f>
        <v/>
      </c>
      <c r="N35" s="18">
        <f>_xlfn.POISSON.DIST($A35,$B$5*($B$6+N$24),FALSE)</f>
        <v/>
      </c>
      <c r="O35" s="18">
        <f>_xlfn.POISSON.DIST($A35,$B$5*($B$6+O$24),FALSE)</f>
        <v/>
      </c>
      <c r="P35" s="18">
        <f>_xlfn.POISSON.DIST($A35,$B$5*($B$6+P$24),FALSE)</f>
        <v/>
      </c>
      <c r="Q35" s="18">
        <f>_xlfn.POISSON.DIST($A35,$B$5*($B$6+Q$24),FALSE)</f>
        <v/>
      </c>
      <c r="R35" s="18">
        <f>_xlfn.POISSON.DIST($A35,$B$5*($B$6+R$24),FALSE)</f>
        <v/>
      </c>
      <c r="S35" s="18">
        <f>_xlfn.POISSON.DIST($A35,$B$5*($B$6+S$24),FALSE)</f>
        <v/>
      </c>
      <c r="T35" s="18">
        <f>_xlfn.POISSON.DIST($A35,$B$5*($B$6+T$24),FALSE)</f>
        <v/>
      </c>
      <c r="U35" s="18">
        <f>_xlfn.POISSON.DIST($A35,$B$5*($B$6+U$24),FALSE)</f>
        <v/>
      </c>
      <c r="V35" s="18">
        <f>_xlfn.POISSON.DIST($A35,$B$5*($B$6+V$24),FALSE)</f>
        <v/>
      </c>
      <c r="W35" s="18">
        <f>_xlfn.POISSON.DIST($A35,$B$5*($B$6+W$24),FALSE)</f>
        <v/>
      </c>
      <c r="X35" s="18">
        <f>_xlfn.POISSON.DIST($A35,$B$5*($B$6+X$24),FALSE)</f>
        <v/>
      </c>
      <c r="Y35" s="18">
        <f>_xlfn.POISSON.DIST($A35,$B$5*($B$6+Y$24),FALSE)</f>
        <v/>
      </c>
      <c r="Z35" s="18">
        <f>_xlfn.POISSON.DIST($A35,$B$5*($B$6+Z$24),FALSE)</f>
        <v/>
      </c>
      <c r="AA35" s="18">
        <f>_xlfn.POISSON.DIST($A35,$B$5*($B$6+AA$24),FALSE)</f>
        <v/>
      </c>
    </row>
    <row r="36">
      <c r="A36" s="10" t="n">
        <v>10</v>
      </c>
      <c r="B36" s="11">
        <f>_xlfn.POISSON.DIST(A36,$B$12,FALSE)</f>
        <v/>
      </c>
      <c r="C36" s="11">
        <f>C35*($B$15+A36-1)*(1-$B$14)/A36</f>
        <v/>
      </c>
      <c r="D36" s="11">
        <f>SUMPRODUCT(F36:AA36,$F$23:$AA$23)</f>
        <v/>
      </c>
      <c r="E36" s="12">
        <f>MAX(0,A36-$B$9)</f>
        <v/>
      </c>
      <c r="F36" s="18">
        <f>_xlfn.POISSON.DIST($A36,$B$5*($B$6+F$24),FALSE)</f>
        <v/>
      </c>
      <c r="G36" s="18">
        <f>_xlfn.POISSON.DIST($A36,$B$5*($B$6+G$24),FALSE)</f>
        <v/>
      </c>
      <c r="H36" s="18">
        <f>_xlfn.POISSON.DIST($A36,$B$5*($B$6+H$24),FALSE)</f>
        <v/>
      </c>
      <c r="I36" s="18">
        <f>_xlfn.POISSON.DIST($A36,$B$5*($B$6+I$24),FALSE)</f>
        <v/>
      </c>
      <c r="J36" s="18">
        <f>_xlfn.POISSON.DIST($A36,$B$5*($B$6+J$24),FALSE)</f>
        <v/>
      </c>
      <c r="K36" s="18">
        <f>_xlfn.POISSON.DIST($A36,$B$5*($B$6+K$24),FALSE)</f>
        <v/>
      </c>
      <c r="L36" s="18">
        <f>_xlfn.POISSON.DIST($A36,$B$5*($B$6+L$24),FALSE)</f>
        <v/>
      </c>
      <c r="M36" s="18">
        <f>_xlfn.POISSON.DIST($A36,$B$5*($B$6+M$24),FALSE)</f>
        <v/>
      </c>
      <c r="N36" s="18">
        <f>_xlfn.POISSON.DIST($A36,$B$5*($B$6+N$24),FALSE)</f>
        <v/>
      </c>
      <c r="O36" s="18">
        <f>_xlfn.POISSON.DIST($A36,$B$5*($B$6+O$24),FALSE)</f>
        <v/>
      </c>
      <c r="P36" s="18">
        <f>_xlfn.POISSON.DIST($A36,$B$5*($B$6+P$24),FALSE)</f>
        <v/>
      </c>
      <c r="Q36" s="18">
        <f>_xlfn.POISSON.DIST($A36,$B$5*($B$6+Q$24),FALSE)</f>
        <v/>
      </c>
      <c r="R36" s="18">
        <f>_xlfn.POISSON.DIST($A36,$B$5*($B$6+R$24),FALSE)</f>
        <v/>
      </c>
      <c r="S36" s="18">
        <f>_xlfn.POISSON.DIST($A36,$B$5*($B$6+S$24),FALSE)</f>
        <v/>
      </c>
      <c r="T36" s="18">
        <f>_xlfn.POISSON.DIST($A36,$B$5*($B$6+T$24),FALSE)</f>
        <v/>
      </c>
      <c r="U36" s="18">
        <f>_xlfn.POISSON.DIST($A36,$B$5*($B$6+U$24),FALSE)</f>
        <v/>
      </c>
      <c r="V36" s="18">
        <f>_xlfn.POISSON.DIST($A36,$B$5*($B$6+V$24),FALSE)</f>
        <v/>
      </c>
      <c r="W36" s="18">
        <f>_xlfn.POISSON.DIST($A36,$B$5*($B$6+W$24),FALSE)</f>
        <v/>
      </c>
      <c r="X36" s="18">
        <f>_xlfn.POISSON.DIST($A36,$B$5*($B$6+X$24),FALSE)</f>
        <v/>
      </c>
      <c r="Y36" s="18">
        <f>_xlfn.POISSON.DIST($A36,$B$5*($B$6+Y$24),FALSE)</f>
        <v/>
      </c>
      <c r="Z36" s="18">
        <f>_xlfn.POISSON.DIST($A36,$B$5*($B$6+Z$24),FALSE)</f>
        <v/>
      </c>
      <c r="AA36" s="18">
        <f>_xlfn.POISSON.DIST($A36,$B$5*($B$6+AA$24),FALSE)</f>
        <v/>
      </c>
    </row>
    <row r="37">
      <c r="A37" s="10" t="n">
        <v>11</v>
      </c>
      <c r="B37" s="11">
        <f>_xlfn.POISSON.DIST(A37,$B$12,FALSE)</f>
        <v/>
      </c>
      <c r="C37" s="11">
        <f>C36*($B$15+A37-1)*(1-$B$14)/A37</f>
        <v/>
      </c>
      <c r="D37" s="11">
        <f>SUMPRODUCT(F37:AA37,$F$23:$AA$23)</f>
        <v/>
      </c>
      <c r="E37" s="12">
        <f>MAX(0,A37-$B$9)</f>
        <v/>
      </c>
      <c r="F37" s="18">
        <f>_xlfn.POISSON.DIST($A37,$B$5*($B$6+F$24),FALSE)</f>
        <v/>
      </c>
      <c r="G37" s="18">
        <f>_xlfn.POISSON.DIST($A37,$B$5*($B$6+G$24),FALSE)</f>
        <v/>
      </c>
      <c r="H37" s="18">
        <f>_xlfn.POISSON.DIST($A37,$B$5*($B$6+H$24),FALSE)</f>
        <v/>
      </c>
      <c r="I37" s="18">
        <f>_xlfn.POISSON.DIST($A37,$B$5*($B$6+I$24),FALSE)</f>
        <v/>
      </c>
      <c r="J37" s="18">
        <f>_xlfn.POISSON.DIST($A37,$B$5*($B$6+J$24),FALSE)</f>
        <v/>
      </c>
      <c r="K37" s="18">
        <f>_xlfn.POISSON.DIST($A37,$B$5*($B$6+K$24),FALSE)</f>
        <v/>
      </c>
      <c r="L37" s="18">
        <f>_xlfn.POISSON.DIST($A37,$B$5*($B$6+L$24),FALSE)</f>
        <v/>
      </c>
      <c r="M37" s="18">
        <f>_xlfn.POISSON.DIST($A37,$B$5*($B$6+M$24),FALSE)</f>
        <v/>
      </c>
      <c r="N37" s="18">
        <f>_xlfn.POISSON.DIST($A37,$B$5*($B$6+N$24),FALSE)</f>
        <v/>
      </c>
      <c r="O37" s="18">
        <f>_xlfn.POISSON.DIST($A37,$B$5*($B$6+O$24),FALSE)</f>
        <v/>
      </c>
      <c r="P37" s="18">
        <f>_xlfn.POISSON.DIST($A37,$B$5*($B$6+P$24),FALSE)</f>
        <v/>
      </c>
      <c r="Q37" s="18">
        <f>_xlfn.POISSON.DIST($A37,$B$5*($B$6+Q$24),FALSE)</f>
        <v/>
      </c>
      <c r="R37" s="18">
        <f>_xlfn.POISSON.DIST($A37,$B$5*($B$6+R$24),FALSE)</f>
        <v/>
      </c>
      <c r="S37" s="18">
        <f>_xlfn.POISSON.DIST($A37,$B$5*($B$6+S$24),FALSE)</f>
        <v/>
      </c>
      <c r="T37" s="18">
        <f>_xlfn.POISSON.DIST($A37,$B$5*($B$6+T$24),FALSE)</f>
        <v/>
      </c>
      <c r="U37" s="18">
        <f>_xlfn.POISSON.DIST($A37,$B$5*($B$6+U$24),FALSE)</f>
        <v/>
      </c>
      <c r="V37" s="18">
        <f>_xlfn.POISSON.DIST($A37,$B$5*($B$6+V$24),FALSE)</f>
        <v/>
      </c>
      <c r="W37" s="18">
        <f>_xlfn.POISSON.DIST($A37,$B$5*($B$6+W$24),FALSE)</f>
        <v/>
      </c>
      <c r="X37" s="18">
        <f>_xlfn.POISSON.DIST($A37,$B$5*($B$6+X$24),FALSE)</f>
        <v/>
      </c>
      <c r="Y37" s="18">
        <f>_xlfn.POISSON.DIST($A37,$B$5*($B$6+Y$24),FALSE)</f>
        <v/>
      </c>
      <c r="Z37" s="18">
        <f>_xlfn.POISSON.DIST($A37,$B$5*($B$6+Z$24),FALSE)</f>
        <v/>
      </c>
      <c r="AA37" s="18">
        <f>_xlfn.POISSON.DIST($A37,$B$5*($B$6+AA$24),FALSE)</f>
        <v/>
      </c>
    </row>
    <row r="38">
      <c r="A38" s="10" t="n">
        <v>12</v>
      </c>
      <c r="B38" s="11">
        <f>_xlfn.POISSON.DIST(A38,$B$12,FALSE)</f>
        <v/>
      </c>
      <c r="C38" s="11">
        <f>C37*($B$15+A38-1)*(1-$B$14)/A38</f>
        <v/>
      </c>
      <c r="D38" s="11">
        <f>SUMPRODUCT(F38:AA38,$F$23:$AA$23)</f>
        <v/>
      </c>
      <c r="E38" s="12">
        <f>MAX(0,A38-$B$9)</f>
        <v/>
      </c>
      <c r="F38" s="18">
        <f>_xlfn.POISSON.DIST($A38,$B$5*($B$6+F$24),FALSE)</f>
        <v/>
      </c>
      <c r="G38" s="18">
        <f>_xlfn.POISSON.DIST($A38,$B$5*($B$6+G$24),FALSE)</f>
        <v/>
      </c>
      <c r="H38" s="18">
        <f>_xlfn.POISSON.DIST($A38,$B$5*($B$6+H$24),FALSE)</f>
        <v/>
      </c>
      <c r="I38" s="18">
        <f>_xlfn.POISSON.DIST($A38,$B$5*($B$6+I$24),FALSE)</f>
        <v/>
      </c>
      <c r="J38" s="18">
        <f>_xlfn.POISSON.DIST($A38,$B$5*($B$6+J$24),FALSE)</f>
        <v/>
      </c>
      <c r="K38" s="18">
        <f>_xlfn.POISSON.DIST($A38,$B$5*($B$6+K$24),FALSE)</f>
        <v/>
      </c>
      <c r="L38" s="18">
        <f>_xlfn.POISSON.DIST($A38,$B$5*($B$6+L$24),FALSE)</f>
        <v/>
      </c>
      <c r="M38" s="18">
        <f>_xlfn.POISSON.DIST($A38,$B$5*($B$6+M$24),FALSE)</f>
        <v/>
      </c>
      <c r="N38" s="18">
        <f>_xlfn.POISSON.DIST($A38,$B$5*($B$6+N$24),FALSE)</f>
        <v/>
      </c>
      <c r="O38" s="18">
        <f>_xlfn.POISSON.DIST($A38,$B$5*($B$6+O$24),FALSE)</f>
        <v/>
      </c>
      <c r="P38" s="18">
        <f>_xlfn.POISSON.DIST($A38,$B$5*($B$6+P$24),FALSE)</f>
        <v/>
      </c>
      <c r="Q38" s="18">
        <f>_xlfn.POISSON.DIST($A38,$B$5*($B$6+Q$24),FALSE)</f>
        <v/>
      </c>
      <c r="R38" s="18">
        <f>_xlfn.POISSON.DIST($A38,$B$5*($B$6+R$24),FALSE)</f>
        <v/>
      </c>
      <c r="S38" s="18">
        <f>_xlfn.POISSON.DIST($A38,$B$5*($B$6+S$24),FALSE)</f>
        <v/>
      </c>
      <c r="T38" s="18">
        <f>_xlfn.POISSON.DIST($A38,$B$5*($B$6+T$24),FALSE)</f>
        <v/>
      </c>
      <c r="U38" s="18">
        <f>_xlfn.POISSON.DIST($A38,$B$5*($B$6+U$24),FALSE)</f>
        <v/>
      </c>
      <c r="V38" s="18">
        <f>_xlfn.POISSON.DIST($A38,$B$5*($B$6+V$24),FALSE)</f>
        <v/>
      </c>
      <c r="W38" s="18">
        <f>_xlfn.POISSON.DIST($A38,$B$5*($B$6+W$24),FALSE)</f>
        <v/>
      </c>
      <c r="X38" s="18">
        <f>_xlfn.POISSON.DIST($A38,$B$5*($B$6+X$24),FALSE)</f>
        <v/>
      </c>
      <c r="Y38" s="18">
        <f>_xlfn.POISSON.DIST($A38,$B$5*($B$6+Y$24),FALSE)</f>
        <v/>
      </c>
      <c r="Z38" s="18">
        <f>_xlfn.POISSON.DIST($A38,$B$5*($B$6+Z$24),FALSE)</f>
        <v/>
      </c>
      <c r="AA38" s="18">
        <f>_xlfn.POISSON.DIST($A38,$B$5*($B$6+AA$24),FALSE)</f>
        <v/>
      </c>
    </row>
    <row r="39">
      <c r="A39" s="10" t="n">
        <v>13</v>
      </c>
      <c r="B39" s="11">
        <f>_xlfn.POISSON.DIST(A39,$B$12,FALSE)</f>
        <v/>
      </c>
      <c r="C39" s="11">
        <f>C38*($B$15+A39-1)*(1-$B$14)/A39</f>
        <v/>
      </c>
      <c r="D39" s="11">
        <f>SUMPRODUCT(F39:AA39,$F$23:$AA$23)</f>
        <v/>
      </c>
      <c r="E39" s="12">
        <f>MAX(0,A39-$B$9)</f>
        <v/>
      </c>
      <c r="F39" s="18">
        <f>_xlfn.POISSON.DIST($A39,$B$5*($B$6+F$24),FALSE)</f>
        <v/>
      </c>
      <c r="G39" s="18">
        <f>_xlfn.POISSON.DIST($A39,$B$5*($B$6+G$24),FALSE)</f>
        <v/>
      </c>
      <c r="H39" s="18">
        <f>_xlfn.POISSON.DIST($A39,$B$5*($B$6+H$24),FALSE)</f>
        <v/>
      </c>
      <c r="I39" s="18">
        <f>_xlfn.POISSON.DIST($A39,$B$5*($B$6+I$24),FALSE)</f>
        <v/>
      </c>
      <c r="J39" s="18">
        <f>_xlfn.POISSON.DIST($A39,$B$5*($B$6+J$24),FALSE)</f>
        <v/>
      </c>
      <c r="K39" s="18">
        <f>_xlfn.POISSON.DIST($A39,$B$5*($B$6+K$24),FALSE)</f>
        <v/>
      </c>
      <c r="L39" s="18">
        <f>_xlfn.POISSON.DIST($A39,$B$5*($B$6+L$24),FALSE)</f>
        <v/>
      </c>
      <c r="M39" s="18">
        <f>_xlfn.POISSON.DIST($A39,$B$5*($B$6+M$24),FALSE)</f>
        <v/>
      </c>
      <c r="N39" s="18">
        <f>_xlfn.POISSON.DIST($A39,$B$5*($B$6+N$24),FALSE)</f>
        <v/>
      </c>
      <c r="O39" s="18">
        <f>_xlfn.POISSON.DIST($A39,$B$5*($B$6+O$24),FALSE)</f>
        <v/>
      </c>
      <c r="P39" s="18">
        <f>_xlfn.POISSON.DIST($A39,$B$5*($B$6+P$24),FALSE)</f>
        <v/>
      </c>
      <c r="Q39" s="18">
        <f>_xlfn.POISSON.DIST($A39,$B$5*($B$6+Q$24),FALSE)</f>
        <v/>
      </c>
      <c r="R39" s="18">
        <f>_xlfn.POISSON.DIST($A39,$B$5*($B$6+R$24),FALSE)</f>
        <v/>
      </c>
      <c r="S39" s="18">
        <f>_xlfn.POISSON.DIST($A39,$B$5*($B$6+S$24),FALSE)</f>
        <v/>
      </c>
      <c r="T39" s="18">
        <f>_xlfn.POISSON.DIST($A39,$B$5*($B$6+T$24),FALSE)</f>
        <v/>
      </c>
      <c r="U39" s="18">
        <f>_xlfn.POISSON.DIST($A39,$B$5*($B$6+U$24),FALSE)</f>
        <v/>
      </c>
      <c r="V39" s="18">
        <f>_xlfn.POISSON.DIST($A39,$B$5*($B$6+V$24),FALSE)</f>
        <v/>
      </c>
      <c r="W39" s="18">
        <f>_xlfn.POISSON.DIST($A39,$B$5*($B$6+W$24),FALSE)</f>
        <v/>
      </c>
      <c r="X39" s="18">
        <f>_xlfn.POISSON.DIST($A39,$B$5*($B$6+X$24),FALSE)</f>
        <v/>
      </c>
      <c r="Y39" s="18">
        <f>_xlfn.POISSON.DIST($A39,$B$5*($B$6+Y$24),FALSE)</f>
        <v/>
      </c>
      <c r="Z39" s="18">
        <f>_xlfn.POISSON.DIST($A39,$B$5*($B$6+Z$24),FALSE)</f>
        <v/>
      </c>
      <c r="AA39" s="18">
        <f>_xlfn.POISSON.DIST($A39,$B$5*($B$6+AA$24),FALSE)</f>
        <v/>
      </c>
    </row>
    <row r="40">
      <c r="A40" s="10" t="n">
        <v>14</v>
      </c>
      <c r="B40" s="11">
        <f>_xlfn.POISSON.DIST(A40,$B$12,FALSE)</f>
        <v/>
      </c>
      <c r="C40" s="11">
        <f>C39*($B$15+A40-1)*(1-$B$14)/A40</f>
        <v/>
      </c>
      <c r="D40" s="11">
        <f>SUMPRODUCT(F40:AA40,$F$23:$AA$23)</f>
        <v/>
      </c>
      <c r="E40" s="12">
        <f>MAX(0,A40-$B$9)</f>
        <v/>
      </c>
      <c r="F40" s="18">
        <f>_xlfn.POISSON.DIST($A40,$B$5*($B$6+F$24),FALSE)</f>
        <v/>
      </c>
      <c r="G40" s="18">
        <f>_xlfn.POISSON.DIST($A40,$B$5*($B$6+G$24),FALSE)</f>
        <v/>
      </c>
      <c r="H40" s="18">
        <f>_xlfn.POISSON.DIST($A40,$B$5*($B$6+H$24),FALSE)</f>
        <v/>
      </c>
      <c r="I40" s="18">
        <f>_xlfn.POISSON.DIST($A40,$B$5*($B$6+I$24),FALSE)</f>
        <v/>
      </c>
      <c r="J40" s="18">
        <f>_xlfn.POISSON.DIST($A40,$B$5*($B$6+J$24),FALSE)</f>
        <v/>
      </c>
      <c r="K40" s="18">
        <f>_xlfn.POISSON.DIST($A40,$B$5*($B$6+K$24),FALSE)</f>
        <v/>
      </c>
      <c r="L40" s="18">
        <f>_xlfn.POISSON.DIST($A40,$B$5*($B$6+L$24),FALSE)</f>
        <v/>
      </c>
      <c r="M40" s="18">
        <f>_xlfn.POISSON.DIST($A40,$B$5*($B$6+M$24),FALSE)</f>
        <v/>
      </c>
      <c r="N40" s="18">
        <f>_xlfn.POISSON.DIST($A40,$B$5*($B$6+N$24),FALSE)</f>
        <v/>
      </c>
      <c r="O40" s="18">
        <f>_xlfn.POISSON.DIST($A40,$B$5*($B$6+O$24),FALSE)</f>
        <v/>
      </c>
      <c r="P40" s="18">
        <f>_xlfn.POISSON.DIST($A40,$B$5*($B$6+P$24),FALSE)</f>
        <v/>
      </c>
      <c r="Q40" s="18">
        <f>_xlfn.POISSON.DIST($A40,$B$5*($B$6+Q$24),FALSE)</f>
        <v/>
      </c>
      <c r="R40" s="18">
        <f>_xlfn.POISSON.DIST($A40,$B$5*($B$6+R$24),FALSE)</f>
        <v/>
      </c>
      <c r="S40" s="18">
        <f>_xlfn.POISSON.DIST($A40,$B$5*($B$6+S$24),FALSE)</f>
        <v/>
      </c>
      <c r="T40" s="18">
        <f>_xlfn.POISSON.DIST($A40,$B$5*($B$6+T$24),FALSE)</f>
        <v/>
      </c>
      <c r="U40" s="18">
        <f>_xlfn.POISSON.DIST($A40,$B$5*($B$6+U$24),FALSE)</f>
        <v/>
      </c>
      <c r="V40" s="18">
        <f>_xlfn.POISSON.DIST($A40,$B$5*($B$6+V$24),FALSE)</f>
        <v/>
      </c>
      <c r="W40" s="18">
        <f>_xlfn.POISSON.DIST($A40,$B$5*($B$6+W$24),FALSE)</f>
        <v/>
      </c>
      <c r="X40" s="18">
        <f>_xlfn.POISSON.DIST($A40,$B$5*($B$6+X$24),FALSE)</f>
        <v/>
      </c>
      <c r="Y40" s="18">
        <f>_xlfn.POISSON.DIST($A40,$B$5*($B$6+Y$24),FALSE)</f>
        <v/>
      </c>
      <c r="Z40" s="18">
        <f>_xlfn.POISSON.DIST($A40,$B$5*($B$6+Z$24),FALSE)</f>
        <v/>
      </c>
      <c r="AA40" s="18">
        <f>_xlfn.POISSON.DIST($A40,$B$5*($B$6+AA$24),FALSE)</f>
        <v/>
      </c>
    </row>
    <row r="41">
      <c r="A41" s="10" t="n">
        <v>15</v>
      </c>
      <c r="B41" s="11">
        <f>_xlfn.POISSON.DIST(A41,$B$12,FALSE)</f>
        <v/>
      </c>
      <c r="C41" s="11">
        <f>C40*($B$15+A41-1)*(1-$B$14)/A41</f>
        <v/>
      </c>
      <c r="D41" s="11">
        <f>SUMPRODUCT(F41:AA41,$F$23:$AA$23)</f>
        <v/>
      </c>
      <c r="E41" s="12">
        <f>MAX(0,A41-$B$9)</f>
        <v/>
      </c>
      <c r="F41" s="18">
        <f>_xlfn.POISSON.DIST($A41,$B$5*($B$6+F$24),FALSE)</f>
        <v/>
      </c>
      <c r="G41" s="18">
        <f>_xlfn.POISSON.DIST($A41,$B$5*($B$6+G$24),FALSE)</f>
        <v/>
      </c>
      <c r="H41" s="18">
        <f>_xlfn.POISSON.DIST($A41,$B$5*($B$6+H$24),FALSE)</f>
        <v/>
      </c>
      <c r="I41" s="18">
        <f>_xlfn.POISSON.DIST($A41,$B$5*($B$6+I$24),FALSE)</f>
        <v/>
      </c>
      <c r="J41" s="18">
        <f>_xlfn.POISSON.DIST($A41,$B$5*($B$6+J$24),FALSE)</f>
        <v/>
      </c>
      <c r="K41" s="18">
        <f>_xlfn.POISSON.DIST($A41,$B$5*($B$6+K$24),FALSE)</f>
        <v/>
      </c>
      <c r="L41" s="18">
        <f>_xlfn.POISSON.DIST($A41,$B$5*($B$6+L$24),FALSE)</f>
        <v/>
      </c>
      <c r="M41" s="18">
        <f>_xlfn.POISSON.DIST($A41,$B$5*($B$6+M$24),FALSE)</f>
        <v/>
      </c>
      <c r="N41" s="18">
        <f>_xlfn.POISSON.DIST($A41,$B$5*($B$6+N$24),FALSE)</f>
        <v/>
      </c>
      <c r="O41" s="18">
        <f>_xlfn.POISSON.DIST($A41,$B$5*($B$6+O$24),FALSE)</f>
        <v/>
      </c>
      <c r="P41" s="18">
        <f>_xlfn.POISSON.DIST($A41,$B$5*($B$6+P$24),FALSE)</f>
        <v/>
      </c>
      <c r="Q41" s="18">
        <f>_xlfn.POISSON.DIST($A41,$B$5*($B$6+Q$24),FALSE)</f>
        <v/>
      </c>
      <c r="R41" s="18">
        <f>_xlfn.POISSON.DIST($A41,$B$5*($B$6+R$24),FALSE)</f>
        <v/>
      </c>
      <c r="S41" s="18">
        <f>_xlfn.POISSON.DIST($A41,$B$5*($B$6+S$24),FALSE)</f>
        <v/>
      </c>
      <c r="T41" s="18">
        <f>_xlfn.POISSON.DIST($A41,$B$5*($B$6+T$24),FALSE)</f>
        <v/>
      </c>
      <c r="U41" s="18">
        <f>_xlfn.POISSON.DIST($A41,$B$5*($B$6+U$24),FALSE)</f>
        <v/>
      </c>
      <c r="V41" s="18">
        <f>_xlfn.POISSON.DIST($A41,$B$5*($B$6+V$24),FALSE)</f>
        <v/>
      </c>
      <c r="W41" s="18">
        <f>_xlfn.POISSON.DIST($A41,$B$5*($B$6+W$24),FALSE)</f>
        <v/>
      </c>
      <c r="X41" s="18">
        <f>_xlfn.POISSON.DIST($A41,$B$5*($B$6+X$24),FALSE)</f>
        <v/>
      </c>
      <c r="Y41" s="18">
        <f>_xlfn.POISSON.DIST($A41,$B$5*($B$6+Y$24),FALSE)</f>
        <v/>
      </c>
      <c r="Z41" s="18">
        <f>_xlfn.POISSON.DIST($A41,$B$5*($B$6+Z$24),FALSE)</f>
        <v/>
      </c>
      <c r="AA41" s="18">
        <f>_xlfn.POISSON.DIST($A41,$B$5*($B$6+AA$24),FALSE)</f>
        <v/>
      </c>
    </row>
    <row r="42">
      <c r="A42" s="10" t="n">
        <v>16</v>
      </c>
      <c r="B42" s="11">
        <f>_xlfn.POISSON.DIST(A42,$B$12,FALSE)</f>
        <v/>
      </c>
      <c r="C42" s="11">
        <f>C41*($B$15+A42-1)*(1-$B$14)/A42</f>
        <v/>
      </c>
      <c r="D42" s="11">
        <f>SUMPRODUCT(F42:AA42,$F$23:$AA$23)</f>
        <v/>
      </c>
      <c r="E42" s="12">
        <f>MAX(0,A42-$B$9)</f>
        <v/>
      </c>
      <c r="F42" s="18">
        <f>_xlfn.POISSON.DIST($A42,$B$5*($B$6+F$24),FALSE)</f>
        <v/>
      </c>
      <c r="G42" s="18">
        <f>_xlfn.POISSON.DIST($A42,$B$5*($B$6+G$24),FALSE)</f>
        <v/>
      </c>
      <c r="H42" s="18">
        <f>_xlfn.POISSON.DIST($A42,$B$5*($B$6+H$24),FALSE)</f>
        <v/>
      </c>
      <c r="I42" s="18">
        <f>_xlfn.POISSON.DIST($A42,$B$5*($B$6+I$24),FALSE)</f>
        <v/>
      </c>
      <c r="J42" s="18">
        <f>_xlfn.POISSON.DIST($A42,$B$5*($B$6+J$24),FALSE)</f>
        <v/>
      </c>
      <c r="K42" s="18">
        <f>_xlfn.POISSON.DIST($A42,$B$5*($B$6+K$24),FALSE)</f>
        <v/>
      </c>
      <c r="L42" s="18">
        <f>_xlfn.POISSON.DIST($A42,$B$5*($B$6+L$24),FALSE)</f>
        <v/>
      </c>
      <c r="M42" s="18">
        <f>_xlfn.POISSON.DIST($A42,$B$5*($B$6+M$24),FALSE)</f>
        <v/>
      </c>
      <c r="N42" s="18">
        <f>_xlfn.POISSON.DIST($A42,$B$5*($B$6+N$24),FALSE)</f>
        <v/>
      </c>
      <c r="O42" s="18">
        <f>_xlfn.POISSON.DIST($A42,$B$5*($B$6+O$24),FALSE)</f>
        <v/>
      </c>
      <c r="P42" s="18">
        <f>_xlfn.POISSON.DIST($A42,$B$5*($B$6+P$24),FALSE)</f>
        <v/>
      </c>
      <c r="Q42" s="18">
        <f>_xlfn.POISSON.DIST($A42,$B$5*($B$6+Q$24),FALSE)</f>
        <v/>
      </c>
      <c r="R42" s="18">
        <f>_xlfn.POISSON.DIST($A42,$B$5*($B$6+R$24),FALSE)</f>
        <v/>
      </c>
      <c r="S42" s="18">
        <f>_xlfn.POISSON.DIST($A42,$B$5*($B$6+S$24),FALSE)</f>
        <v/>
      </c>
      <c r="T42" s="18">
        <f>_xlfn.POISSON.DIST($A42,$B$5*($B$6+T$24),FALSE)</f>
        <v/>
      </c>
      <c r="U42" s="18">
        <f>_xlfn.POISSON.DIST($A42,$B$5*($B$6+U$24),FALSE)</f>
        <v/>
      </c>
      <c r="V42" s="18">
        <f>_xlfn.POISSON.DIST($A42,$B$5*($B$6+V$24),FALSE)</f>
        <v/>
      </c>
      <c r="W42" s="18">
        <f>_xlfn.POISSON.DIST($A42,$B$5*($B$6+W$24),FALSE)</f>
        <v/>
      </c>
      <c r="X42" s="18">
        <f>_xlfn.POISSON.DIST($A42,$B$5*($B$6+X$24),FALSE)</f>
        <v/>
      </c>
      <c r="Y42" s="18">
        <f>_xlfn.POISSON.DIST($A42,$B$5*($B$6+Y$24),FALSE)</f>
        <v/>
      </c>
      <c r="Z42" s="18">
        <f>_xlfn.POISSON.DIST($A42,$B$5*($B$6+Z$24),FALSE)</f>
        <v/>
      </c>
      <c r="AA42" s="18">
        <f>_xlfn.POISSON.DIST($A42,$B$5*($B$6+AA$24),FALSE)</f>
        <v/>
      </c>
    </row>
    <row r="43">
      <c r="A43" s="10" t="n">
        <v>17</v>
      </c>
      <c r="B43" s="11">
        <f>_xlfn.POISSON.DIST(A43,$B$12,FALSE)</f>
        <v/>
      </c>
      <c r="C43" s="11">
        <f>C42*($B$15+A43-1)*(1-$B$14)/A43</f>
        <v/>
      </c>
      <c r="D43" s="11">
        <f>SUMPRODUCT(F43:AA43,$F$23:$AA$23)</f>
        <v/>
      </c>
      <c r="E43" s="12">
        <f>MAX(0,A43-$B$9)</f>
        <v/>
      </c>
      <c r="F43" s="18">
        <f>_xlfn.POISSON.DIST($A43,$B$5*($B$6+F$24),FALSE)</f>
        <v/>
      </c>
      <c r="G43" s="18">
        <f>_xlfn.POISSON.DIST($A43,$B$5*($B$6+G$24),FALSE)</f>
        <v/>
      </c>
      <c r="H43" s="18">
        <f>_xlfn.POISSON.DIST($A43,$B$5*($B$6+H$24),FALSE)</f>
        <v/>
      </c>
      <c r="I43" s="18">
        <f>_xlfn.POISSON.DIST($A43,$B$5*($B$6+I$24),FALSE)</f>
        <v/>
      </c>
      <c r="J43" s="18">
        <f>_xlfn.POISSON.DIST($A43,$B$5*($B$6+J$24),FALSE)</f>
        <v/>
      </c>
      <c r="K43" s="18">
        <f>_xlfn.POISSON.DIST($A43,$B$5*($B$6+K$24),FALSE)</f>
        <v/>
      </c>
      <c r="L43" s="18">
        <f>_xlfn.POISSON.DIST($A43,$B$5*($B$6+L$24),FALSE)</f>
        <v/>
      </c>
      <c r="M43" s="18">
        <f>_xlfn.POISSON.DIST($A43,$B$5*($B$6+M$24),FALSE)</f>
        <v/>
      </c>
      <c r="N43" s="18">
        <f>_xlfn.POISSON.DIST($A43,$B$5*($B$6+N$24),FALSE)</f>
        <v/>
      </c>
      <c r="O43" s="18">
        <f>_xlfn.POISSON.DIST($A43,$B$5*($B$6+O$24),FALSE)</f>
        <v/>
      </c>
      <c r="P43" s="18">
        <f>_xlfn.POISSON.DIST($A43,$B$5*($B$6+P$24),FALSE)</f>
        <v/>
      </c>
      <c r="Q43" s="18">
        <f>_xlfn.POISSON.DIST($A43,$B$5*($B$6+Q$24),FALSE)</f>
        <v/>
      </c>
      <c r="R43" s="18">
        <f>_xlfn.POISSON.DIST($A43,$B$5*($B$6+R$24),FALSE)</f>
        <v/>
      </c>
      <c r="S43" s="18">
        <f>_xlfn.POISSON.DIST($A43,$B$5*($B$6+S$24),FALSE)</f>
        <v/>
      </c>
      <c r="T43" s="18">
        <f>_xlfn.POISSON.DIST($A43,$B$5*($B$6+T$24),FALSE)</f>
        <v/>
      </c>
      <c r="U43" s="18">
        <f>_xlfn.POISSON.DIST($A43,$B$5*($B$6+U$24),FALSE)</f>
        <v/>
      </c>
      <c r="V43" s="18">
        <f>_xlfn.POISSON.DIST($A43,$B$5*($B$6+V$24),FALSE)</f>
        <v/>
      </c>
      <c r="W43" s="18">
        <f>_xlfn.POISSON.DIST($A43,$B$5*($B$6+W$24),FALSE)</f>
        <v/>
      </c>
      <c r="X43" s="18">
        <f>_xlfn.POISSON.DIST($A43,$B$5*($B$6+X$24),FALSE)</f>
        <v/>
      </c>
      <c r="Y43" s="18">
        <f>_xlfn.POISSON.DIST($A43,$B$5*($B$6+Y$24),FALSE)</f>
        <v/>
      </c>
      <c r="Z43" s="18">
        <f>_xlfn.POISSON.DIST($A43,$B$5*($B$6+Z$24),FALSE)</f>
        <v/>
      </c>
      <c r="AA43" s="18">
        <f>_xlfn.POISSON.DIST($A43,$B$5*($B$6+AA$24),FALSE)</f>
        <v/>
      </c>
    </row>
    <row r="44">
      <c r="A44" s="10" t="n">
        <v>18</v>
      </c>
      <c r="B44" s="11">
        <f>_xlfn.POISSON.DIST(A44,$B$12,FALSE)</f>
        <v/>
      </c>
      <c r="C44" s="11">
        <f>C43*($B$15+A44-1)*(1-$B$14)/A44</f>
        <v/>
      </c>
      <c r="D44" s="11">
        <f>SUMPRODUCT(F44:AA44,$F$23:$AA$23)</f>
        <v/>
      </c>
      <c r="E44" s="12">
        <f>MAX(0,A44-$B$9)</f>
        <v/>
      </c>
      <c r="F44" s="18">
        <f>_xlfn.POISSON.DIST($A44,$B$5*($B$6+F$24),FALSE)</f>
        <v/>
      </c>
      <c r="G44" s="18">
        <f>_xlfn.POISSON.DIST($A44,$B$5*($B$6+G$24),FALSE)</f>
        <v/>
      </c>
      <c r="H44" s="18">
        <f>_xlfn.POISSON.DIST($A44,$B$5*($B$6+H$24),FALSE)</f>
        <v/>
      </c>
      <c r="I44" s="18">
        <f>_xlfn.POISSON.DIST($A44,$B$5*($B$6+I$24),FALSE)</f>
        <v/>
      </c>
      <c r="J44" s="18">
        <f>_xlfn.POISSON.DIST($A44,$B$5*($B$6+J$24),FALSE)</f>
        <v/>
      </c>
      <c r="K44" s="18">
        <f>_xlfn.POISSON.DIST($A44,$B$5*($B$6+K$24),FALSE)</f>
        <v/>
      </c>
      <c r="L44" s="18">
        <f>_xlfn.POISSON.DIST($A44,$B$5*($B$6+L$24),FALSE)</f>
        <v/>
      </c>
      <c r="M44" s="18">
        <f>_xlfn.POISSON.DIST($A44,$B$5*($B$6+M$24),FALSE)</f>
        <v/>
      </c>
      <c r="N44" s="18">
        <f>_xlfn.POISSON.DIST($A44,$B$5*($B$6+N$24),FALSE)</f>
        <v/>
      </c>
      <c r="O44" s="18">
        <f>_xlfn.POISSON.DIST($A44,$B$5*($B$6+O$24),FALSE)</f>
        <v/>
      </c>
      <c r="P44" s="18">
        <f>_xlfn.POISSON.DIST($A44,$B$5*($B$6+P$24),FALSE)</f>
        <v/>
      </c>
      <c r="Q44" s="18">
        <f>_xlfn.POISSON.DIST($A44,$B$5*($B$6+Q$24),FALSE)</f>
        <v/>
      </c>
      <c r="R44" s="18">
        <f>_xlfn.POISSON.DIST($A44,$B$5*($B$6+R$24),FALSE)</f>
        <v/>
      </c>
      <c r="S44" s="18">
        <f>_xlfn.POISSON.DIST($A44,$B$5*($B$6+S$24),FALSE)</f>
        <v/>
      </c>
      <c r="T44" s="18">
        <f>_xlfn.POISSON.DIST($A44,$B$5*($B$6+T$24),FALSE)</f>
        <v/>
      </c>
      <c r="U44" s="18">
        <f>_xlfn.POISSON.DIST($A44,$B$5*($B$6+U$24),FALSE)</f>
        <v/>
      </c>
      <c r="V44" s="18">
        <f>_xlfn.POISSON.DIST($A44,$B$5*($B$6+V$24),FALSE)</f>
        <v/>
      </c>
      <c r="W44" s="18">
        <f>_xlfn.POISSON.DIST($A44,$B$5*($B$6+W$24),FALSE)</f>
        <v/>
      </c>
      <c r="X44" s="18">
        <f>_xlfn.POISSON.DIST($A44,$B$5*($B$6+X$24),FALSE)</f>
        <v/>
      </c>
      <c r="Y44" s="18">
        <f>_xlfn.POISSON.DIST($A44,$B$5*($B$6+Y$24),FALSE)</f>
        <v/>
      </c>
      <c r="Z44" s="18">
        <f>_xlfn.POISSON.DIST($A44,$B$5*($B$6+Z$24),FALSE)</f>
        <v/>
      </c>
      <c r="AA44" s="18">
        <f>_xlfn.POISSON.DIST($A44,$B$5*($B$6+AA$24),FALSE)</f>
        <v/>
      </c>
    </row>
    <row r="45">
      <c r="A45" s="10" t="n">
        <v>19</v>
      </c>
      <c r="B45" s="11">
        <f>_xlfn.POISSON.DIST(A45,$B$12,FALSE)</f>
        <v/>
      </c>
      <c r="C45" s="11">
        <f>C44*($B$15+A45-1)*(1-$B$14)/A45</f>
        <v/>
      </c>
      <c r="D45" s="11">
        <f>SUMPRODUCT(F45:AA45,$F$23:$AA$23)</f>
        <v/>
      </c>
      <c r="E45" s="12">
        <f>MAX(0,A45-$B$9)</f>
        <v/>
      </c>
      <c r="F45" s="18">
        <f>_xlfn.POISSON.DIST($A45,$B$5*($B$6+F$24),FALSE)</f>
        <v/>
      </c>
      <c r="G45" s="18">
        <f>_xlfn.POISSON.DIST($A45,$B$5*($B$6+G$24),FALSE)</f>
        <v/>
      </c>
      <c r="H45" s="18">
        <f>_xlfn.POISSON.DIST($A45,$B$5*($B$6+H$24),FALSE)</f>
        <v/>
      </c>
      <c r="I45" s="18">
        <f>_xlfn.POISSON.DIST($A45,$B$5*($B$6+I$24),FALSE)</f>
        <v/>
      </c>
      <c r="J45" s="18">
        <f>_xlfn.POISSON.DIST($A45,$B$5*($B$6+J$24),FALSE)</f>
        <v/>
      </c>
      <c r="K45" s="18">
        <f>_xlfn.POISSON.DIST($A45,$B$5*($B$6+K$24),FALSE)</f>
        <v/>
      </c>
      <c r="L45" s="18">
        <f>_xlfn.POISSON.DIST($A45,$B$5*($B$6+L$24),FALSE)</f>
        <v/>
      </c>
      <c r="M45" s="18">
        <f>_xlfn.POISSON.DIST($A45,$B$5*($B$6+M$24),FALSE)</f>
        <v/>
      </c>
      <c r="N45" s="18">
        <f>_xlfn.POISSON.DIST($A45,$B$5*($B$6+N$24),FALSE)</f>
        <v/>
      </c>
      <c r="O45" s="18">
        <f>_xlfn.POISSON.DIST($A45,$B$5*($B$6+O$24),FALSE)</f>
        <v/>
      </c>
      <c r="P45" s="18">
        <f>_xlfn.POISSON.DIST($A45,$B$5*($B$6+P$24),FALSE)</f>
        <v/>
      </c>
      <c r="Q45" s="18">
        <f>_xlfn.POISSON.DIST($A45,$B$5*($B$6+Q$24),FALSE)</f>
        <v/>
      </c>
      <c r="R45" s="18">
        <f>_xlfn.POISSON.DIST($A45,$B$5*($B$6+R$24),FALSE)</f>
        <v/>
      </c>
      <c r="S45" s="18">
        <f>_xlfn.POISSON.DIST($A45,$B$5*($B$6+S$24),FALSE)</f>
        <v/>
      </c>
      <c r="T45" s="18">
        <f>_xlfn.POISSON.DIST($A45,$B$5*($B$6+T$24),FALSE)</f>
        <v/>
      </c>
      <c r="U45" s="18">
        <f>_xlfn.POISSON.DIST($A45,$B$5*($B$6+U$24),FALSE)</f>
        <v/>
      </c>
      <c r="V45" s="18">
        <f>_xlfn.POISSON.DIST($A45,$B$5*($B$6+V$24),FALSE)</f>
        <v/>
      </c>
      <c r="W45" s="18">
        <f>_xlfn.POISSON.DIST($A45,$B$5*($B$6+W$24),FALSE)</f>
        <v/>
      </c>
      <c r="X45" s="18">
        <f>_xlfn.POISSON.DIST($A45,$B$5*($B$6+X$24),FALSE)</f>
        <v/>
      </c>
      <c r="Y45" s="18">
        <f>_xlfn.POISSON.DIST($A45,$B$5*($B$6+Y$24),FALSE)</f>
        <v/>
      </c>
      <c r="Z45" s="18">
        <f>_xlfn.POISSON.DIST($A45,$B$5*($B$6+Z$24),FALSE)</f>
        <v/>
      </c>
      <c r="AA45" s="18">
        <f>_xlfn.POISSON.DIST($A45,$B$5*($B$6+AA$24),FALSE)</f>
        <v/>
      </c>
    </row>
    <row r="46">
      <c r="A46" s="10" t="n">
        <v>20</v>
      </c>
      <c r="B46" s="11">
        <f>_xlfn.POISSON.DIST(A46,$B$12,FALSE)</f>
        <v/>
      </c>
      <c r="C46" s="11">
        <f>C45*($B$15+A46-1)*(1-$B$14)/A46</f>
        <v/>
      </c>
      <c r="D46" s="11">
        <f>SUMPRODUCT(F46:AA46,$F$23:$AA$23)</f>
        <v/>
      </c>
      <c r="E46" s="12">
        <f>MAX(0,A46-$B$9)</f>
        <v/>
      </c>
      <c r="F46" s="18">
        <f>_xlfn.POISSON.DIST($A46,$B$5*($B$6+F$24),FALSE)</f>
        <v/>
      </c>
      <c r="G46" s="18">
        <f>_xlfn.POISSON.DIST($A46,$B$5*($B$6+G$24),FALSE)</f>
        <v/>
      </c>
      <c r="H46" s="18">
        <f>_xlfn.POISSON.DIST($A46,$B$5*($B$6+H$24),FALSE)</f>
        <v/>
      </c>
      <c r="I46" s="18">
        <f>_xlfn.POISSON.DIST($A46,$B$5*($B$6+I$24),FALSE)</f>
        <v/>
      </c>
      <c r="J46" s="18">
        <f>_xlfn.POISSON.DIST($A46,$B$5*($B$6+J$24),FALSE)</f>
        <v/>
      </c>
      <c r="K46" s="18">
        <f>_xlfn.POISSON.DIST($A46,$B$5*($B$6+K$24),FALSE)</f>
        <v/>
      </c>
      <c r="L46" s="18">
        <f>_xlfn.POISSON.DIST($A46,$B$5*($B$6+L$24),FALSE)</f>
        <v/>
      </c>
      <c r="M46" s="18">
        <f>_xlfn.POISSON.DIST($A46,$B$5*($B$6+M$24),FALSE)</f>
        <v/>
      </c>
      <c r="N46" s="18">
        <f>_xlfn.POISSON.DIST($A46,$B$5*($B$6+N$24),FALSE)</f>
        <v/>
      </c>
      <c r="O46" s="18">
        <f>_xlfn.POISSON.DIST($A46,$B$5*($B$6+O$24),FALSE)</f>
        <v/>
      </c>
      <c r="P46" s="18">
        <f>_xlfn.POISSON.DIST($A46,$B$5*($B$6+P$24),FALSE)</f>
        <v/>
      </c>
      <c r="Q46" s="18">
        <f>_xlfn.POISSON.DIST($A46,$B$5*($B$6+Q$24),FALSE)</f>
        <v/>
      </c>
      <c r="R46" s="18">
        <f>_xlfn.POISSON.DIST($A46,$B$5*($B$6+R$24),FALSE)</f>
        <v/>
      </c>
      <c r="S46" s="18">
        <f>_xlfn.POISSON.DIST($A46,$B$5*($B$6+S$24),FALSE)</f>
        <v/>
      </c>
      <c r="T46" s="18">
        <f>_xlfn.POISSON.DIST($A46,$B$5*($B$6+T$24),FALSE)</f>
        <v/>
      </c>
      <c r="U46" s="18">
        <f>_xlfn.POISSON.DIST($A46,$B$5*($B$6+U$24),FALSE)</f>
        <v/>
      </c>
      <c r="V46" s="18">
        <f>_xlfn.POISSON.DIST($A46,$B$5*($B$6+V$24),FALSE)</f>
        <v/>
      </c>
      <c r="W46" s="18">
        <f>_xlfn.POISSON.DIST($A46,$B$5*($B$6+W$24),FALSE)</f>
        <v/>
      </c>
      <c r="X46" s="18">
        <f>_xlfn.POISSON.DIST($A46,$B$5*($B$6+X$24),FALSE)</f>
        <v/>
      </c>
      <c r="Y46" s="18">
        <f>_xlfn.POISSON.DIST($A46,$B$5*($B$6+Y$24),FALSE)</f>
        <v/>
      </c>
      <c r="Z46" s="18">
        <f>_xlfn.POISSON.DIST($A46,$B$5*($B$6+Z$24),FALSE)</f>
        <v/>
      </c>
      <c r="AA46" s="18">
        <f>_xlfn.POISSON.DIST($A46,$B$5*($B$6+AA$24),FALSE)</f>
        <v/>
      </c>
    </row>
    <row r="47">
      <c r="A47" s="10" t="n">
        <v>21</v>
      </c>
      <c r="B47" s="11">
        <f>_xlfn.POISSON.DIST(A47,$B$12,FALSE)</f>
        <v/>
      </c>
      <c r="C47" s="11">
        <f>C46*($B$15+A47-1)*(1-$B$14)/A47</f>
        <v/>
      </c>
      <c r="D47" s="11">
        <f>SUMPRODUCT(F47:AA47,$F$23:$AA$23)</f>
        <v/>
      </c>
      <c r="E47" s="12">
        <f>MAX(0,A47-$B$9)</f>
        <v/>
      </c>
      <c r="F47" s="18">
        <f>_xlfn.POISSON.DIST($A47,$B$5*($B$6+F$24),FALSE)</f>
        <v/>
      </c>
      <c r="G47" s="18">
        <f>_xlfn.POISSON.DIST($A47,$B$5*($B$6+G$24),FALSE)</f>
        <v/>
      </c>
      <c r="H47" s="18">
        <f>_xlfn.POISSON.DIST($A47,$B$5*($B$6+H$24),FALSE)</f>
        <v/>
      </c>
      <c r="I47" s="18">
        <f>_xlfn.POISSON.DIST($A47,$B$5*($B$6+I$24),FALSE)</f>
        <v/>
      </c>
      <c r="J47" s="18">
        <f>_xlfn.POISSON.DIST($A47,$B$5*($B$6+J$24),FALSE)</f>
        <v/>
      </c>
      <c r="K47" s="18">
        <f>_xlfn.POISSON.DIST($A47,$B$5*($B$6+K$24),FALSE)</f>
        <v/>
      </c>
      <c r="L47" s="18">
        <f>_xlfn.POISSON.DIST($A47,$B$5*($B$6+L$24),FALSE)</f>
        <v/>
      </c>
      <c r="M47" s="18">
        <f>_xlfn.POISSON.DIST($A47,$B$5*($B$6+M$24),FALSE)</f>
        <v/>
      </c>
      <c r="N47" s="18">
        <f>_xlfn.POISSON.DIST($A47,$B$5*($B$6+N$24),FALSE)</f>
        <v/>
      </c>
      <c r="O47" s="18">
        <f>_xlfn.POISSON.DIST($A47,$B$5*($B$6+O$24),FALSE)</f>
        <v/>
      </c>
      <c r="P47" s="18">
        <f>_xlfn.POISSON.DIST($A47,$B$5*($B$6+P$24),FALSE)</f>
        <v/>
      </c>
      <c r="Q47" s="18">
        <f>_xlfn.POISSON.DIST($A47,$B$5*($B$6+Q$24),FALSE)</f>
        <v/>
      </c>
      <c r="R47" s="18">
        <f>_xlfn.POISSON.DIST($A47,$B$5*($B$6+R$24),FALSE)</f>
        <v/>
      </c>
      <c r="S47" s="18">
        <f>_xlfn.POISSON.DIST($A47,$B$5*($B$6+S$24),FALSE)</f>
        <v/>
      </c>
      <c r="T47" s="18">
        <f>_xlfn.POISSON.DIST($A47,$B$5*($B$6+T$24),FALSE)</f>
        <v/>
      </c>
      <c r="U47" s="18">
        <f>_xlfn.POISSON.DIST($A47,$B$5*($B$6+U$24),FALSE)</f>
        <v/>
      </c>
      <c r="V47" s="18">
        <f>_xlfn.POISSON.DIST($A47,$B$5*($B$6+V$24),FALSE)</f>
        <v/>
      </c>
      <c r="W47" s="18">
        <f>_xlfn.POISSON.DIST($A47,$B$5*($B$6+W$24),FALSE)</f>
        <v/>
      </c>
      <c r="X47" s="18">
        <f>_xlfn.POISSON.DIST($A47,$B$5*($B$6+X$24),FALSE)</f>
        <v/>
      </c>
      <c r="Y47" s="18">
        <f>_xlfn.POISSON.DIST($A47,$B$5*($B$6+Y$24),FALSE)</f>
        <v/>
      </c>
      <c r="Z47" s="18">
        <f>_xlfn.POISSON.DIST($A47,$B$5*($B$6+Z$24),FALSE)</f>
        <v/>
      </c>
      <c r="AA47" s="18">
        <f>_xlfn.POISSON.DIST($A47,$B$5*($B$6+AA$24),FALSE)</f>
        <v/>
      </c>
    </row>
    <row r="48">
      <c r="A48" s="10" t="n">
        <v>22</v>
      </c>
      <c r="B48" s="11">
        <f>_xlfn.POISSON.DIST(A48,$B$12,FALSE)</f>
        <v/>
      </c>
      <c r="C48" s="11">
        <f>C47*($B$15+A48-1)*(1-$B$14)/A48</f>
        <v/>
      </c>
      <c r="D48" s="11">
        <f>SUMPRODUCT(F48:AA48,$F$23:$AA$23)</f>
        <v/>
      </c>
      <c r="E48" s="12">
        <f>MAX(0,A48-$B$9)</f>
        <v/>
      </c>
      <c r="F48" s="18">
        <f>_xlfn.POISSON.DIST($A48,$B$5*($B$6+F$24),FALSE)</f>
        <v/>
      </c>
      <c r="G48" s="18">
        <f>_xlfn.POISSON.DIST($A48,$B$5*($B$6+G$24),FALSE)</f>
        <v/>
      </c>
      <c r="H48" s="18">
        <f>_xlfn.POISSON.DIST($A48,$B$5*($B$6+H$24),FALSE)</f>
        <v/>
      </c>
      <c r="I48" s="18">
        <f>_xlfn.POISSON.DIST($A48,$B$5*($B$6+I$24),FALSE)</f>
        <v/>
      </c>
      <c r="J48" s="18">
        <f>_xlfn.POISSON.DIST($A48,$B$5*($B$6+J$24),FALSE)</f>
        <v/>
      </c>
      <c r="K48" s="18">
        <f>_xlfn.POISSON.DIST($A48,$B$5*($B$6+K$24),FALSE)</f>
        <v/>
      </c>
      <c r="L48" s="18">
        <f>_xlfn.POISSON.DIST($A48,$B$5*($B$6+L$24),FALSE)</f>
        <v/>
      </c>
      <c r="M48" s="18">
        <f>_xlfn.POISSON.DIST($A48,$B$5*($B$6+M$24),FALSE)</f>
        <v/>
      </c>
      <c r="N48" s="18">
        <f>_xlfn.POISSON.DIST($A48,$B$5*($B$6+N$24),FALSE)</f>
        <v/>
      </c>
      <c r="O48" s="18">
        <f>_xlfn.POISSON.DIST($A48,$B$5*($B$6+O$24),FALSE)</f>
        <v/>
      </c>
      <c r="P48" s="18">
        <f>_xlfn.POISSON.DIST($A48,$B$5*($B$6+P$24),FALSE)</f>
        <v/>
      </c>
      <c r="Q48" s="18">
        <f>_xlfn.POISSON.DIST($A48,$B$5*($B$6+Q$24),FALSE)</f>
        <v/>
      </c>
      <c r="R48" s="18">
        <f>_xlfn.POISSON.DIST($A48,$B$5*($B$6+R$24),FALSE)</f>
        <v/>
      </c>
      <c r="S48" s="18">
        <f>_xlfn.POISSON.DIST($A48,$B$5*($B$6+S$24),FALSE)</f>
        <v/>
      </c>
      <c r="T48" s="18">
        <f>_xlfn.POISSON.DIST($A48,$B$5*($B$6+T$24),FALSE)</f>
        <v/>
      </c>
      <c r="U48" s="18">
        <f>_xlfn.POISSON.DIST($A48,$B$5*($B$6+U$24),FALSE)</f>
        <v/>
      </c>
      <c r="V48" s="18">
        <f>_xlfn.POISSON.DIST($A48,$B$5*($B$6+V$24),FALSE)</f>
        <v/>
      </c>
      <c r="W48" s="18">
        <f>_xlfn.POISSON.DIST($A48,$B$5*($B$6+W$24),FALSE)</f>
        <v/>
      </c>
      <c r="X48" s="18">
        <f>_xlfn.POISSON.DIST($A48,$B$5*($B$6+X$24),FALSE)</f>
        <v/>
      </c>
      <c r="Y48" s="18">
        <f>_xlfn.POISSON.DIST($A48,$B$5*($B$6+Y$24),FALSE)</f>
        <v/>
      </c>
      <c r="Z48" s="18">
        <f>_xlfn.POISSON.DIST($A48,$B$5*($B$6+Z$24),FALSE)</f>
        <v/>
      </c>
      <c r="AA48" s="18">
        <f>_xlfn.POISSON.DIST($A48,$B$5*($B$6+AA$24),FALSE)</f>
        <v/>
      </c>
    </row>
    <row r="49">
      <c r="A49" s="10" t="n">
        <v>23</v>
      </c>
      <c r="B49" s="11">
        <f>_xlfn.POISSON.DIST(A49,$B$12,FALSE)</f>
        <v/>
      </c>
      <c r="C49" s="11">
        <f>C48*($B$15+A49-1)*(1-$B$14)/A49</f>
        <v/>
      </c>
      <c r="D49" s="11">
        <f>SUMPRODUCT(F49:AA49,$F$23:$AA$23)</f>
        <v/>
      </c>
      <c r="E49" s="12">
        <f>MAX(0,A49-$B$9)</f>
        <v/>
      </c>
      <c r="F49" s="18">
        <f>_xlfn.POISSON.DIST($A49,$B$5*($B$6+F$24),FALSE)</f>
        <v/>
      </c>
      <c r="G49" s="18">
        <f>_xlfn.POISSON.DIST($A49,$B$5*($B$6+G$24),FALSE)</f>
        <v/>
      </c>
      <c r="H49" s="18">
        <f>_xlfn.POISSON.DIST($A49,$B$5*($B$6+H$24),FALSE)</f>
        <v/>
      </c>
      <c r="I49" s="18">
        <f>_xlfn.POISSON.DIST($A49,$B$5*($B$6+I$24),FALSE)</f>
        <v/>
      </c>
      <c r="J49" s="18">
        <f>_xlfn.POISSON.DIST($A49,$B$5*($B$6+J$24),FALSE)</f>
        <v/>
      </c>
      <c r="K49" s="18">
        <f>_xlfn.POISSON.DIST($A49,$B$5*($B$6+K$24),FALSE)</f>
        <v/>
      </c>
      <c r="L49" s="18">
        <f>_xlfn.POISSON.DIST($A49,$B$5*($B$6+L$24),FALSE)</f>
        <v/>
      </c>
      <c r="M49" s="18">
        <f>_xlfn.POISSON.DIST($A49,$B$5*($B$6+M$24),FALSE)</f>
        <v/>
      </c>
      <c r="N49" s="18">
        <f>_xlfn.POISSON.DIST($A49,$B$5*($B$6+N$24),FALSE)</f>
        <v/>
      </c>
      <c r="O49" s="18">
        <f>_xlfn.POISSON.DIST($A49,$B$5*($B$6+O$24),FALSE)</f>
        <v/>
      </c>
      <c r="P49" s="18">
        <f>_xlfn.POISSON.DIST($A49,$B$5*($B$6+P$24),FALSE)</f>
        <v/>
      </c>
      <c r="Q49" s="18">
        <f>_xlfn.POISSON.DIST($A49,$B$5*($B$6+Q$24),FALSE)</f>
        <v/>
      </c>
      <c r="R49" s="18">
        <f>_xlfn.POISSON.DIST($A49,$B$5*($B$6+R$24),FALSE)</f>
        <v/>
      </c>
      <c r="S49" s="18">
        <f>_xlfn.POISSON.DIST($A49,$B$5*($B$6+S$24),FALSE)</f>
        <v/>
      </c>
      <c r="T49" s="18">
        <f>_xlfn.POISSON.DIST($A49,$B$5*($B$6+T$24),FALSE)</f>
        <v/>
      </c>
      <c r="U49" s="18">
        <f>_xlfn.POISSON.DIST($A49,$B$5*($B$6+U$24),FALSE)</f>
        <v/>
      </c>
      <c r="V49" s="18">
        <f>_xlfn.POISSON.DIST($A49,$B$5*($B$6+V$24),FALSE)</f>
        <v/>
      </c>
      <c r="W49" s="18">
        <f>_xlfn.POISSON.DIST($A49,$B$5*($B$6+W$24),FALSE)</f>
        <v/>
      </c>
      <c r="X49" s="18">
        <f>_xlfn.POISSON.DIST($A49,$B$5*($B$6+X$24),FALSE)</f>
        <v/>
      </c>
      <c r="Y49" s="18">
        <f>_xlfn.POISSON.DIST($A49,$B$5*($B$6+Y$24),FALSE)</f>
        <v/>
      </c>
      <c r="Z49" s="18">
        <f>_xlfn.POISSON.DIST($A49,$B$5*($B$6+Z$24),FALSE)</f>
        <v/>
      </c>
      <c r="AA49" s="18">
        <f>_xlfn.POISSON.DIST($A49,$B$5*($B$6+AA$24),FALSE)</f>
        <v/>
      </c>
    </row>
    <row r="50">
      <c r="A50" s="10" t="n">
        <v>24</v>
      </c>
      <c r="B50" s="11">
        <f>_xlfn.POISSON.DIST(A50,$B$12,FALSE)</f>
        <v/>
      </c>
      <c r="C50" s="11">
        <f>C49*($B$15+A50-1)*(1-$B$14)/A50</f>
        <v/>
      </c>
      <c r="D50" s="11">
        <f>SUMPRODUCT(F50:AA50,$F$23:$AA$23)</f>
        <v/>
      </c>
      <c r="E50" s="12">
        <f>MAX(0,A50-$B$9)</f>
        <v/>
      </c>
      <c r="F50" s="18">
        <f>_xlfn.POISSON.DIST($A50,$B$5*($B$6+F$24),FALSE)</f>
        <v/>
      </c>
      <c r="G50" s="18">
        <f>_xlfn.POISSON.DIST($A50,$B$5*($B$6+G$24),FALSE)</f>
        <v/>
      </c>
      <c r="H50" s="18">
        <f>_xlfn.POISSON.DIST($A50,$B$5*($B$6+H$24),FALSE)</f>
        <v/>
      </c>
      <c r="I50" s="18">
        <f>_xlfn.POISSON.DIST($A50,$B$5*($B$6+I$24),FALSE)</f>
        <v/>
      </c>
      <c r="J50" s="18">
        <f>_xlfn.POISSON.DIST($A50,$B$5*($B$6+J$24),FALSE)</f>
        <v/>
      </c>
      <c r="K50" s="18">
        <f>_xlfn.POISSON.DIST($A50,$B$5*($B$6+K$24),FALSE)</f>
        <v/>
      </c>
      <c r="L50" s="18">
        <f>_xlfn.POISSON.DIST($A50,$B$5*($B$6+L$24),FALSE)</f>
        <v/>
      </c>
      <c r="M50" s="18">
        <f>_xlfn.POISSON.DIST($A50,$B$5*($B$6+M$24),FALSE)</f>
        <v/>
      </c>
      <c r="N50" s="18">
        <f>_xlfn.POISSON.DIST($A50,$B$5*($B$6+N$24),FALSE)</f>
        <v/>
      </c>
      <c r="O50" s="18">
        <f>_xlfn.POISSON.DIST($A50,$B$5*($B$6+O$24),FALSE)</f>
        <v/>
      </c>
      <c r="P50" s="18">
        <f>_xlfn.POISSON.DIST($A50,$B$5*($B$6+P$24),FALSE)</f>
        <v/>
      </c>
      <c r="Q50" s="18">
        <f>_xlfn.POISSON.DIST($A50,$B$5*($B$6+Q$24),FALSE)</f>
        <v/>
      </c>
      <c r="R50" s="18">
        <f>_xlfn.POISSON.DIST($A50,$B$5*($B$6+R$24),FALSE)</f>
        <v/>
      </c>
      <c r="S50" s="18">
        <f>_xlfn.POISSON.DIST($A50,$B$5*($B$6+S$24),FALSE)</f>
        <v/>
      </c>
      <c r="T50" s="18">
        <f>_xlfn.POISSON.DIST($A50,$B$5*($B$6+T$24),FALSE)</f>
        <v/>
      </c>
      <c r="U50" s="18">
        <f>_xlfn.POISSON.DIST($A50,$B$5*($B$6+U$24),FALSE)</f>
        <v/>
      </c>
      <c r="V50" s="18">
        <f>_xlfn.POISSON.DIST($A50,$B$5*($B$6+V$24),FALSE)</f>
        <v/>
      </c>
      <c r="W50" s="18">
        <f>_xlfn.POISSON.DIST($A50,$B$5*($B$6+W$24),FALSE)</f>
        <v/>
      </c>
      <c r="X50" s="18">
        <f>_xlfn.POISSON.DIST($A50,$B$5*($B$6+X$24),FALSE)</f>
        <v/>
      </c>
      <c r="Y50" s="18">
        <f>_xlfn.POISSON.DIST($A50,$B$5*($B$6+Y$24),FALSE)</f>
        <v/>
      </c>
      <c r="Z50" s="18">
        <f>_xlfn.POISSON.DIST($A50,$B$5*($B$6+Z$24),FALSE)</f>
        <v/>
      </c>
      <c r="AA50" s="18">
        <f>_xlfn.POISSON.DIST($A50,$B$5*($B$6+AA$24),FALSE)</f>
        <v/>
      </c>
    </row>
    <row r="51">
      <c r="A51" s="10" t="n">
        <v>25</v>
      </c>
      <c r="B51" s="11">
        <f>_xlfn.POISSON.DIST(A51,$B$12,FALSE)</f>
        <v/>
      </c>
      <c r="C51" s="11">
        <f>C50*($B$15+A51-1)*(1-$B$14)/A51</f>
        <v/>
      </c>
      <c r="D51" s="11">
        <f>SUMPRODUCT(F51:AA51,$F$23:$AA$23)</f>
        <v/>
      </c>
      <c r="E51" s="12">
        <f>MAX(0,A51-$B$9)</f>
        <v/>
      </c>
      <c r="F51" s="18">
        <f>_xlfn.POISSON.DIST($A51,$B$5*($B$6+F$24),FALSE)</f>
        <v/>
      </c>
      <c r="G51" s="18">
        <f>_xlfn.POISSON.DIST($A51,$B$5*($B$6+G$24),FALSE)</f>
        <v/>
      </c>
      <c r="H51" s="18">
        <f>_xlfn.POISSON.DIST($A51,$B$5*($B$6+H$24),FALSE)</f>
        <v/>
      </c>
      <c r="I51" s="18">
        <f>_xlfn.POISSON.DIST($A51,$B$5*($B$6+I$24),FALSE)</f>
        <v/>
      </c>
      <c r="J51" s="18">
        <f>_xlfn.POISSON.DIST($A51,$B$5*($B$6+J$24),FALSE)</f>
        <v/>
      </c>
      <c r="K51" s="18">
        <f>_xlfn.POISSON.DIST($A51,$B$5*($B$6+K$24),FALSE)</f>
        <v/>
      </c>
      <c r="L51" s="18">
        <f>_xlfn.POISSON.DIST($A51,$B$5*($B$6+L$24),FALSE)</f>
        <v/>
      </c>
      <c r="M51" s="18">
        <f>_xlfn.POISSON.DIST($A51,$B$5*($B$6+M$24),FALSE)</f>
        <v/>
      </c>
      <c r="N51" s="18">
        <f>_xlfn.POISSON.DIST($A51,$B$5*($B$6+N$24),FALSE)</f>
        <v/>
      </c>
      <c r="O51" s="18">
        <f>_xlfn.POISSON.DIST($A51,$B$5*($B$6+O$24),FALSE)</f>
        <v/>
      </c>
      <c r="P51" s="18">
        <f>_xlfn.POISSON.DIST($A51,$B$5*($B$6+P$24),FALSE)</f>
        <v/>
      </c>
      <c r="Q51" s="18">
        <f>_xlfn.POISSON.DIST($A51,$B$5*($B$6+Q$24),FALSE)</f>
        <v/>
      </c>
      <c r="R51" s="18">
        <f>_xlfn.POISSON.DIST($A51,$B$5*($B$6+R$24),FALSE)</f>
        <v/>
      </c>
      <c r="S51" s="18">
        <f>_xlfn.POISSON.DIST($A51,$B$5*($B$6+S$24),FALSE)</f>
        <v/>
      </c>
      <c r="T51" s="18">
        <f>_xlfn.POISSON.DIST($A51,$B$5*($B$6+T$24),FALSE)</f>
        <v/>
      </c>
      <c r="U51" s="18">
        <f>_xlfn.POISSON.DIST($A51,$B$5*($B$6+U$24),FALSE)</f>
        <v/>
      </c>
      <c r="V51" s="18">
        <f>_xlfn.POISSON.DIST($A51,$B$5*($B$6+V$24),FALSE)</f>
        <v/>
      </c>
      <c r="W51" s="18">
        <f>_xlfn.POISSON.DIST($A51,$B$5*($B$6+W$24),FALSE)</f>
        <v/>
      </c>
      <c r="X51" s="18">
        <f>_xlfn.POISSON.DIST($A51,$B$5*($B$6+X$24),FALSE)</f>
        <v/>
      </c>
      <c r="Y51" s="18">
        <f>_xlfn.POISSON.DIST($A51,$B$5*($B$6+Y$24),FALSE)</f>
        <v/>
      </c>
      <c r="Z51" s="18">
        <f>_xlfn.POISSON.DIST($A51,$B$5*($B$6+Z$24),FALSE)</f>
        <v/>
      </c>
      <c r="AA51" s="18">
        <f>_xlfn.POISSON.DIST($A51,$B$5*($B$6+AA$24),FALSE)</f>
        <v/>
      </c>
    </row>
    <row r="52">
      <c r="A52" s="10" t="n">
        <v>26</v>
      </c>
      <c r="B52" s="11">
        <f>_xlfn.POISSON.DIST(A52,$B$12,FALSE)</f>
        <v/>
      </c>
      <c r="C52" s="11">
        <f>C51*($B$15+A52-1)*(1-$B$14)/A52</f>
        <v/>
      </c>
      <c r="D52" s="11">
        <f>SUMPRODUCT(F52:AA52,$F$23:$AA$23)</f>
        <v/>
      </c>
      <c r="E52" s="12">
        <f>MAX(0,A52-$B$9)</f>
        <v/>
      </c>
      <c r="F52" s="18">
        <f>_xlfn.POISSON.DIST($A52,$B$5*($B$6+F$24),FALSE)</f>
        <v/>
      </c>
      <c r="G52" s="18">
        <f>_xlfn.POISSON.DIST($A52,$B$5*($B$6+G$24),FALSE)</f>
        <v/>
      </c>
      <c r="H52" s="18">
        <f>_xlfn.POISSON.DIST($A52,$B$5*($B$6+H$24),FALSE)</f>
        <v/>
      </c>
      <c r="I52" s="18">
        <f>_xlfn.POISSON.DIST($A52,$B$5*($B$6+I$24),FALSE)</f>
        <v/>
      </c>
      <c r="J52" s="18">
        <f>_xlfn.POISSON.DIST($A52,$B$5*($B$6+J$24),FALSE)</f>
        <v/>
      </c>
      <c r="K52" s="18">
        <f>_xlfn.POISSON.DIST($A52,$B$5*($B$6+K$24),FALSE)</f>
        <v/>
      </c>
      <c r="L52" s="18">
        <f>_xlfn.POISSON.DIST($A52,$B$5*($B$6+L$24),FALSE)</f>
        <v/>
      </c>
      <c r="M52" s="18">
        <f>_xlfn.POISSON.DIST($A52,$B$5*($B$6+M$24),FALSE)</f>
        <v/>
      </c>
      <c r="N52" s="18">
        <f>_xlfn.POISSON.DIST($A52,$B$5*($B$6+N$24),FALSE)</f>
        <v/>
      </c>
      <c r="O52" s="18">
        <f>_xlfn.POISSON.DIST($A52,$B$5*($B$6+O$24),FALSE)</f>
        <v/>
      </c>
      <c r="P52" s="18">
        <f>_xlfn.POISSON.DIST($A52,$B$5*($B$6+P$24),FALSE)</f>
        <v/>
      </c>
      <c r="Q52" s="18">
        <f>_xlfn.POISSON.DIST($A52,$B$5*($B$6+Q$24),FALSE)</f>
        <v/>
      </c>
      <c r="R52" s="18">
        <f>_xlfn.POISSON.DIST($A52,$B$5*($B$6+R$24),FALSE)</f>
        <v/>
      </c>
      <c r="S52" s="18">
        <f>_xlfn.POISSON.DIST($A52,$B$5*($B$6+S$24),FALSE)</f>
        <v/>
      </c>
      <c r="T52" s="18">
        <f>_xlfn.POISSON.DIST($A52,$B$5*($B$6+T$24),FALSE)</f>
        <v/>
      </c>
      <c r="U52" s="18">
        <f>_xlfn.POISSON.DIST($A52,$B$5*($B$6+U$24),FALSE)</f>
        <v/>
      </c>
      <c r="V52" s="18">
        <f>_xlfn.POISSON.DIST($A52,$B$5*($B$6+V$24),FALSE)</f>
        <v/>
      </c>
      <c r="W52" s="18">
        <f>_xlfn.POISSON.DIST($A52,$B$5*($B$6+W$24),FALSE)</f>
        <v/>
      </c>
      <c r="X52" s="18">
        <f>_xlfn.POISSON.DIST($A52,$B$5*($B$6+X$24),FALSE)</f>
        <v/>
      </c>
      <c r="Y52" s="18">
        <f>_xlfn.POISSON.DIST($A52,$B$5*($B$6+Y$24),FALSE)</f>
        <v/>
      </c>
      <c r="Z52" s="18">
        <f>_xlfn.POISSON.DIST($A52,$B$5*($B$6+Z$24),FALSE)</f>
        <v/>
      </c>
      <c r="AA52" s="18">
        <f>_xlfn.POISSON.DIST($A52,$B$5*($B$6+AA$24),FALSE)</f>
        <v/>
      </c>
    </row>
    <row r="53">
      <c r="A53" s="10" t="n">
        <v>27</v>
      </c>
      <c r="B53" s="11">
        <f>_xlfn.POISSON.DIST(A53,$B$12,FALSE)</f>
        <v/>
      </c>
      <c r="C53" s="11">
        <f>C52*($B$15+A53-1)*(1-$B$14)/A53</f>
        <v/>
      </c>
      <c r="D53" s="11">
        <f>SUMPRODUCT(F53:AA53,$F$23:$AA$23)</f>
        <v/>
      </c>
      <c r="E53" s="12">
        <f>MAX(0,A53-$B$9)</f>
        <v/>
      </c>
      <c r="F53" s="18">
        <f>_xlfn.POISSON.DIST($A53,$B$5*($B$6+F$24),FALSE)</f>
        <v/>
      </c>
      <c r="G53" s="18">
        <f>_xlfn.POISSON.DIST($A53,$B$5*($B$6+G$24),FALSE)</f>
        <v/>
      </c>
      <c r="H53" s="18">
        <f>_xlfn.POISSON.DIST($A53,$B$5*($B$6+H$24),FALSE)</f>
        <v/>
      </c>
      <c r="I53" s="18">
        <f>_xlfn.POISSON.DIST($A53,$B$5*($B$6+I$24),FALSE)</f>
        <v/>
      </c>
      <c r="J53" s="18">
        <f>_xlfn.POISSON.DIST($A53,$B$5*($B$6+J$24),FALSE)</f>
        <v/>
      </c>
      <c r="K53" s="18">
        <f>_xlfn.POISSON.DIST($A53,$B$5*($B$6+K$24),FALSE)</f>
        <v/>
      </c>
      <c r="L53" s="18">
        <f>_xlfn.POISSON.DIST($A53,$B$5*($B$6+L$24),FALSE)</f>
        <v/>
      </c>
      <c r="M53" s="18">
        <f>_xlfn.POISSON.DIST($A53,$B$5*($B$6+M$24),FALSE)</f>
        <v/>
      </c>
      <c r="N53" s="18">
        <f>_xlfn.POISSON.DIST($A53,$B$5*($B$6+N$24),FALSE)</f>
        <v/>
      </c>
      <c r="O53" s="18">
        <f>_xlfn.POISSON.DIST($A53,$B$5*($B$6+O$24),FALSE)</f>
        <v/>
      </c>
      <c r="P53" s="18">
        <f>_xlfn.POISSON.DIST($A53,$B$5*($B$6+P$24),FALSE)</f>
        <v/>
      </c>
      <c r="Q53" s="18">
        <f>_xlfn.POISSON.DIST($A53,$B$5*($B$6+Q$24),FALSE)</f>
        <v/>
      </c>
      <c r="R53" s="18">
        <f>_xlfn.POISSON.DIST($A53,$B$5*($B$6+R$24),FALSE)</f>
        <v/>
      </c>
      <c r="S53" s="18">
        <f>_xlfn.POISSON.DIST($A53,$B$5*($B$6+S$24),FALSE)</f>
        <v/>
      </c>
      <c r="T53" s="18">
        <f>_xlfn.POISSON.DIST($A53,$B$5*($B$6+T$24),FALSE)</f>
        <v/>
      </c>
      <c r="U53" s="18">
        <f>_xlfn.POISSON.DIST($A53,$B$5*($B$6+U$24),FALSE)</f>
        <v/>
      </c>
      <c r="V53" s="18">
        <f>_xlfn.POISSON.DIST($A53,$B$5*($B$6+V$24),FALSE)</f>
        <v/>
      </c>
      <c r="W53" s="18">
        <f>_xlfn.POISSON.DIST($A53,$B$5*($B$6+W$24),FALSE)</f>
        <v/>
      </c>
      <c r="X53" s="18">
        <f>_xlfn.POISSON.DIST($A53,$B$5*($B$6+X$24),FALSE)</f>
        <v/>
      </c>
      <c r="Y53" s="18">
        <f>_xlfn.POISSON.DIST($A53,$B$5*($B$6+Y$24),FALSE)</f>
        <v/>
      </c>
      <c r="Z53" s="18">
        <f>_xlfn.POISSON.DIST($A53,$B$5*($B$6+Z$24),FALSE)</f>
        <v/>
      </c>
      <c r="AA53" s="18">
        <f>_xlfn.POISSON.DIST($A53,$B$5*($B$6+AA$24),FALSE)</f>
        <v/>
      </c>
    </row>
    <row r="54">
      <c r="A54" s="10" t="n">
        <v>28</v>
      </c>
      <c r="B54" s="11">
        <f>_xlfn.POISSON.DIST(A54,$B$12,FALSE)</f>
        <v/>
      </c>
      <c r="C54" s="11">
        <f>C53*($B$15+A54-1)*(1-$B$14)/A54</f>
        <v/>
      </c>
      <c r="D54" s="11">
        <f>SUMPRODUCT(F54:AA54,$F$23:$AA$23)</f>
        <v/>
      </c>
      <c r="E54" s="12">
        <f>MAX(0,A54-$B$9)</f>
        <v/>
      </c>
      <c r="F54" s="18">
        <f>_xlfn.POISSON.DIST($A54,$B$5*($B$6+F$24),FALSE)</f>
        <v/>
      </c>
      <c r="G54" s="18">
        <f>_xlfn.POISSON.DIST($A54,$B$5*($B$6+G$24),FALSE)</f>
        <v/>
      </c>
      <c r="H54" s="18">
        <f>_xlfn.POISSON.DIST($A54,$B$5*($B$6+H$24),FALSE)</f>
        <v/>
      </c>
      <c r="I54" s="18">
        <f>_xlfn.POISSON.DIST($A54,$B$5*($B$6+I$24),FALSE)</f>
        <v/>
      </c>
      <c r="J54" s="18">
        <f>_xlfn.POISSON.DIST($A54,$B$5*($B$6+J$24),FALSE)</f>
        <v/>
      </c>
      <c r="K54" s="18">
        <f>_xlfn.POISSON.DIST($A54,$B$5*($B$6+K$24),FALSE)</f>
        <v/>
      </c>
      <c r="L54" s="18">
        <f>_xlfn.POISSON.DIST($A54,$B$5*($B$6+L$24),FALSE)</f>
        <v/>
      </c>
      <c r="M54" s="18">
        <f>_xlfn.POISSON.DIST($A54,$B$5*($B$6+M$24),FALSE)</f>
        <v/>
      </c>
      <c r="N54" s="18">
        <f>_xlfn.POISSON.DIST($A54,$B$5*($B$6+N$24),FALSE)</f>
        <v/>
      </c>
      <c r="O54" s="18">
        <f>_xlfn.POISSON.DIST($A54,$B$5*($B$6+O$24),FALSE)</f>
        <v/>
      </c>
      <c r="P54" s="18">
        <f>_xlfn.POISSON.DIST($A54,$B$5*($B$6+P$24),FALSE)</f>
        <v/>
      </c>
      <c r="Q54" s="18">
        <f>_xlfn.POISSON.DIST($A54,$B$5*($B$6+Q$24),FALSE)</f>
        <v/>
      </c>
      <c r="R54" s="18">
        <f>_xlfn.POISSON.DIST($A54,$B$5*($B$6+R$24),FALSE)</f>
        <v/>
      </c>
      <c r="S54" s="18">
        <f>_xlfn.POISSON.DIST($A54,$B$5*($B$6+S$24),FALSE)</f>
        <v/>
      </c>
      <c r="T54" s="18">
        <f>_xlfn.POISSON.DIST($A54,$B$5*($B$6+T$24),FALSE)</f>
        <v/>
      </c>
      <c r="U54" s="18">
        <f>_xlfn.POISSON.DIST($A54,$B$5*($B$6+U$24),FALSE)</f>
        <v/>
      </c>
      <c r="V54" s="18">
        <f>_xlfn.POISSON.DIST($A54,$B$5*($B$6+V$24),FALSE)</f>
        <v/>
      </c>
      <c r="W54" s="18">
        <f>_xlfn.POISSON.DIST($A54,$B$5*($B$6+W$24),FALSE)</f>
        <v/>
      </c>
      <c r="X54" s="18">
        <f>_xlfn.POISSON.DIST($A54,$B$5*($B$6+X$24),FALSE)</f>
        <v/>
      </c>
      <c r="Y54" s="18">
        <f>_xlfn.POISSON.DIST($A54,$B$5*($B$6+Y$24),FALSE)</f>
        <v/>
      </c>
      <c r="Z54" s="18">
        <f>_xlfn.POISSON.DIST($A54,$B$5*($B$6+Z$24),FALSE)</f>
        <v/>
      </c>
      <c r="AA54" s="18">
        <f>_xlfn.POISSON.DIST($A54,$B$5*($B$6+AA$24),FALSE)</f>
        <v/>
      </c>
    </row>
    <row r="55">
      <c r="A55" s="10" t="n">
        <v>29</v>
      </c>
      <c r="B55" s="11">
        <f>_xlfn.POISSON.DIST(A55,$B$12,FALSE)</f>
        <v/>
      </c>
      <c r="C55" s="11">
        <f>C54*($B$15+A55-1)*(1-$B$14)/A55</f>
        <v/>
      </c>
      <c r="D55" s="11">
        <f>SUMPRODUCT(F55:AA55,$F$23:$AA$23)</f>
        <v/>
      </c>
      <c r="E55" s="12">
        <f>MAX(0,A55-$B$9)</f>
        <v/>
      </c>
      <c r="F55" s="18">
        <f>_xlfn.POISSON.DIST($A55,$B$5*($B$6+F$24),FALSE)</f>
        <v/>
      </c>
      <c r="G55" s="18">
        <f>_xlfn.POISSON.DIST($A55,$B$5*($B$6+G$24),FALSE)</f>
        <v/>
      </c>
      <c r="H55" s="18">
        <f>_xlfn.POISSON.DIST($A55,$B$5*($B$6+H$24),FALSE)</f>
        <v/>
      </c>
      <c r="I55" s="18">
        <f>_xlfn.POISSON.DIST($A55,$B$5*($B$6+I$24),FALSE)</f>
        <v/>
      </c>
      <c r="J55" s="18">
        <f>_xlfn.POISSON.DIST($A55,$B$5*($B$6+J$24),FALSE)</f>
        <v/>
      </c>
      <c r="K55" s="18">
        <f>_xlfn.POISSON.DIST($A55,$B$5*($B$6+K$24),FALSE)</f>
        <v/>
      </c>
      <c r="L55" s="18">
        <f>_xlfn.POISSON.DIST($A55,$B$5*($B$6+L$24),FALSE)</f>
        <v/>
      </c>
      <c r="M55" s="18">
        <f>_xlfn.POISSON.DIST($A55,$B$5*($B$6+M$24),FALSE)</f>
        <v/>
      </c>
      <c r="N55" s="18">
        <f>_xlfn.POISSON.DIST($A55,$B$5*($B$6+N$24),FALSE)</f>
        <v/>
      </c>
      <c r="O55" s="18">
        <f>_xlfn.POISSON.DIST($A55,$B$5*($B$6+O$24),FALSE)</f>
        <v/>
      </c>
      <c r="P55" s="18">
        <f>_xlfn.POISSON.DIST($A55,$B$5*($B$6+P$24),FALSE)</f>
        <v/>
      </c>
      <c r="Q55" s="18">
        <f>_xlfn.POISSON.DIST($A55,$B$5*($B$6+Q$24),FALSE)</f>
        <v/>
      </c>
      <c r="R55" s="18">
        <f>_xlfn.POISSON.DIST($A55,$B$5*($B$6+R$24),FALSE)</f>
        <v/>
      </c>
      <c r="S55" s="18">
        <f>_xlfn.POISSON.DIST($A55,$B$5*($B$6+S$24),FALSE)</f>
        <v/>
      </c>
      <c r="T55" s="18">
        <f>_xlfn.POISSON.DIST($A55,$B$5*($B$6+T$24),FALSE)</f>
        <v/>
      </c>
      <c r="U55" s="18">
        <f>_xlfn.POISSON.DIST($A55,$B$5*($B$6+U$24),FALSE)</f>
        <v/>
      </c>
      <c r="V55" s="18">
        <f>_xlfn.POISSON.DIST($A55,$B$5*($B$6+V$24),FALSE)</f>
        <v/>
      </c>
      <c r="W55" s="18">
        <f>_xlfn.POISSON.DIST($A55,$B$5*($B$6+W$24),FALSE)</f>
        <v/>
      </c>
      <c r="X55" s="18">
        <f>_xlfn.POISSON.DIST($A55,$B$5*($B$6+X$24),FALSE)</f>
        <v/>
      </c>
      <c r="Y55" s="18">
        <f>_xlfn.POISSON.DIST($A55,$B$5*($B$6+Y$24),FALSE)</f>
        <v/>
      </c>
      <c r="Z55" s="18">
        <f>_xlfn.POISSON.DIST($A55,$B$5*($B$6+Z$24),FALSE)</f>
        <v/>
      </c>
      <c r="AA55" s="18">
        <f>_xlfn.POISSON.DIST($A55,$B$5*($B$6+AA$24),FALSE)</f>
        <v/>
      </c>
    </row>
    <row r="56">
      <c r="A56" s="10" t="n">
        <v>30</v>
      </c>
      <c r="B56" s="11">
        <f>_xlfn.POISSON.DIST(A56,$B$12,FALSE)</f>
        <v/>
      </c>
      <c r="C56" s="11">
        <f>C55*($B$15+A56-1)*(1-$B$14)/A56</f>
        <v/>
      </c>
      <c r="D56" s="11">
        <f>SUMPRODUCT(F56:AA56,$F$23:$AA$23)</f>
        <v/>
      </c>
      <c r="E56" s="12">
        <f>MAX(0,A56-$B$9)</f>
        <v/>
      </c>
      <c r="F56" s="18">
        <f>_xlfn.POISSON.DIST($A56,$B$5*($B$6+F$24),FALSE)</f>
        <v/>
      </c>
      <c r="G56" s="18">
        <f>_xlfn.POISSON.DIST($A56,$B$5*($B$6+G$24),FALSE)</f>
        <v/>
      </c>
      <c r="H56" s="18">
        <f>_xlfn.POISSON.DIST($A56,$B$5*($B$6+H$24),FALSE)</f>
        <v/>
      </c>
      <c r="I56" s="18">
        <f>_xlfn.POISSON.DIST($A56,$B$5*($B$6+I$24),FALSE)</f>
        <v/>
      </c>
      <c r="J56" s="18">
        <f>_xlfn.POISSON.DIST($A56,$B$5*($B$6+J$24),FALSE)</f>
        <v/>
      </c>
      <c r="K56" s="18">
        <f>_xlfn.POISSON.DIST($A56,$B$5*($B$6+K$24),FALSE)</f>
        <v/>
      </c>
      <c r="L56" s="18">
        <f>_xlfn.POISSON.DIST($A56,$B$5*($B$6+L$24),FALSE)</f>
        <v/>
      </c>
      <c r="M56" s="18">
        <f>_xlfn.POISSON.DIST($A56,$B$5*($B$6+M$24),FALSE)</f>
        <v/>
      </c>
      <c r="N56" s="18">
        <f>_xlfn.POISSON.DIST($A56,$B$5*($B$6+N$24),FALSE)</f>
        <v/>
      </c>
      <c r="O56" s="18">
        <f>_xlfn.POISSON.DIST($A56,$B$5*($B$6+O$24),FALSE)</f>
        <v/>
      </c>
      <c r="P56" s="18">
        <f>_xlfn.POISSON.DIST($A56,$B$5*($B$6+P$24),FALSE)</f>
        <v/>
      </c>
      <c r="Q56" s="18">
        <f>_xlfn.POISSON.DIST($A56,$B$5*($B$6+Q$24),FALSE)</f>
        <v/>
      </c>
      <c r="R56" s="18">
        <f>_xlfn.POISSON.DIST($A56,$B$5*($B$6+R$24),FALSE)</f>
        <v/>
      </c>
      <c r="S56" s="18">
        <f>_xlfn.POISSON.DIST($A56,$B$5*($B$6+S$24),FALSE)</f>
        <v/>
      </c>
      <c r="T56" s="18">
        <f>_xlfn.POISSON.DIST($A56,$B$5*($B$6+T$24),FALSE)</f>
        <v/>
      </c>
      <c r="U56" s="18">
        <f>_xlfn.POISSON.DIST($A56,$B$5*($B$6+U$24),FALSE)</f>
        <v/>
      </c>
      <c r="V56" s="18">
        <f>_xlfn.POISSON.DIST($A56,$B$5*($B$6+V$24),FALSE)</f>
        <v/>
      </c>
      <c r="W56" s="18">
        <f>_xlfn.POISSON.DIST($A56,$B$5*($B$6+W$24),FALSE)</f>
        <v/>
      </c>
      <c r="X56" s="18">
        <f>_xlfn.POISSON.DIST($A56,$B$5*($B$6+X$24),FALSE)</f>
        <v/>
      </c>
      <c r="Y56" s="18">
        <f>_xlfn.POISSON.DIST($A56,$B$5*($B$6+Y$24),FALSE)</f>
        <v/>
      </c>
      <c r="Z56" s="18">
        <f>_xlfn.POISSON.DIST($A56,$B$5*($B$6+Z$24),FALSE)</f>
        <v/>
      </c>
      <c r="AA56" s="18">
        <f>_xlfn.POISSON.DIST($A56,$B$5*($B$6+AA$24),FALSE)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11" customWidth="1" min="4" max="4"/>
    <col width="18" customWidth="1" min="5" max="5"/>
    <col width="11" customWidth="1" min="6" max="6"/>
  </cols>
  <sheetData>
    <row r="1">
      <c r="A1" s="1" t="inlineStr">
        <is>
          <t>Orders in a window</t>
        </is>
      </c>
    </row>
    <row r="2">
      <c r="A2" s="2" t="inlineStr">
        <is>
          <t>@sec-batchedmultiechelon. The storeroom orders each time its customers carry its position down through r_j.</t>
        </is>
      </c>
    </row>
    <row r="4">
      <c r="A4" s="3" t="inlineStr">
        <is>
          <t>Part II's network</t>
        </is>
      </c>
    </row>
    <row r="5">
      <c r="A5" t="inlineStr">
        <is>
          <t>storeroom demand lambda_j</t>
        </is>
      </c>
      <c r="B5" s="4" t="n">
        <v>2</v>
      </c>
      <c r="C5" s="2" t="inlineStr">
        <is>
          <t>units a week</t>
        </is>
      </c>
    </row>
    <row r="6">
      <c r="A6" t="inlineStr">
        <is>
          <t>storeroom order Q_j</t>
        </is>
      </c>
      <c r="B6" s="5" t="n">
        <v>3</v>
      </c>
      <c r="C6" s="2" t="inlineStr">
        <is>
          <t>units</t>
        </is>
      </c>
    </row>
    <row r="7">
      <c r="A7" t="inlineStr">
        <is>
          <t>other demand lambda_o</t>
        </is>
      </c>
      <c r="B7" s="4" t="n">
        <v>2</v>
      </c>
      <c r="C7" s="2" t="inlineStr">
        <is>
          <t>units a week</t>
        </is>
      </c>
    </row>
    <row r="8">
      <c r="A8" t="inlineStr">
        <is>
          <t>hub lead time L_0</t>
        </is>
      </c>
      <c r="B8" s="4" t="n">
        <v>3</v>
      </c>
      <c r="C8" s="2" t="inlineStr">
        <is>
          <t>weeks, and the window</t>
        </is>
      </c>
    </row>
    <row r="9">
      <c r="A9" t="inlineStr">
        <is>
          <t>hub reorder point r_0</t>
        </is>
      </c>
      <c r="B9" s="5" t="n">
        <v>12</v>
      </c>
      <c r="C9" s="2" t="inlineStr">
        <is>
          <t>units</t>
        </is>
      </c>
    </row>
    <row r="10">
      <c r="A10" t="inlineStr">
        <is>
          <t>hub order quantity Q_0</t>
        </is>
      </c>
      <c r="B10" s="5" t="n">
        <v>8</v>
      </c>
      <c r="C10" s="2" t="inlineStr">
        <is>
          <t>units</t>
        </is>
      </c>
    </row>
    <row r="11">
      <c r="A11" t="inlineStr">
        <is>
          <t>storeroom reorder point r_j</t>
        </is>
      </c>
      <c r="B11" s="5" t="n">
        <v>3</v>
      </c>
      <c r="C11" s="2" t="inlineStr">
        <is>
          <t>units</t>
        </is>
      </c>
    </row>
    <row r="12">
      <c r="A12" t="inlineStr">
        <is>
          <t>storeroom demand in the window</t>
        </is>
      </c>
      <c r="B12" s="7">
        <f>B5*B8</f>
        <v/>
      </c>
    </row>
    <row r="14">
      <c r="A14" s="3" t="inlineStr">
        <is>
          <t>Checks</t>
        </is>
      </c>
    </row>
    <row r="15">
      <c r="A15" t="inlineStr">
        <is>
          <t>sum of P(N = n)</t>
        </is>
      </c>
      <c r="B15" s="11">
        <f>SUM(D20:D34)</f>
        <v/>
      </c>
    </row>
    <row r="16">
      <c r="A16" t="inlineStr">
        <is>
          <t>Q_j E[N]</t>
        </is>
      </c>
      <c r="B16" s="7">
        <f>$B$6*SUMPRODUCT(C20:C34,D20:D34)</f>
        <v/>
      </c>
      <c r="C16" s="2" t="inlineStr">
        <is>
          <t>must equal the demand in the window</t>
        </is>
      </c>
    </row>
    <row r="17">
      <c r="A17" t="inlineStr">
        <is>
          <t>sum of P(floor(D'/Q_j) = n)</t>
        </is>
      </c>
      <c r="B17" s="11">
        <f>SUM(E20:E34)</f>
        <v/>
      </c>
    </row>
    <row r="19">
      <c r="A19" s="9" t="inlineStr">
        <is>
          <t>y</t>
        </is>
      </c>
      <c r="B19" s="9" t="inlineStr">
        <is>
          <t>P(D &gt;= y)</t>
        </is>
      </c>
      <c r="C19" s="9" t="inlineStr">
        <is>
          <t>n</t>
        </is>
      </c>
      <c r="D19" s="9" t="inlineStr">
        <is>
          <t>P(N = n)</t>
        </is>
      </c>
      <c r="E19" s="9" t="inlineStr">
        <is>
          <t>seen from an order</t>
        </is>
      </c>
      <c r="F19" s="9" t="inlineStr">
        <is>
          <t>P(N &gt;= n)</t>
        </is>
      </c>
    </row>
    <row r="20">
      <c r="A20" s="10" t="n">
        <v>1</v>
      </c>
      <c r="B20" s="11">
        <f>1-_xlfn.POISSON.DIST(A20-1,$B$12,TRUE)</f>
        <v/>
      </c>
      <c r="C20" s="10" t="n">
        <v>0</v>
      </c>
      <c r="D20" s="13">
        <f>F20-F21</f>
        <v/>
      </c>
      <c r="E20" s="11">
        <f>_xlfn.POISSON.DIST(0*$B$6+$B$6-1,$B$12,TRUE)-0</f>
        <v/>
      </c>
      <c r="F20" s="11">
        <f>1</f>
        <v/>
      </c>
    </row>
    <row r="21">
      <c r="A21" s="10" t="n">
        <v>2</v>
      </c>
      <c r="B21" s="11">
        <f>1-_xlfn.POISSON.DIST(A21-1,$B$12,TRUE)</f>
        <v/>
      </c>
      <c r="C21" s="10" t="n">
        <v>1</v>
      </c>
      <c r="D21" s="13">
        <f>F21-F22</f>
        <v/>
      </c>
      <c r="E21" s="11">
        <f>_xlfn.POISSON.DIST(1*$B$6+$B$6-1,$B$12,TRUE)-_xlfn.POISSON.DIST(1*$B$6-1,$B$12,TRUE)</f>
        <v/>
      </c>
      <c r="F21" s="11">
        <f>AVERAGE(INDEX(OrdersTail,(1-1)*$B$6+1):INDEX(OrdersTail,1*$B$6))</f>
        <v/>
      </c>
    </row>
    <row r="22">
      <c r="A22" s="10" t="n">
        <v>3</v>
      </c>
      <c r="B22" s="11">
        <f>1-_xlfn.POISSON.DIST(A22-1,$B$12,TRUE)</f>
        <v/>
      </c>
      <c r="C22" s="10" t="n">
        <v>2</v>
      </c>
      <c r="D22" s="13">
        <f>F22-F23</f>
        <v/>
      </c>
      <c r="E22" s="11">
        <f>_xlfn.POISSON.DIST(2*$B$6+$B$6-1,$B$12,TRUE)-_xlfn.POISSON.DIST(2*$B$6-1,$B$12,TRUE)</f>
        <v/>
      </c>
      <c r="F22" s="11">
        <f>AVERAGE(INDEX(OrdersTail,(2-1)*$B$6+1):INDEX(OrdersTail,2*$B$6))</f>
        <v/>
      </c>
    </row>
    <row r="23">
      <c r="A23" s="10" t="n">
        <v>4</v>
      </c>
      <c r="B23" s="11">
        <f>1-_xlfn.POISSON.DIST(A23-1,$B$12,TRUE)</f>
        <v/>
      </c>
      <c r="C23" s="10" t="n">
        <v>3</v>
      </c>
      <c r="D23" s="13">
        <f>F23-F24</f>
        <v/>
      </c>
      <c r="E23" s="11">
        <f>_xlfn.POISSON.DIST(3*$B$6+$B$6-1,$B$12,TRUE)-_xlfn.POISSON.DIST(3*$B$6-1,$B$12,TRUE)</f>
        <v/>
      </c>
      <c r="F23" s="11">
        <f>AVERAGE(INDEX(OrdersTail,(3-1)*$B$6+1):INDEX(OrdersTail,3*$B$6))</f>
        <v/>
      </c>
    </row>
    <row r="24">
      <c r="A24" s="10" t="n">
        <v>5</v>
      </c>
      <c r="B24" s="11">
        <f>1-_xlfn.POISSON.DIST(A24-1,$B$12,TRUE)</f>
        <v/>
      </c>
      <c r="C24" s="10" t="n">
        <v>4</v>
      </c>
      <c r="D24" s="13">
        <f>F24-F25</f>
        <v/>
      </c>
      <c r="E24" s="11">
        <f>_xlfn.POISSON.DIST(4*$B$6+$B$6-1,$B$12,TRUE)-_xlfn.POISSON.DIST(4*$B$6-1,$B$12,TRUE)</f>
        <v/>
      </c>
      <c r="F24" s="11">
        <f>AVERAGE(INDEX(OrdersTail,(4-1)*$B$6+1):INDEX(OrdersTail,4*$B$6))</f>
        <v/>
      </c>
    </row>
    <row r="25">
      <c r="A25" s="10" t="n">
        <v>6</v>
      </c>
      <c r="B25" s="11">
        <f>1-_xlfn.POISSON.DIST(A25-1,$B$12,TRUE)</f>
        <v/>
      </c>
      <c r="C25" s="10" t="n">
        <v>5</v>
      </c>
      <c r="D25" s="13">
        <f>F25-F26</f>
        <v/>
      </c>
      <c r="E25" s="11">
        <f>_xlfn.POISSON.DIST(5*$B$6+$B$6-1,$B$12,TRUE)-_xlfn.POISSON.DIST(5*$B$6-1,$B$12,TRUE)</f>
        <v/>
      </c>
      <c r="F25" s="11">
        <f>AVERAGE(INDEX(OrdersTail,(5-1)*$B$6+1):INDEX(OrdersTail,5*$B$6))</f>
        <v/>
      </c>
    </row>
    <row r="26">
      <c r="A26" s="10" t="n">
        <v>7</v>
      </c>
      <c r="B26" s="11">
        <f>1-_xlfn.POISSON.DIST(A26-1,$B$12,TRUE)</f>
        <v/>
      </c>
      <c r="C26" s="10" t="n">
        <v>6</v>
      </c>
      <c r="D26" s="13">
        <f>F26-F27</f>
        <v/>
      </c>
      <c r="E26" s="11">
        <f>_xlfn.POISSON.DIST(6*$B$6+$B$6-1,$B$12,TRUE)-_xlfn.POISSON.DIST(6*$B$6-1,$B$12,TRUE)</f>
        <v/>
      </c>
      <c r="F26" s="11">
        <f>AVERAGE(INDEX(OrdersTail,(6-1)*$B$6+1):INDEX(OrdersTail,6*$B$6))</f>
        <v/>
      </c>
    </row>
    <row r="27">
      <c r="A27" s="10" t="n">
        <v>8</v>
      </c>
      <c r="B27" s="11">
        <f>1-_xlfn.POISSON.DIST(A27-1,$B$12,TRUE)</f>
        <v/>
      </c>
      <c r="C27" s="10" t="n">
        <v>7</v>
      </c>
      <c r="D27" s="13">
        <f>F27-F28</f>
        <v/>
      </c>
      <c r="E27" s="11">
        <f>_xlfn.POISSON.DIST(7*$B$6+$B$6-1,$B$12,TRUE)-_xlfn.POISSON.DIST(7*$B$6-1,$B$12,TRUE)</f>
        <v/>
      </c>
      <c r="F27" s="11">
        <f>AVERAGE(INDEX(OrdersTail,(7-1)*$B$6+1):INDEX(OrdersTail,7*$B$6))</f>
        <v/>
      </c>
    </row>
    <row r="28">
      <c r="A28" s="10" t="n">
        <v>9</v>
      </c>
      <c r="B28" s="11">
        <f>1-_xlfn.POISSON.DIST(A28-1,$B$12,TRUE)</f>
        <v/>
      </c>
      <c r="C28" s="10" t="n">
        <v>8</v>
      </c>
      <c r="D28" s="13">
        <f>F28-F29</f>
        <v/>
      </c>
      <c r="E28" s="11">
        <f>_xlfn.POISSON.DIST(8*$B$6+$B$6-1,$B$12,TRUE)-_xlfn.POISSON.DIST(8*$B$6-1,$B$12,TRUE)</f>
        <v/>
      </c>
      <c r="F28" s="11">
        <f>AVERAGE(INDEX(OrdersTail,(8-1)*$B$6+1):INDEX(OrdersTail,8*$B$6))</f>
        <v/>
      </c>
    </row>
    <row r="29">
      <c r="A29" s="10" t="n">
        <v>10</v>
      </c>
      <c r="B29" s="11">
        <f>1-_xlfn.POISSON.DIST(A29-1,$B$12,TRUE)</f>
        <v/>
      </c>
      <c r="C29" s="10" t="n">
        <v>9</v>
      </c>
      <c r="D29" s="13">
        <f>F29-F30</f>
        <v/>
      </c>
      <c r="E29" s="11">
        <f>_xlfn.POISSON.DIST(9*$B$6+$B$6-1,$B$12,TRUE)-_xlfn.POISSON.DIST(9*$B$6-1,$B$12,TRUE)</f>
        <v/>
      </c>
      <c r="F29" s="11">
        <f>AVERAGE(INDEX(OrdersTail,(9-1)*$B$6+1):INDEX(OrdersTail,9*$B$6))</f>
        <v/>
      </c>
    </row>
    <row r="30">
      <c r="A30" s="10" t="n">
        <v>11</v>
      </c>
      <c r="B30" s="11">
        <f>1-_xlfn.POISSON.DIST(A30-1,$B$12,TRUE)</f>
        <v/>
      </c>
      <c r="C30" s="10" t="n">
        <v>10</v>
      </c>
      <c r="D30" s="13">
        <f>F30-F31</f>
        <v/>
      </c>
      <c r="E30" s="11">
        <f>_xlfn.POISSON.DIST(10*$B$6+$B$6-1,$B$12,TRUE)-_xlfn.POISSON.DIST(10*$B$6-1,$B$12,TRUE)</f>
        <v/>
      </c>
      <c r="F30" s="11">
        <f>AVERAGE(INDEX(OrdersTail,(10-1)*$B$6+1):INDEX(OrdersTail,10*$B$6))</f>
        <v/>
      </c>
    </row>
    <row r="31">
      <c r="A31" s="10" t="n">
        <v>12</v>
      </c>
      <c r="B31" s="11">
        <f>1-_xlfn.POISSON.DIST(A31-1,$B$12,TRUE)</f>
        <v/>
      </c>
      <c r="C31" s="10" t="n">
        <v>11</v>
      </c>
      <c r="D31" s="13">
        <f>F31-F32</f>
        <v/>
      </c>
      <c r="E31" s="11">
        <f>_xlfn.POISSON.DIST(11*$B$6+$B$6-1,$B$12,TRUE)-_xlfn.POISSON.DIST(11*$B$6-1,$B$12,TRUE)</f>
        <v/>
      </c>
      <c r="F31" s="11">
        <f>AVERAGE(INDEX(OrdersTail,(11-1)*$B$6+1):INDEX(OrdersTail,11*$B$6))</f>
        <v/>
      </c>
    </row>
    <row r="32">
      <c r="A32" s="10" t="n">
        <v>13</v>
      </c>
      <c r="B32" s="11">
        <f>1-_xlfn.POISSON.DIST(A32-1,$B$12,TRUE)</f>
        <v/>
      </c>
      <c r="C32" s="10" t="n">
        <v>12</v>
      </c>
      <c r="D32" s="13">
        <f>F32-F33</f>
        <v/>
      </c>
      <c r="E32" s="11">
        <f>_xlfn.POISSON.DIST(12*$B$6+$B$6-1,$B$12,TRUE)-_xlfn.POISSON.DIST(12*$B$6-1,$B$12,TRUE)</f>
        <v/>
      </c>
      <c r="F32" s="11">
        <f>AVERAGE(INDEX(OrdersTail,(12-1)*$B$6+1):INDEX(OrdersTail,12*$B$6))</f>
        <v/>
      </c>
    </row>
    <row r="33">
      <c r="A33" s="10" t="n">
        <v>14</v>
      </c>
      <c r="B33" s="11">
        <f>1-_xlfn.POISSON.DIST(A33-1,$B$12,TRUE)</f>
        <v/>
      </c>
      <c r="C33" s="10" t="n">
        <v>13</v>
      </c>
      <c r="D33" s="13">
        <f>F33-F34</f>
        <v/>
      </c>
      <c r="E33" s="11">
        <f>_xlfn.POISSON.DIST(13*$B$6+$B$6-1,$B$12,TRUE)-_xlfn.POISSON.DIST(13*$B$6-1,$B$12,TRUE)</f>
        <v/>
      </c>
      <c r="F33" s="11">
        <f>AVERAGE(INDEX(OrdersTail,(13-1)*$B$6+1):INDEX(OrdersTail,13*$B$6))</f>
        <v/>
      </c>
    </row>
    <row r="34">
      <c r="A34" s="10" t="n">
        <v>15</v>
      </c>
      <c r="B34" s="11">
        <f>1-_xlfn.POISSON.DIST(A34-1,$B$12,TRUE)</f>
        <v/>
      </c>
      <c r="C34" s="10" t="n">
        <v>14</v>
      </c>
      <c r="D34" s="13">
        <f>F34-F35</f>
        <v/>
      </c>
      <c r="E34" s="11">
        <f>_xlfn.POISSON.DIST(14*$B$6+$B$6-1,$B$12,TRUE)-_xlfn.POISSON.DIST(14*$B$6-1,$B$12,TRUE)</f>
        <v/>
      </c>
      <c r="F34" s="11">
        <f>AVERAGE(INDEX(OrdersTail,(14-1)*$B$6+1):INDEX(OrdersTail,14*$B$6))</f>
        <v/>
      </c>
    </row>
    <row r="35">
      <c r="A35" s="10" t="n">
        <v>16</v>
      </c>
      <c r="B35" s="11">
        <f>1-_xlfn.POISSON.DIST(A35-1,$B$12,TRUE)</f>
        <v/>
      </c>
      <c r="F35" s="11">
        <f>AVERAGE(INDEX(OrdersTail,(15-1)*$B$6+1):INDEX(OrdersTail,15*$B$6))</f>
        <v/>
      </c>
    </row>
    <row r="36">
      <c r="A36" s="10" t="n">
        <v>17</v>
      </c>
      <c r="B36" s="11">
        <f>1-_xlfn.POISSON.DIST(A36-1,$B$12,TRUE)</f>
        <v/>
      </c>
    </row>
    <row r="37">
      <c r="A37" s="10" t="n">
        <v>18</v>
      </c>
      <c r="B37" s="11">
        <f>1-_xlfn.POISSON.DIST(A37-1,$B$12,TRUE)</f>
        <v/>
      </c>
    </row>
    <row r="38">
      <c r="A38" s="10" t="n">
        <v>19</v>
      </c>
      <c r="B38" s="11">
        <f>1-_xlfn.POISSON.DIST(A38-1,$B$12,TRUE)</f>
        <v/>
      </c>
    </row>
    <row r="39">
      <c r="A39" s="10" t="n">
        <v>20</v>
      </c>
      <c r="B39" s="11">
        <f>1-_xlfn.POISSON.DIST(A39-1,$B$12,TRUE)</f>
        <v/>
      </c>
    </row>
    <row r="40">
      <c r="A40" s="10" t="n">
        <v>21</v>
      </c>
      <c r="B40" s="11">
        <f>1-_xlfn.POISSON.DIST(A40-1,$B$12,TRUE)</f>
        <v/>
      </c>
    </row>
    <row r="41">
      <c r="A41" s="10" t="n">
        <v>22</v>
      </c>
      <c r="B41" s="11">
        <f>1-_xlfn.POISSON.DIST(A41-1,$B$12,TRUE)</f>
        <v/>
      </c>
    </row>
    <row r="42">
      <c r="A42" s="10" t="n">
        <v>23</v>
      </c>
      <c r="B42" s="11">
        <f>1-_xlfn.POISSON.DIST(A42-1,$B$12,TRUE)</f>
        <v/>
      </c>
    </row>
    <row r="43">
      <c r="A43" s="10" t="n">
        <v>24</v>
      </c>
      <c r="B43" s="11">
        <f>1-_xlfn.POISSON.DIST(A43-1,$B$12,TRUE)</f>
        <v/>
      </c>
    </row>
    <row r="44">
      <c r="A44" s="10" t="n">
        <v>25</v>
      </c>
      <c r="B44" s="11">
        <f>1-_xlfn.POISSON.DIST(A44-1,$B$12,TRUE)</f>
        <v/>
      </c>
    </row>
    <row r="45">
      <c r="A45" s="10" t="n">
        <v>26</v>
      </c>
      <c r="B45" s="11">
        <f>1-_xlfn.POISSON.DIST(A45-1,$B$12,TRUE)</f>
        <v/>
      </c>
    </row>
    <row r="46">
      <c r="A46" s="10" t="n">
        <v>27</v>
      </c>
      <c r="B46" s="11">
        <f>1-_xlfn.POISSON.DIST(A46-1,$B$12,TRUE)</f>
        <v/>
      </c>
    </row>
    <row r="47">
      <c r="A47" s="10" t="n">
        <v>28</v>
      </c>
      <c r="B47" s="11">
        <f>1-_xlfn.POISSON.DIST(A47-1,$B$12,TRUE)</f>
        <v/>
      </c>
    </row>
    <row r="48">
      <c r="A48" s="10" t="n">
        <v>29</v>
      </c>
      <c r="B48" s="11">
        <f>1-_xlfn.POISSON.DIST(A48-1,$B$12,TRUE)</f>
        <v/>
      </c>
    </row>
    <row r="49">
      <c r="A49" s="10" t="n">
        <v>30</v>
      </c>
      <c r="B49" s="11">
        <f>1-_xlfn.POISSON.DIST(A49-1,$B$12,TRUE)</f>
        <v/>
      </c>
    </row>
    <row r="50">
      <c r="A50" s="10" t="n">
        <v>31</v>
      </c>
      <c r="B50" s="11">
        <f>1-_xlfn.POISSON.DIST(A50-1,$B$12,TRUE)</f>
        <v/>
      </c>
    </row>
    <row r="51">
      <c r="A51" s="10" t="n">
        <v>32</v>
      </c>
      <c r="B51" s="11">
        <f>1-_xlfn.POISSON.DIST(A51-1,$B$12,TRUE)</f>
        <v/>
      </c>
    </row>
    <row r="52">
      <c r="A52" s="10" t="n">
        <v>33</v>
      </c>
      <c r="B52" s="11">
        <f>1-_xlfn.POISSON.DIST(A52-1,$B$12,TRUE)</f>
        <v/>
      </c>
    </row>
    <row r="53">
      <c r="A53" s="10" t="n">
        <v>34</v>
      </c>
      <c r="B53" s="11">
        <f>1-_xlfn.POISSON.DIST(A53-1,$B$12,TRUE)</f>
        <v/>
      </c>
    </row>
    <row r="54">
      <c r="A54" s="10" t="n">
        <v>35</v>
      </c>
      <c r="B54" s="11">
        <f>1-_xlfn.POISSON.DIST(A54-1,$B$12,TRUE)</f>
        <v/>
      </c>
    </row>
    <row r="55">
      <c r="A55" s="10" t="n">
        <v>36</v>
      </c>
      <c r="B55" s="11">
        <f>1-_xlfn.POISSON.DIST(A55-1,$B$12,TRUE)</f>
        <v/>
      </c>
    </row>
    <row r="56">
      <c r="A56" s="10" t="n">
        <v>37</v>
      </c>
      <c r="B56" s="11">
        <f>1-_xlfn.POISSON.DIST(A56-1,$B$12,TRUE)</f>
        <v/>
      </c>
    </row>
    <row r="57">
      <c r="A57" s="10" t="n">
        <v>38</v>
      </c>
      <c r="B57" s="11">
        <f>1-_xlfn.POISSON.DIST(A57-1,$B$12,TRUE)</f>
        <v/>
      </c>
    </row>
    <row r="58">
      <c r="A58" s="10" t="n">
        <v>39</v>
      </c>
      <c r="B58" s="11">
        <f>1-_xlfn.POISSON.DIST(A58-1,$B$12,TRUE)</f>
        <v/>
      </c>
    </row>
    <row r="59">
      <c r="A59" s="10" t="n">
        <v>40</v>
      </c>
      <c r="B59" s="11">
        <f>1-_xlfn.POISSON.DIST(A59-1,$B$12,TRUE)</f>
        <v/>
      </c>
    </row>
    <row r="60">
      <c r="A60" s="10" t="n">
        <v>41</v>
      </c>
      <c r="B60" s="11">
        <f>1-_xlfn.POISSON.DIST(A60-1,$B$12,TRUE)</f>
        <v/>
      </c>
    </row>
    <row r="61">
      <c r="A61" s="10" t="n">
        <v>42</v>
      </c>
      <c r="B61" s="11">
        <f>1-_xlfn.POISSON.DIST(A61-1,$B$12,TRUE)</f>
        <v/>
      </c>
    </row>
    <row r="62">
      <c r="A62" s="10" t="n">
        <v>43</v>
      </c>
      <c r="B62" s="11">
        <f>1-_xlfn.POISSON.DIST(A62-1,$B$12,TRUE)</f>
        <v/>
      </c>
    </row>
    <row r="63">
      <c r="A63" s="10" t="n">
        <v>44</v>
      </c>
      <c r="B63" s="11">
        <f>1-_xlfn.POISSON.DIST(A63-1,$B$12,TRUE)</f>
        <v/>
      </c>
    </row>
    <row r="64">
      <c r="A64" s="10" t="n">
        <v>45</v>
      </c>
      <c r="B64" s="11">
        <f>1-_xlfn.POISSON.DIST(A64-1,$B$12,TRUE)</f>
        <v/>
      </c>
    </row>
    <row r="66">
      <c r="A66" s="2" t="inlineStr">
        <is>
          <t>Each P(N &gt;= n) is an average of Q_j consecutive entries of the tail column.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9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6" customWidth="1" min="14" max="14"/>
    <col width="12" customWidth="1" min="15" max="15"/>
    <col width="12" customWidth="1" min="16" max="16"/>
    <col width="13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>
      <c r="A1" s="1" t="inlineStr">
        <is>
          <t>The hub with other demand, exactly and by two shortcuts</t>
        </is>
      </c>
    </row>
    <row r="2">
      <c r="A2" s="2" t="inlineStr">
        <is>
          <t>@sec-batchedmultiechelon. The hub's demand is the other demand plus the storeroom's orders counted in batches.</t>
        </is>
      </c>
    </row>
    <row r="4">
      <c r="A4" s="3" t="inlineStr">
        <is>
          <t>Read from the Orders sheet, and the costs</t>
        </is>
      </c>
    </row>
    <row r="5">
      <c r="A5" t="inlineStr">
        <is>
          <t>lambda_o L_0</t>
        </is>
      </c>
      <c r="B5" s="7">
        <f>Orders!B7*Orders!B8</f>
        <v/>
      </c>
    </row>
    <row r="6">
      <c r="A6" t="inlineStr">
        <is>
          <t>Q_j</t>
        </is>
      </c>
      <c r="B6" s="12">
        <f>Orders!B6</f>
        <v/>
      </c>
    </row>
    <row r="7">
      <c r="A7" t="inlineStr">
        <is>
          <t>Q_0</t>
        </is>
      </c>
      <c r="B7" s="12">
        <f>Orders!B10</f>
        <v/>
      </c>
    </row>
    <row r="8">
      <c r="A8" t="inlineStr">
        <is>
          <t>h per week</t>
        </is>
      </c>
      <c r="B8" s="8">
        <f>Hub!B14</f>
        <v/>
      </c>
    </row>
    <row r="9">
      <c r="A9" t="inlineStr">
        <is>
          <t>b per week</t>
        </is>
      </c>
      <c r="B9" s="8">
        <f>Hub!B15</f>
        <v/>
      </c>
    </row>
    <row r="10">
      <c r="A10" t="inlineStr">
        <is>
          <t>lambda_0 L_0</t>
        </is>
      </c>
      <c r="B10" s="7">
        <f>(Orders!B5+Orders!B7)*Orders!B8</f>
        <v/>
      </c>
    </row>
    <row r="12">
      <c r="A12" s="3" t="inlineStr">
        <is>
          <t>Three lead time demands</t>
        </is>
      </c>
    </row>
    <row r="13">
      <c r="B13" s="9" t="inlineStr">
        <is>
          <t>exact</t>
        </is>
      </c>
      <c r="C13" s="9" t="inlineStr">
        <is>
          <t>recipe</t>
        </is>
      </c>
      <c r="D13" s="9" t="inlineStr">
        <is>
          <t>shortcut</t>
        </is>
      </c>
    </row>
    <row r="14">
      <c r="A14" t="inlineStr">
        <is>
          <t>mean</t>
        </is>
      </c>
      <c r="B14" s="7">
        <f>SUMPRODUCT($A$32:$A$92,B32:B92)</f>
        <v/>
      </c>
      <c r="C14" s="7">
        <f>B10</f>
        <v/>
      </c>
      <c r="D14" s="7">
        <f>B10</f>
        <v/>
      </c>
    </row>
    <row r="15">
      <c r="A15" t="inlineStr">
        <is>
          <t>variance</t>
        </is>
      </c>
      <c r="B15" s="7">
        <f>B18-B14^2</f>
        <v/>
      </c>
      <c r="C15" s="7">
        <f>Orders!B7*Orders!B8+Orders!B5*Orders!B8+B6^2/6</f>
        <v/>
      </c>
      <c r="D15" s="7">
        <f>Orders!B7*Orders!B8+Orders!B5*Orders!B6*Orders!B8</f>
        <v/>
      </c>
    </row>
    <row r="16">
      <c r="A16" t="inlineStr">
        <is>
          <t>negative binomial p</t>
        </is>
      </c>
      <c r="C16" s="7">
        <f>C14/C15</f>
        <v/>
      </c>
      <c r="D16" s="7">
        <f>D14/D15</f>
        <v/>
      </c>
    </row>
    <row r="17">
      <c r="A17" t="inlineStr">
        <is>
          <t>negative binomial r</t>
        </is>
      </c>
      <c r="C17" s="7">
        <f>C14^2/(C15-C14)</f>
        <v/>
      </c>
      <c r="D17" s="7">
        <f>D14^2/(D15-D14)</f>
        <v/>
      </c>
    </row>
    <row r="18">
      <c r="A18" t="inlineStr">
        <is>
          <t>second moment E[X^2]</t>
        </is>
      </c>
      <c r="B18" s="7">
        <f>SUMPRODUCT($A$32:$A$92,$A$32:$A$92,B32:B92)</f>
        <v/>
      </c>
      <c r="C18" s="7">
        <f>C15+C14^2</f>
        <v/>
      </c>
      <c r="D18" s="7">
        <f>D15+D14^2</f>
        <v/>
      </c>
    </row>
    <row r="19">
      <c r="A19" t="inlineStr">
        <is>
          <t>r_0 it would choose</t>
        </is>
      </c>
      <c r="B19" s="20">
        <f>MATCH(B20,O32:O62,0)-1</f>
        <v/>
      </c>
      <c r="C19" s="20">
        <f>MATCH(C20,P32:P62,0)-1</f>
        <v/>
      </c>
      <c r="D19" s="20">
        <f>MATCH(D20,Q32:Q62,0)-1</f>
        <v/>
      </c>
    </row>
    <row r="20">
      <c r="A20" t="inlineStr">
        <is>
          <t>cost it believes</t>
        </is>
      </c>
      <c r="B20" s="21">
        <f>MIN(O32:O62)</f>
        <v/>
      </c>
      <c r="C20" s="21">
        <f>MIN(P32:P62)</f>
        <v/>
      </c>
      <c r="D20" s="21">
        <f>MIN(Q32:Q62)</f>
        <v/>
      </c>
    </row>
    <row r="21">
      <c r="A21" t="inlineStr">
        <is>
          <t>true cost of that r_0</t>
        </is>
      </c>
      <c r="B21" s="8">
        <f>INDEX($O$32:$O$62,B19+1)</f>
        <v/>
      </c>
      <c r="C21" s="8">
        <f>INDEX($O$32:$O$62,C19+1)</f>
        <v/>
      </c>
      <c r="D21" s="8">
        <f>INDEX($O$32:$O$62,D19+1)</f>
        <v/>
      </c>
    </row>
    <row r="23">
      <c r="A23" s="3" t="inlineStr">
        <is>
          <t>The hub at r_0 from the Orders sheet, exactly</t>
        </is>
      </c>
    </row>
    <row r="24">
      <c r="A24" t="inlineStr">
        <is>
          <t>expected backorders</t>
        </is>
      </c>
      <c r="B24" s="7">
        <f>(INDEX(GenExactLossTwo,Orders!B9+1)-INDEX(GenExactLossTwo,Orders!B9+B7+1))/B7</f>
        <v/>
      </c>
    </row>
    <row r="25">
      <c r="A25" t="inlineStr">
        <is>
          <t>ready rate</t>
        </is>
      </c>
      <c r="B25" s="7">
        <f>1-(INDEX(GenExactLossOne,Orders!B9+1)-INDEX(GenExactLossOne,Orders!B9+B7+1))/B7</f>
        <v/>
      </c>
    </row>
    <row r="26">
      <c r="A26" t="inlineStr">
        <is>
          <t>expected on-hand</t>
        </is>
      </c>
      <c r="B26" s="7">
        <f>(B7+1)/2+Orders!B9-B14+B24</f>
        <v/>
      </c>
    </row>
    <row r="27">
      <c r="A27" s="2" t="inlineStr">
        <is>
          <t>The recipe adds Q_j^2/6 for the rounding to whole batches. The shortcut treats the storeroom's orders as Poisson arrivals of Q_j units, which is Q_j times the customers' variance.</t>
        </is>
      </c>
    </row>
    <row r="29">
      <c r="A29" s="2" t="inlineStr">
        <is>
          <t>Columns R onward: the other demand's Poisson mass shifted by n batches, weighted by P(N = n).</t>
        </is>
      </c>
      <c r="Q29" s="16" t="inlineStr">
        <is>
          <t>P(N = n)</t>
        </is>
      </c>
      <c r="R29" s="18">
        <f>INDEX(OrdersCount,1)</f>
        <v/>
      </c>
      <c r="S29" s="18">
        <f>INDEX(OrdersCount,2)</f>
        <v/>
      </c>
      <c r="T29" s="18">
        <f>INDEX(OrdersCount,3)</f>
        <v/>
      </c>
      <c r="U29" s="18">
        <f>INDEX(OrdersCount,4)</f>
        <v/>
      </c>
      <c r="V29" s="18">
        <f>INDEX(OrdersCount,5)</f>
        <v/>
      </c>
      <c r="W29" s="18">
        <f>INDEX(OrdersCount,6)</f>
        <v/>
      </c>
      <c r="X29" s="18">
        <f>INDEX(OrdersCount,7)</f>
        <v/>
      </c>
      <c r="Y29" s="18">
        <f>INDEX(OrdersCount,8)</f>
        <v/>
      </c>
      <c r="Z29" s="18">
        <f>INDEX(OrdersCount,9)</f>
        <v/>
      </c>
      <c r="AA29" s="18">
        <f>INDEX(OrdersCount,10)</f>
        <v/>
      </c>
      <c r="AB29" s="18">
        <f>INDEX(OrdersCount,11)</f>
        <v/>
      </c>
      <c r="AC29" s="18">
        <f>INDEX(OrdersCount,12)</f>
        <v/>
      </c>
      <c r="AD29" s="18">
        <f>INDEX(OrdersCount,13)</f>
        <v/>
      </c>
      <c r="AE29" s="18">
        <f>INDEX(OrdersCount,14)</f>
        <v/>
      </c>
      <c r="AF29" s="18">
        <f>INDEX(OrdersCount,15)</f>
        <v/>
      </c>
    </row>
    <row r="30">
      <c r="R30" s="10" t="n">
        <v>0</v>
      </c>
      <c r="S30" s="10" t="n">
        <v>1</v>
      </c>
      <c r="T30" s="10" t="n">
        <v>2</v>
      </c>
      <c r="U30" s="10" t="n">
        <v>3</v>
      </c>
      <c r="V30" s="10" t="n">
        <v>4</v>
      </c>
      <c r="W30" s="10" t="n">
        <v>5</v>
      </c>
      <c r="X30" s="10" t="n">
        <v>6</v>
      </c>
      <c r="Y30" s="10" t="n">
        <v>7</v>
      </c>
      <c r="Z30" s="10" t="n">
        <v>8</v>
      </c>
      <c r="AA30" s="10" t="n">
        <v>9</v>
      </c>
      <c r="AB30" s="10" t="n">
        <v>10</v>
      </c>
      <c r="AC30" s="10" t="n">
        <v>11</v>
      </c>
      <c r="AD30" s="10" t="n">
        <v>12</v>
      </c>
      <c r="AE30" s="10" t="n">
        <v>13</v>
      </c>
      <c r="AF30" s="10" t="n">
        <v>14</v>
      </c>
    </row>
    <row r="31">
      <c r="A31" s="9" t="inlineStr">
        <is>
          <t>x</t>
        </is>
      </c>
      <c r="B31" s="9" t="inlineStr">
        <is>
          <t>exact</t>
        </is>
      </c>
      <c r="C31" s="9" t="inlineStr">
        <is>
          <t>F</t>
        </is>
      </c>
      <c r="D31" s="9" t="inlineStr">
        <is>
          <t>LossOne</t>
        </is>
      </c>
      <c r="E31" s="9" t="inlineStr">
        <is>
          <t>LossTwo</t>
        </is>
      </c>
      <c r="F31" s="9" t="inlineStr">
        <is>
          <t>recipe</t>
        </is>
      </c>
      <c r="G31" s="9" t="inlineStr">
        <is>
          <t>F</t>
        </is>
      </c>
      <c r="H31" s="9" t="inlineStr">
        <is>
          <t>LossOne</t>
        </is>
      </c>
      <c r="I31" s="9" t="inlineStr">
        <is>
          <t>LossTwo</t>
        </is>
      </c>
      <c r="J31" s="9" t="inlineStr">
        <is>
          <t>shortcut</t>
        </is>
      </c>
      <c r="K31" s="9" t="inlineStr">
        <is>
          <t>F</t>
        </is>
      </c>
      <c r="L31" s="9" t="inlineStr">
        <is>
          <t>LossOne</t>
        </is>
      </c>
      <c r="M31" s="9" t="inlineStr">
        <is>
          <t>LossTwo</t>
        </is>
      </c>
      <c r="N31" s="9" t="inlineStr">
        <is>
          <t>r</t>
        </is>
      </c>
      <c r="O31" s="9" t="inlineStr">
        <is>
          <t>exact cost</t>
        </is>
      </c>
      <c r="P31" s="9" t="inlineStr">
        <is>
          <t>recipe cost</t>
        </is>
      </c>
      <c r="Q31" s="9" t="inlineStr">
        <is>
          <t>shortcut cost</t>
        </is>
      </c>
    </row>
    <row r="32">
      <c r="A32" s="10" t="n">
        <v>0</v>
      </c>
      <c r="B32" s="11">
        <f>SUMPRODUCT(R32:AF32,$R$29:$AF$29)</f>
        <v/>
      </c>
      <c r="C32" s="11">
        <f>B32</f>
        <v/>
      </c>
      <c r="D32" s="11">
        <f>$B$14</f>
        <v/>
      </c>
      <c r="E32" s="11">
        <f>0.5*($B$18-$B$14)</f>
        <v/>
      </c>
      <c r="F32" s="11">
        <f>$C$16^$C$17</f>
        <v/>
      </c>
      <c r="G32" s="11">
        <f>F32</f>
        <v/>
      </c>
      <c r="H32" s="11">
        <f>$C$14</f>
        <v/>
      </c>
      <c r="I32" s="11">
        <f>0.5*($C$18-$C$14)</f>
        <v/>
      </c>
      <c r="J32" s="11">
        <f>$D$16^$D$17</f>
        <v/>
      </c>
      <c r="K32" s="11">
        <f>J32</f>
        <v/>
      </c>
      <c r="L32" s="11">
        <f>$D$14</f>
        <v/>
      </c>
      <c r="M32" s="11">
        <f>0.5*($D$18-$D$14)</f>
        <v/>
      </c>
      <c r="N32" s="10" t="n">
        <v>0</v>
      </c>
      <c r="O32" s="8">
        <f>$B$8*(($B$7+1)/2+N32-$B$14+(INDEX(GenExactLossTwo,N32+1)-INDEX(GenExactLossTwo,N32+$B$7+1))/$B$7)+$B$9*(INDEX(GenExactLossTwo,N32+1)-INDEX(GenExactLossTwo,N32+$B$7+1))/$B$7</f>
        <v/>
      </c>
      <c r="P32" s="8">
        <f>$B$8*(($B$7+1)/2+N32-$C$14+(INDEX(GenRecipeLossTwo,N32+1)-INDEX(GenRecipeLossTwo,N32+$B$7+1))/$B$7)+$B$9*(INDEX(GenRecipeLossTwo,N32+1)-INDEX(GenRecipeLossTwo,N32+$B$7+1))/$B$7</f>
        <v/>
      </c>
      <c r="Q32" s="8">
        <f>$B$8*(($B$7+1)/2+N32-$D$14+(INDEX(GenShortcutLossTwo,N32+1)-INDEX(GenShortcutLossTwo,N32+$B$7+1))/$B$7)+$B$9*(INDEX(GenShortcutLossTwo,N32+1)-INDEX(GenShortcutLossTwo,N32+$B$7+1))/$B$7</f>
        <v/>
      </c>
      <c r="R32" s="18">
        <f>IF($A32-0*$B$6&gt;=0,_xlfn.POISSON.DIST($A32-0*$B$6,$B$5,FALSE),0)</f>
        <v/>
      </c>
      <c r="S32" s="18">
        <f>IF($A32-1*$B$6&gt;=0,_xlfn.POISSON.DIST($A32-1*$B$6,$B$5,FALSE),0)</f>
        <v/>
      </c>
      <c r="T32" s="18">
        <f>IF($A32-2*$B$6&gt;=0,_xlfn.POISSON.DIST($A32-2*$B$6,$B$5,FALSE),0)</f>
        <v/>
      </c>
      <c r="U32" s="18">
        <f>IF($A32-3*$B$6&gt;=0,_xlfn.POISSON.DIST($A32-3*$B$6,$B$5,FALSE),0)</f>
        <v/>
      </c>
      <c r="V32" s="18">
        <f>IF($A32-4*$B$6&gt;=0,_xlfn.POISSON.DIST($A32-4*$B$6,$B$5,FALSE),0)</f>
        <v/>
      </c>
      <c r="W32" s="18">
        <f>IF($A32-5*$B$6&gt;=0,_xlfn.POISSON.DIST($A32-5*$B$6,$B$5,FALSE),0)</f>
        <v/>
      </c>
      <c r="X32" s="18">
        <f>IF($A32-6*$B$6&gt;=0,_xlfn.POISSON.DIST($A32-6*$B$6,$B$5,FALSE),0)</f>
        <v/>
      </c>
      <c r="Y32" s="18">
        <f>IF($A32-7*$B$6&gt;=0,_xlfn.POISSON.DIST($A32-7*$B$6,$B$5,FALSE),0)</f>
        <v/>
      </c>
      <c r="Z32" s="18">
        <f>IF($A32-8*$B$6&gt;=0,_xlfn.POISSON.DIST($A32-8*$B$6,$B$5,FALSE),0)</f>
        <v/>
      </c>
      <c r="AA32" s="18">
        <f>IF($A32-9*$B$6&gt;=0,_xlfn.POISSON.DIST($A32-9*$B$6,$B$5,FALSE),0)</f>
        <v/>
      </c>
      <c r="AB32" s="18">
        <f>IF($A32-10*$B$6&gt;=0,_xlfn.POISSON.DIST($A32-10*$B$6,$B$5,FALSE),0)</f>
        <v/>
      </c>
      <c r="AC32" s="18">
        <f>IF($A32-11*$B$6&gt;=0,_xlfn.POISSON.DIST($A32-11*$B$6,$B$5,FALSE),0)</f>
        <v/>
      </c>
      <c r="AD32" s="18">
        <f>IF($A32-12*$B$6&gt;=0,_xlfn.POISSON.DIST($A32-12*$B$6,$B$5,FALSE),0)</f>
        <v/>
      </c>
      <c r="AE32" s="18">
        <f>IF($A32-13*$B$6&gt;=0,_xlfn.POISSON.DIST($A32-13*$B$6,$B$5,FALSE),0)</f>
        <v/>
      </c>
      <c r="AF32" s="18">
        <f>IF($A32-14*$B$6&gt;=0,_xlfn.POISSON.DIST($A32-14*$B$6,$B$5,FALSE),0)</f>
        <v/>
      </c>
    </row>
    <row r="33">
      <c r="A33" s="10" t="n">
        <v>1</v>
      </c>
      <c r="B33" s="11">
        <f>SUMPRODUCT(R33:AF33,$R$29:$AF$29)</f>
        <v/>
      </c>
      <c r="C33" s="11">
        <f>C32+B33</f>
        <v/>
      </c>
      <c r="D33" s="11">
        <f>D32-(1-C32)</f>
        <v/>
      </c>
      <c r="E33" s="11">
        <f>E32-D33</f>
        <v/>
      </c>
      <c r="F33" s="11">
        <f>F32*($C$17+1-1)*(1-$C$16)/1</f>
        <v/>
      </c>
      <c r="G33" s="11">
        <f>G32+F33</f>
        <v/>
      </c>
      <c r="H33" s="11">
        <f>H32-(1-G32)</f>
        <v/>
      </c>
      <c r="I33" s="11">
        <f>I32-H33</f>
        <v/>
      </c>
      <c r="J33" s="11">
        <f>J32*($D$17+1-1)*(1-$D$16)/1</f>
        <v/>
      </c>
      <c r="K33" s="11">
        <f>K32+J33</f>
        <v/>
      </c>
      <c r="L33" s="11">
        <f>L32-(1-K32)</f>
        <v/>
      </c>
      <c r="M33" s="11">
        <f>M32-L33</f>
        <v/>
      </c>
      <c r="N33" s="10" t="n">
        <v>1</v>
      </c>
      <c r="O33" s="8">
        <f>$B$8*(($B$7+1)/2+N33-$B$14+(INDEX(GenExactLossTwo,N33+1)-INDEX(GenExactLossTwo,N33+$B$7+1))/$B$7)+$B$9*(INDEX(GenExactLossTwo,N33+1)-INDEX(GenExactLossTwo,N33+$B$7+1))/$B$7</f>
        <v/>
      </c>
      <c r="P33" s="8">
        <f>$B$8*(($B$7+1)/2+N33-$C$14+(INDEX(GenRecipeLossTwo,N33+1)-INDEX(GenRecipeLossTwo,N33+$B$7+1))/$B$7)+$B$9*(INDEX(GenRecipeLossTwo,N33+1)-INDEX(GenRecipeLossTwo,N33+$B$7+1))/$B$7</f>
        <v/>
      </c>
      <c r="Q33" s="8">
        <f>$B$8*(($B$7+1)/2+N33-$D$14+(INDEX(GenShortcutLossTwo,N33+1)-INDEX(GenShortcutLossTwo,N33+$B$7+1))/$B$7)+$B$9*(INDEX(GenShortcutLossTwo,N33+1)-INDEX(GenShortcutLossTwo,N33+$B$7+1))/$B$7</f>
        <v/>
      </c>
      <c r="R33" s="18">
        <f>IF($A33-0*$B$6&gt;=0,_xlfn.POISSON.DIST($A33-0*$B$6,$B$5,FALSE),0)</f>
        <v/>
      </c>
      <c r="S33" s="18">
        <f>IF($A33-1*$B$6&gt;=0,_xlfn.POISSON.DIST($A33-1*$B$6,$B$5,FALSE),0)</f>
        <v/>
      </c>
      <c r="T33" s="18">
        <f>IF($A33-2*$B$6&gt;=0,_xlfn.POISSON.DIST($A33-2*$B$6,$B$5,FALSE),0)</f>
        <v/>
      </c>
      <c r="U33" s="18">
        <f>IF($A33-3*$B$6&gt;=0,_xlfn.POISSON.DIST($A33-3*$B$6,$B$5,FALSE),0)</f>
        <v/>
      </c>
      <c r="V33" s="18">
        <f>IF($A33-4*$B$6&gt;=0,_xlfn.POISSON.DIST($A33-4*$B$6,$B$5,FALSE),0)</f>
        <v/>
      </c>
      <c r="W33" s="18">
        <f>IF($A33-5*$B$6&gt;=0,_xlfn.POISSON.DIST($A33-5*$B$6,$B$5,FALSE),0)</f>
        <v/>
      </c>
      <c r="X33" s="18">
        <f>IF($A33-6*$B$6&gt;=0,_xlfn.POISSON.DIST($A33-6*$B$6,$B$5,FALSE),0)</f>
        <v/>
      </c>
      <c r="Y33" s="18">
        <f>IF($A33-7*$B$6&gt;=0,_xlfn.POISSON.DIST($A33-7*$B$6,$B$5,FALSE),0)</f>
        <v/>
      </c>
      <c r="Z33" s="18">
        <f>IF($A33-8*$B$6&gt;=0,_xlfn.POISSON.DIST($A33-8*$B$6,$B$5,FALSE),0)</f>
        <v/>
      </c>
      <c r="AA33" s="18">
        <f>IF($A33-9*$B$6&gt;=0,_xlfn.POISSON.DIST($A33-9*$B$6,$B$5,FALSE),0)</f>
        <v/>
      </c>
      <c r="AB33" s="18">
        <f>IF($A33-10*$B$6&gt;=0,_xlfn.POISSON.DIST($A33-10*$B$6,$B$5,FALSE),0)</f>
        <v/>
      </c>
      <c r="AC33" s="18">
        <f>IF($A33-11*$B$6&gt;=0,_xlfn.POISSON.DIST($A33-11*$B$6,$B$5,FALSE),0)</f>
        <v/>
      </c>
      <c r="AD33" s="18">
        <f>IF($A33-12*$B$6&gt;=0,_xlfn.POISSON.DIST($A33-12*$B$6,$B$5,FALSE),0)</f>
        <v/>
      </c>
      <c r="AE33" s="18">
        <f>IF($A33-13*$B$6&gt;=0,_xlfn.POISSON.DIST($A33-13*$B$6,$B$5,FALSE),0)</f>
        <v/>
      </c>
      <c r="AF33" s="18">
        <f>IF($A33-14*$B$6&gt;=0,_xlfn.POISSON.DIST($A33-14*$B$6,$B$5,FALSE),0)</f>
        <v/>
      </c>
    </row>
    <row r="34">
      <c r="A34" s="10" t="n">
        <v>2</v>
      </c>
      <c r="B34" s="11">
        <f>SUMPRODUCT(R34:AF34,$R$29:$AF$29)</f>
        <v/>
      </c>
      <c r="C34" s="11">
        <f>C33+B34</f>
        <v/>
      </c>
      <c r="D34" s="11">
        <f>D33-(1-C33)</f>
        <v/>
      </c>
      <c r="E34" s="11">
        <f>E33-D34</f>
        <v/>
      </c>
      <c r="F34" s="11">
        <f>F33*($C$17+2-1)*(1-$C$16)/2</f>
        <v/>
      </c>
      <c r="G34" s="11">
        <f>G33+F34</f>
        <v/>
      </c>
      <c r="H34" s="11">
        <f>H33-(1-G33)</f>
        <v/>
      </c>
      <c r="I34" s="11">
        <f>I33-H34</f>
        <v/>
      </c>
      <c r="J34" s="11">
        <f>J33*($D$17+2-1)*(1-$D$16)/2</f>
        <v/>
      </c>
      <c r="K34" s="11">
        <f>K33+J34</f>
        <v/>
      </c>
      <c r="L34" s="11">
        <f>L33-(1-K33)</f>
        <v/>
      </c>
      <c r="M34" s="11">
        <f>M33-L34</f>
        <v/>
      </c>
      <c r="N34" s="10" t="n">
        <v>2</v>
      </c>
      <c r="O34" s="8">
        <f>$B$8*(($B$7+1)/2+N34-$B$14+(INDEX(GenExactLossTwo,N34+1)-INDEX(GenExactLossTwo,N34+$B$7+1))/$B$7)+$B$9*(INDEX(GenExactLossTwo,N34+1)-INDEX(GenExactLossTwo,N34+$B$7+1))/$B$7</f>
        <v/>
      </c>
      <c r="P34" s="8">
        <f>$B$8*(($B$7+1)/2+N34-$C$14+(INDEX(GenRecipeLossTwo,N34+1)-INDEX(GenRecipeLossTwo,N34+$B$7+1))/$B$7)+$B$9*(INDEX(GenRecipeLossTwo,N34+1)-INDEX(GenRecipeLossTwo,N34+$B$7+1))/$B$7</f>
        <v/>
      </c>
      <c r="Q34" s="8">
        <f>$B$8*(($B$7+1)/2+N34-$D$14+(INDEX(GenShortcutLossTwo,N34+1)-INDEX(GenShortcutLossTwo,N34+$B$7+1))/$B$7)+$B$9*(INDEX(GenShortcutLossTwo,N34+1)-INDEX(GenShortcutLossTwo,N34+$B$7+1))/$B$7</f>
        <v/>
      </c>
      <c r="R34" s="18">
        <f>IF($A34-0*$B$6&gt;=0,_xlfn.POISSON.DIST($A34-0*$B$6,$B$5,FALSE),0)</f>
        <v/>
      </c>
      <c r="S34" s="18">
        <f>IF($A34-1*$B$6&gt;=0,_xlfn.POISSON.DIST($A34-1*$B$6,$B$5,FALSE),0)</f>
        <v/>
      </c>
      <c r="T34" s="18">
        <f>IF($A34-2*$B$6&gt;=0,_xlfn.POISSON.DIST($A34-2*$B$6,$B$5,FALSE),0)</f>
        <v/>
      </c>
      <c r="U34" s="18">
        <f>IF($A34-3*$B$6&gt;=0,_xlfn.POISSON.DIST($A34-3*$B$6,$B$5,FALSE),0)</f>
        <v/>
      </c>
      <c r="V34" s="18">
        <f>IF($A34-4*$B$6&gt;=0,_xlfn.POISSON.DIST($A34-4*$B$6,$B$5,FALSE),0)</f>
        <v/>
      </c>
      <c r="W34" s="18">
        <f>IF($A34-5*$B$6&gt;=0,_xlfn.POISSON.DIST($A34-5*$B$6,$B$5,FALSE),0)</f>
        <v/>
      </c>
      <c r="X34" s="18">
        <f>IF($A34-6*$B$6&gt;=0,_xlfn.POISSON.DIST($A34-6*$B$6,$B$5,FALSE),0)</f>
        <v/>
      </c>
      <c r="Y34" s="18">
        <f>IF($A34-7*$B$6&gt;=0,_xlfn.POISSON.DIST($A34-7*$B$6,$B$5,FALSE),0)</f>
        <v/>
      </c>
      <c r="Z34" s="18">
        <f>IF($A34-8*$B$6&gt;=0,_xlfn.POISSON.DIST($A34-8*$B$6,$B$5,FALSE),0)</f>
        <v/>
      </c>
      <c r="AA34" s="18">
        <f>IF($A34-9*$B$6&gt;=0,_xlfn.POISSON.DIST($A34-9*$B$6,$B$5,FALSE),0)</f>
        <v/>
      </c>
      <c r="AB34" s="18">
        <f>IF($A34-10*$B$6&gt;=0,_xlfn.POISSON.DIST($A34-10*$B$6,$B$5,FALSE),0)</f>
        <v/>
      </c>
      <c r="AC34" s="18">
        <f>IF($A34-11*$B$6&gt;=0,_xlfn.POISSON.DIST($A34-11*$B$6,$B$5,FALSE),0)</f>
        <v/>
      </c>
      <c r="AD34" s="18">
        <f>IF($A34-12*$B$6&gt;=0,_xlfn.POISSON.DIST($A34-12*$B$6,$B$5,FALSE),0)</f>
        <v/>
      </c>
      <c r="AE34" s="18">
        <f>IF($A34-13*$B$6&gt;=0,_xlfn.POISSON.DIST($A34-13*$B$6,$B$5,FALSE),0)</f>
        <v/>
      </c>
      <c r="AF34" s="18">
        <f>IF($A34-14*$B$6&gt;=0,_xlfn.POISSON.DIST($A34-14*$B$6,$B$5,FALSE),0)</f>
        <v/>
      </c>
    </row>
    <row r="35">
      <c r="A35" s="10" t="n">
        <v>3</v>
      </c>
      <c r="B35" s="11">
        <f>SUMPRODUCT(R35:AF35,$R$29:$AF$29)</f>
        <v/>
      </c>
      <c r="C35" s="11">
        <f>C34+B35</f>
        <v/>
      </c>
      <c r="D35" s="11">
        <f>D34-(1-C34)</f>
        <v/>
      </c>
      <c r="E35" s="11">
        <f>E34-D35</f>
        <v/>
      </c>
      <c r="F35" s="11">
        <f>F34*($C$17+3-1)*(1-$C$16)/3</f>
        <v/>
      </c>
      <c r="G35" s="11">
        <f>G34+F35</f>
        <v/>
      </c>
      <c r="H35" s="11">
        <f>H34-(1-G34)</f>
        <v/>
      </c>
      <c r="I35" s="11">
        <f>I34-H35</f>
        <v/>
      </c>
      <c r="J35" s="11">
        <f>J34*($D$17+3-1)*(1-$D$16)/3</f>
        <v/>
      </c>
      <c r="K35" s="11">
        <f>K34+J35</f>
        <v/>
      </c>
      <c r="L35" s="11">
        <f>L34-(1-K34)</f>
        <v/>
      </c>
      <c r="M35" s="11">
        <f>M34-L35</f>
        <v/>
      </c>
      <c r="N35" s="10" t="n">
        <v>3</v>
      </c>
      <c r="O35" s="8">
        <f>$B$8*(($B$7+1)/2+N35-$B$14+(INDEX(GenExactLossTwo,N35+1)-INDEX(GenExactLossTwo,N35+$B$7+1))/$B$7)+$B$9*(INDEX(GenExactLossTwo,N35+1)-INDEX(GenExactLossTwo,N35+$B$7+1))/$B$7</f>
        <v/>
      </c>
      <c r="P35" s="8">
        <f>$B$8*(($B$7+1)/2+N35-$C$14+(INDEX(GenRecipeLossTwo,N35+1)-INDEX(GenRecipeLossTwo,N35+$B$7+1))/$B$7)+$B$9*(INDEX(GenRecipeLossTwo,N35+1)-INDEX(GenRecipeLossTwo,N35+$B$7+1))/$B$7</f>
        <v/>
      </c>
      <c r="Q35" s="8">
        <f>$B$8*(($B$7+1)/2+N35-$D$14+(INDEX(GenShortcutLossTwo,N35+1)-INDEX(GenShortcutLossTwo,N35+$B$7+1))/$B$7)+$B$9*(INDEX(GenShortcutLossTwo,N35+1)-INDEX(GenShortcutLossTwo,N35+$B$7+1))/$B$7</f>
        <v/>
      </c>
      <c r="R35" s="18">
        <f>IF($A35-0*$B$6&gt;=0,_xlfn.POISSON.DIST($A35-0*$B$6,$B$5,FALSE),0)</f>
        <v/>
      </c>
      <c r="S35" s="18">
        <f>IF($A35-1*$B$6&gt;=0,_xlfn.POISSON.DIST($A35-1*$B$6,$B$5,FALSE),0)</f>
        <v/>
      </c>
      <c r="T35" s="18">
        <f>IF($A35-2*$B$6&gt;=0,_xlfn.POISSON.DIST($A35-2*$B$6,$B$5,FALSE),0)</f>
        <v/>
      </c>
      <c r="U35" s="18">
        <f>IF($A35-3*$B$6&gt;=0,_xlfn.POISSON.DIST($A35-3*$B$6,$B$5,FALSE),0)</f>
        <v/>
      </c>
      <c r="V35" s="18">
        <f>IF($A35-4*$B$6&gt;=0,_xlfn.POISSON.DIST($A35-4*$B$6,$B$5,FALSE),0)</f>
        <v/>
      </c>
      <c r="W35" s="18">
        <f>IF($A35-5*$B$6&gt;=0,_xlfn.POISSON.DIST($A35-5*$B$6,$B$5,FALSE),0)</f>
        <v/>
      </c>
      <c r="X35" s="18">
        <f>IF($A35-6*$B$6&gt;=0,_xlfn.POISSON.DIST($A35-6*$B$6,$B$5,FALSE),0)</f>
        <v/>
      </c>
      <c r="Y35" s="18">
        <f>IF($A35-7*$B$6&gt;=0,_xlfn.POISSON.DIST($A35-7*$B$6,$B$5,FALSE),0)</f>
        <v/>
      </c>
      <c r="Z35" s="18">
        <f>IF($A35-8*$B$6&gt;=0,_xlfn.POISSON.DIST($A35-8*$B$6,$B$5,FALSE),0)</f>
        <v/>
      </c>
      <c r="AA35" s="18">
        <f>IF($A35-9*$B$6&gt;=0,_xlfn.POISSON.DIST($A35-9*$B$6,$B$5,FALSE),0)</f>
        <v/>
      </c>
      <c r="AB35" s="18">
        <f>IF($A35-10*$B$6&gt;=0,_xlfn.POISSON.DIST($A35-10*$B$6,$B$5,FALSE),0)</f>
        <v/>
      </c>
      <c r="AC35" s="18">
        <f>IF($A35-11*$B$6&gt;=0,_xlfn.POISSON.DIST($A35-11*$B$6,$B$5,FALSE),0)</f>
        <v/>
      </c>
      <c r="AD35" s="18">
        <f>IF($A35-12*$B$6&gt;=0,_xlfn.POISSON.DIST($A35-12*$B$6,$B$5,FALSE),0)</f>
        <v/>
      </c>
      <c r="AE35" s="18">
        <f>IF($A35-13*$B$6&gt;=0,_xlfn.POISSON.DIST($A35-13*$B$6,$B$5,FALSE),0)</f>
        <v/>
      </c>
      <c r="AF35" s="18">
        <f>IF($A35-14*$B$6&gt;=0,_xlfn.POISSON.DIST($A35-14*$B$6,$B$5,FALSE),0)</f>
        <v/>
      </c>
    </row>
    <row r="36">
      <c r="A36" s="10" t="n">
        <v>4</v>
      </c>
      <c r="B36" s="11">
        <f>SUMPRODUCT(R36:AF36,$R$29:$AF$29)</f>
        <v/>
      </c>
      <c r="C36" s="11">
        <f>C35+B36</f>
        <v/>
      </c>
      <c r="D36" s="11">
        <f>D35-(1-C35)</f>
        <v/>
      </c>
      <c r="E36" s="11">
        <f>E35-D36</f>
        <v/>
      </c>
      <c r="F36" s="11">
        <f>F35*($C$17+4-1)*(1-$C$16)/4</f>
        <v/>
      </c>
      <c r="G36" s="11">
        <f>G35+F36</f>
        <v/>
      </c>
      <c r="H36" s="11">
        <f>H35-(1-G35)</f>
        <v/>
      </c>
      <c r="I36" s="11">
        <f>I35-H36</f>
        <v/>
      </c>
      <c r="J36" s="11">
        <f>J35*($D$17+4-1)*(1-$D$16)/4</f>
        <v/>
      </c>
      <c r="K36" s="11">
        <f>K35+J36</f>
        <v/>
      </c>
      <c r="L36" s="11">
        <f>L35-(1-K35)</f>
        <v/>
      </c>
      <c r="M36" s="11">
        <f>M35-L36</f>
        <v/>
      </c>
      <c r="N36" s="10" t="n">
        <v>4</v>
      </c>
      <c r="O36" s="8">
        <f>$B$8*(($B$7+1)/2+N36-$B$14+(INDEX(GenExactLossTwo,N36+1)-INDEX(GenExactLossTwo,N36+$B$7+1))/$B$7)+$B$9*(INDEX(GenExactLossTwo,N36+1)-INDEX(GenExactLossTwo,N36+$B$7+1))/$B$7</f>
        <v/>
      </c>
      <c r="P36" s="8">
        <f>$B$8*(($B$7+1)/2+N36-$C$14+(INDEX(GenRecipeLossTwo,N36+1)-INDEX(GenRecipeLossTwo,N36+$B$7+1))/$B$7)+$B$9*(INDEX(GenRecipeLossTwo,N36+1)-INDEX(GenRecipeLossTwo,N36+$B$7+1))/$B$7</f>
        <v/>
      </c>
      <c r="Q36" s="8">
        <f>$B$8*(($B$7+1)/2+N36-$D$14+(INDEX(GenShortcutLossTwo,N36+1)-INDEX(GenShortcutLossTwo,N36+$B$7+1))/$B$7)+$B$9*(INDEX(GenShortcutLossTwo,N36+1)-INDEX(GenShortcutLossTwo,N36+$B$7+1))/$B$7</f>
        <v/>
      </c>
      <c r="R36" s="18">
        <f>IF($A36-0*$B$6&gt;=0,_xlfn.POISSON.DIST($A36-0*$B$6,$B$5,FALSE),0)</f>
        <v/>
      </c>
      <c r="S36" s="18">
        <f>IF($A36-1*$B$6&gt;=0,_xlfn.POISSON.DIST($A36-1*$B$6,$B$5,FALSE),0)</f>
        <v/>
      </c>
      <c r="T36" s="18">
        <f>IF($A36-2*$B$6&gt;=0,_xlfn.POISSON.DIST($A36-2*$B$6,$B$5,FALSE),0)</f>
        <v/>
      </c>
      <c r="U36" s="18">
        <f>IF($A36-3*$B$6&gt;=0,_xlfn.POISSON.DIST($A36-3*$B$6,$B$5,FALSE),0)</f>
        <v/>
      </c>
      <c r="V36" s="18">
        <f>IF($A36-4*$B$6&gt;=0,_xlfn.POISSON.DIST($A36-4*$B$6,$B$5,FALSE),0)</f>
        <v/>
      </c>
      <c r="W36" s="18">
        <f>IF($A36-5*$B$6&gt;=0,_xlfn.POISSON.DIST($A36-5*$B$6,$B$5,FALSE),0)</f>
        <v/>
      </c>
      <c r="X36" s="18">
        <f>IF($A36-6*$B$6&gt;=0,_xlfn.POISSON.DIST($A36-6*$B$6,$B$5,FALSE),0)</f>
        <v/>
      </c>
      <c r="Y36" s="18">
        <f>IF($A36-7*$B$6&gt;=0,_xlfn.POISSON.DIST($A36-7*$B$6,$B$5,FALSE),0)</f>
        <v/>
      </c>
      <c r="Z36" s="18">
        <f>IF($A36-8*$B$6&gt;=0,_xlfn.POISSON.DIST($A36-8*$B$6,$B$5,FALSE),0)</f>
        <v/>
      </c>
      <c r="AA36" s="18">
        <f>IF($A36-9*$B$6&gt;=0,_xlfn.POISSON.DIST($A36-9*$B$6,$B$5,FALSE),0)</f>
        <v/>
      </c>
      <c r="AB36" s="18">
        <f>IF($A36-10*$B$6&gt;=0,_xlfn.POISSON.DIST($A36-10*$B$6,$B$5,FALSE),0)</f>
        <v/>
      </c>
      <c r="AC36" s="18">
        <f>IF($A36-11*$B$6&gt;=0,_xlfn.POISSON.DIST($A36-11*$B$6,$B$5,FALSE),0)</f>
        <v/>
      </c>
      <c r="AD36" s="18">
        <f>IF($A36-12*$B$6&gt;=0,_xlfn.POISSON.DIST($A36-12*$B$6,$B$5,FALSE),0)</f>
        <v/>
      </c>
      <c r="AE36" s="18">
        <f>IF($A36-13*$B$6&gt;=0,_xlfn.POISSON.DIST($A36-13*$B$6,$B$5,FALSE),0)</f>
        <v/>
      </c>
      <c r="AF36" s="18">
        <f>IF($A36-14*$B$6&gt;=0,_xlfn.POISSON.DIST($A36-14*$B$6,$B$5,FALSE),0)</f>
        <v/>
      </c>
    </row>
    <row r="37">
      <c r="A37" s="10" t="n">
        <v>5</v>
      </c>
      <c r="B37" s="11">
        <f>SUMPRODUCT(R37:AF37,$R$29:$AF$29)</f>
        <v/>
      </c>
      <c r="C37" s="11">
        <f>C36+B37</f>
        <v/>
      </c>
      <c r="D37" s="11">
        <f>D36-(1-C36)</f>
        <v/>
      </c>
      <c r="E37" s="11">
        <f>E36-D37</f>
        <v/>
      </c>
      <c r="F37" s="11">
        <f>F36*($C$17+5-1)*(1-$C$16)/5</f>
        <v/>
      </c>
      <c r="G37" s="11">
        <f>G36+F37</f>
        <v/>
      </c>
      <c r="H37" s="11">
        <f>H36-(1-G36)</f>
        <v/>
      </c>
      <c r="I37" s="11">
        <f>I36-H37</f>
        <v/>
      </c>
      <c r="J37" s="11">
        <f>J36*($D$17+5-1)*(1-$D$16)/5</f>
        <v/>
      </c>
      <c r="K37" s="11">
        <f>K36+J37</f>
        <v/>
      </c>
      <c r="L37" s="11">
        <f>L36-(1-K36)</f>
        <v/>
      </c>
      <c r="M37" s="11">
        <f>M36-L37</f>
        <v/>
      </c>
      <c r="N37" s="10" t="n">
        <v>5</v>
      </c>
      <c r="O37" s="8">
        <f>$B$8*(($B$7+1)/2+N37-$B$14+(INDEX(GenExactLossTwo,N37+1)-INDEX(GenExactLossTwo,N37+$B$7+1))/$B$7)+$B$9*(INDEX(GenExactLossTwo,N37+1)-INDEX(GenExactLossTwo,N37+$B$7+1))/$B$7</f>
        <v/>
      </c>
      <c r="P37" s="8">
        <f>$B$8*(($B$7+1)/2+N37-$C$14+(INDEX(GenRecipeLossTwo,N37+1)-INDEX(GenRecipeLossTwo,N37+$B$7+1))/$B$7)+$B$9*(INDEX(GenRecipeLossTwo,N37+1)-INDEX(GenRecipeLossTwo,N37+$B$7+1))/$B$7</f>
        <v/>
      </c>
      <c r="Q37" s="8">
        <f>$B$8*(($B$7+1)/2+N37-$D$14+(INDEX(GenShortcutLossTwo,N37+1)-INDEX(GenShortcutLossTwo,N37+$B$7+1))/$B$7)+$B$9*(INDEX(GenShortcutLossTwo,N37+1)-INDEX(GenShortcutLossTwo,N37+$B$7+1))/$B$7</f>
        <v/>
      </c>
      <c r="R37" s="18">
        <f>IF($A37-0*$B$6&gt;=0,_xlfn.POISSON.DIST($A37-0*$B$6,$B$5,FALSE),0)</f>
        <v/>
      </c>
      <c r="S37" s="18">
        <f>IF($A37-1*$B$6&gt;=0,_xlfn.POISSON.DIST($A37-1*$B$6,$B$5,FALSE),0)</f>
        <v/>
      </c>
      <c r="T37" s="18">
        <f>IF($A37-2*$B$6&gt;=0,_xlfn.POISSON.DIST($A37-2*$B$6,$B$5,FALSE),0)</f>
        <v/>
      </c>
      <c r="U37" s="18">
        <f>IF($A37-3*$B$6&gt;=0,_xlfn.POISSON.DIST($A37-3*$B$6,$B$5,FALSE),0)</f>
        <v/>
      </c>
      <c r="V37" s="18">
        <f>IF($A37-4*$B$6&gt;=0,_xlfn.POISSON.DIST($A37-4*$B$6,$B$5,FALSE),0)</f>
        <v/>
      </c>
      <c r="W37" s="18">
        <f>IF($A37-5*$B$6&gt;=0,_xlfn.POISSON.DIST($A37-5*$B$6,$B$5,FALSE),0)</f>
        <v/>
      </c>
      <c r="X37" s="18">
        <f>IF($A37-6*$B$6&gt;=0,_xlfn.POISSON.DIST($A37-6*$B$6,$B$5,FALSE),0)</f>
        <v/>
      </c>
      <c r="Y37" s="18">
        <f>IF($A37-7*$B$6&gt;=0,_xlfn.POISSON.DIST($A37-7*$B$6,$B$5,FALSE),0)</f>
        <v/>
      </c>
      <c r="Z37" s="18">
        <f>IF($A37-8*$B$6&gt;=0,_xlfn.POISSON.DIST($A37-8*$B$6,$B$5,FALSE),0)</f>
        <v/>
      </c>
      <c r="AA37" s="18">
        <f>IF($A37-9*$B$6&gt;=0,_xlfn.POISSON.DIST($A37-9*$B$6,$B$5,FALSE),0)</f>
        <v/>
      </c>
      <c r="AB37" s="18">
        <f>IF($A37-10*$B$6&gt;=0,_xlfn.POISSON.DIST($A37-10*$B$6,$B$5,FALSE),0)</f>
        <v/>
      </c>
      <c r="AC37" s="18">
        <f>IF($A37-11*$B$6&gt;=0,_xlfn.POISSON.DIST($A37-11*$B$6,$B$5,FALSE),0)</f>
        <v/>
      </c>
      <c r="AD37" s="18">
        <f>IF($A37-12*$B$6&gt;=0,_xlfn.POISSON.DIST($A37-12*$B$6,$B$5,FALSE),0)</f>
        <v/>
      </c>
      <c r="AE37" s="18">
        <f>IF($A37-13*$B$6&gt;=0,_xlfn.POISSON.DIST($A37-13*$B$6,$B$5,FALSE),0)</f>
        <v/>
      </c>
      <c r="AF37" s="18">
        <f>IF($A37-14*$B$6&gt;=0,_xlfn.POISSON.DIST($A37-14*$B$6,$B$5,FALSE),0)</f>
        <v/>
      </c>
    </row>
    <row r="38">
      <c r="A38" s="10" t="n">
        <v>6</v>
      </c>
      <c r="B38" s="11">
        <f>SUMPRODUCT(R38:AF38,$R$29:$AF$29)</f>
        <v/>
      </c>
      <c r="C38" s="11">
        <f>C37+B38</f>
        <v/>
      </c>
      <c r="D38" s="11">
        <f>D37-(1-C37)</f>
        <v/>
      </c>
      <c r="E38" s="11">
        <f>E37-D38</f>
        <v/>
      </c>
      <c r="F38" s="11">
        <f>F37*($C$17+6-1)*(1-$C$16)/6</f>
        <v/>
      </c>
      <c r="G38" s="11">
        <f>G37+F38</f>
        <v/>
      </c>
      <c r="H38" s="11">
        <f>H37-(1-G37)</f>
        <v/>
      </c>
      <c r="I38" s="11">
        <f>I37-H38</f>
        <v/>
      </c>
      <c r="J38" s="11">
        <f>J37*($D$17+6-1)*(1-$D$16)/6</f>
        <v/>
      </c>
      <c r="K38" s="11">
        <f>K37+J38</f>
        <v/>
      </c>
      <c r="L38" s="11">
        <f>L37-(1-K37)</f>
        <v/>
      </c>
      <c r="M38" s="11">
        <f>M37-L38</f>
        <v/>
      </c>
      <c r="N38" s="10" t="n">
        <v>6</v>
      </c>
      <c r="O38" s="8">
        <f>$B$8*(($B$7+1)/2+N38-$B$14+(INDEX(GenExactLossTwo,N38+1)-INDEX(GenExactLossTwo,N38+$B$7+1))/$B$7)+$B$9*(INDEX(GenExactLossTwo,N38+1)-INDEX(GenExactLossTwo,N38+$B$7+1))/$B$7</f>
        <v/>
      </c>
      <c r="P38" s="8">
        <f>$B$8*(($B$7+1)/2+N38-$C$14+(INDEX(GenRecipeLossTwo,N38+1)-INDEX(GenRecipeLossTwo,N38+$B$7+1))/$B$7)+$B$9*(INDEX(GenRecipeLossTwo,N38+1)-INDEX(GenRecipeLossTwo,N38+$B$7+1))/$B$7</f>
        <v/>
      </c>
      <c r="Q38" s="8">
        <f>$B$8*(($B$7+1)/2+N38-$D$14+(INDEX(GenShortcutLossTwo,N38+1)-INDEX(GenShortcutLossTwo,N38+$B$7+1))/$B$7)+$B$9*(INDEX(GenShortcutLossTwo,N38+1)-INDEX(GenShortcutLossTwo,N38+$B$7+1))/$B$7</f>
        <v/>
      </c>
      <c r="R38" s="18">
        <f>IF($A38-0*$B$6&gt;=0,_xlfn.POISSON.DIST($A38-0*$B$6,$B$5,FALSE),0)</f>
        <v/>
      </c>
      <c r="S38" s="18">
        <f>IF($A38-1*$B$6&gt;=0,_xlfn.POISSON.DIST($A38-1*$B$6,$B$5,FALSE),0)</f>
        <v/>
      </c>
      <c r="T38" s="18">
        <f>IF($A38-2*$B$6&gt;=0,_xlfn.POISSON.DIST($A38-2*$B$6,$B$5,FALSE),0)</f>
        <v/>
      </c>
      <c r="U38" s="18">
        <f>IF($A38-3*$B$6&gt;=0,_xlfn.POISSON.DIST($A38-3*$B$6,$B$5,FALSE),0)</f>
        <v/>
      </c>
      <c r="V38" s="18">
        <f>IF($A38-4*$B$6&gt;=0,_xlfn.POISSON.DIST($A38-4*$B$6,$B$5,FALSE),0)</f>
        <v/>
      </c>
      <c r="W38" s="18">
        <f>IF($A38-5*$B$6&gt;=0,_xlfn.POISSON.DIST($A38-5*$B$6,$B$5,FALSE),0)</f>
        <v/>
      </c>
      <c r="X38" s="18">
        <f>IF($A38-6*$B$6&gt;=0,_xlfn.POISSON.DIST($A38-6*$B$6,$B$5,FALSE),0)</f>
        <v/>
      </c>
      <c r="Y38" s="18">
        <f>IF($A38-7*$B$6&gt;=0,_xlfn.POISSON.DIST($A38-7*$B$6,$B$5,FALSE),0)</f>
        <v/>
      </c>
      <c r="Z38" s="18">
        <f>IF($A38-8*$B$6&gt;=0,_xlfn.POISSON.DIST($A38-8*$B$6,$B$5,FALSE),0)</f>
        <v/>
      </c>
      <c r="AA38" s="18">
        <f>IF($A38-9*$B$6&gt;=0,_xlfn.POISSON.DIST($A38-9*$B$6,$B$5,FALSE),0)</f>
        <v/>
      </c>
      <c r="AB38" s="18">
        <f>IF($A38-10*$B$6&gt;=0,_xlfn.POISSON.DIST($A38-10*$B$6,$B$5,FALSE),0)</f>
        <v/>
      </c>
      <c r="AC38" s="18">
        <f>IF($A38-11*$B$6&gt;=0,_xlfn.POISSON.DIST($A38-11*$B$6,$B$5,FALSE),0)</f>
        <v/>
      </c>
      <c r="AD38" s="18">
        <f>IF($A38-12*$B$6&gt;=0,_xlfn.POISSON.DIST($A38-12*$B$6,$B$5,FALSE),0)</f>
        <v/>
      </c>
      <c r="AE38" s="18">
        <f>IF($A38-13*$B$6&gt;=0,_xlfn.POISSON.DIST($A38-13*$B$6,$B$5,FALSE),0)</f>
        <v/>
      </c>
      <c r="AF38" s="18">
        <f>IF($A38-14*$B$6&gt;=0,_xlfn.POISSON.DIST($A38-14*$B$6,$B$5,FALSE),0)</f>
        <v/>
      </c>
    </row>
    <row r="39">
      <c r="A39" s="10" t="n">
        <v>7</v>
      </c>
      <c r="B39" s="11">
        <f>SUMPRODUCT(R39:AF39,$R$29:$AF$29)</f>
        <v/>
      </c>
      <c r="C39" s="11">
        <f>C38+B39</f>
        <v/>
      </c>
      <c r="D39" s="11">
        <f>D38-(1-C38)</f>
        <v/>
      </c>
      <c r="E39" s="11">
        <f>E38-D39</f>
        <v/>
      </c>
      <c r="F39" s="11">
        <f>F38*($C$17+7-1)*(1-$C$16)/7</f>
        <v/>
      </c>
      <c r="G39" s="11">
        <f>G38+F39</f>
        <v/>
      </c>
      <c r="H39" s="11">
        <f>H38-(1-G38)</f>
        <v/>
      </c>
      <c r="I39" s="11">
        <f>I38-H39</f>
        <v/>
      </c>
      <c r="J39" s="11">
        <f>J38*($D$17+7-1)*(1-$D$16)/7</f>
        <v/>
      </c>
      <c r="K39" s="11">
        <f>K38+J39</f>
        <v/>
      </c>
      <c r="L39" s="11">
        <f>L38-(1-K38)</f>
        <v/>
      </c>
      <c r="M39" s="11">
        <f>M38-L39</f>
        <v/>
      </c>
      <c r="N39" s="10" t="n">
        <v>7</v>
      </c>
      <c r="O39" s="8">
        <f>$B$8*(($B$7+1)/2+N39-$B$14+(INDEX(GenExactLossTwo,N39+1)-INDEX(GenExactLossTwo,N39+$B$7+1))/$B$7)+$B$9*(INDEX(GenExactLossTwo,N39+1)-INDEX(GenExactLossTwo,N39+$B$7+1))/$B$7</f>
        <v/>
      </c>
      <c r="P39" s="8">
        <f>$B$8*(($B$7+1)/2+N39-$C$14+(INDEX(GenRecipeLossTwo,N39+1)-INDEX(GenRecipeLossTwo,N39+$B$7+1))/$B$7)+$B$9*(INDEX(GenRecipeLossTwo,N39+1)-INDEX(GenRecipeLossTwo,N39+$B$7+1))/$B$7</f>
        <v/>
      </c>
      <c r="Q39" s="8">
        <f>$B$8*(($B$7+1)/2+N39-$D$14+(INDEX(GenShortcutLossTwo,N39+1)-INDEX(GenShortcutLossTwo,N39+$B$7+1))/$B$7)+$B$9*(INDEX(GenShortcutLossTwo,N39+1)-INDEX(GenShortcutLossTwo,N39+$B$7+1))/$B$7</f>
        <v/>
      </c>
      <c r="R39" s="18">
        <f>IF($A39-0*$B$6&gt;=0,_xlfn.POISSON.DIST($A39-0*$B$6,$B$5,FALSE),0)</f>
        <v/>
      </c>
      <c r="S39" s="18">
        <f>IF($A39-1*$B$6&gt;=0,_xlfn.POISSON.DIST($A39-1*$B$6,$B$5,FALSE),0)</f>
        <v/>
      </c>
      <c r="T39" s="18">
        <f>IF($A39-2*$B$6&gt;=0,_xlfn.POISSON.DIST($A39-2*$B$6,$B$5,FALSE),0)</f>
        <v/>
      </c>
      <c r="U39" s="18">
        <f>IF($A39-3*$B$6&gt;=0,_xlfn.POISSON.DIST($A39-3*$B$6,$B$5,FALSE),0)</f>
        <v/>
      </c>
      <c r="V39" s="18">
        <f>IF($A39-4*$B$6&gt;=0,_xlfn.POISSON.DIST($A39-4*$B$6,$B$5,FALSE),0)</f>
        <v/>
      </c>
      <c r="W39" s="18">
        <f>IF($A39-5*$B$6&gt;=0,_xlfn.POISSON.DIST($A39-5*$B$6,$B$5,FALSE),0)</f>
        <v/>
      </c>
      <c r="X39" s="18">
        <f>IF($A39-6*$B$6&gt;=0,_xlfn.POISSON.DIST($A39-6*$B$6,$B$5,FALSE),0)</f>
        <v/>
      </c>
      <c r="Y39" s="18">
        <f>IF($A39-7*$B$6&gt;=0,_xlfn.POISSON.DIST($A39-7*$B$6,$B$5,FALSE),0)</f>
        <v/>
      </c>
      <c r="Z39" s="18">
        <f>IF($A39-8*$B$6&gt;=0,_xlfn.POISSON.DIST($A39-8*$B$6,$B$5,FALSE),0)</f>
        <v/>
      </c>
      <c r="AA39" s="18">
        <f>IF($A39-9*$B$6&gt;=0,_xlfn.POISSON.DIST($A39-9*$B$6,$B$5,FALSE),0)</f>
        <v/>
      </c>
      <c r="AB39" s="18">
        <f>IF($A39-10*$B$6&gt;=0,_xlfn.POISSON.DIST($A39-10*$B$6,$B$5,FALSE),0)</f>
        <v/>
      </c>
      <c r="AC39" s="18">
        <f>IF($A39-11*$B$6&gt;=0,_xlfn.POISSON.DIST($A39-11*$B$6,$B$5,FALSE),0)</f>
        <v/>
      </c>
      <c r="AD39" s="18">
        <f>IF($A39-12*$B$6&gt;=0,_xlfn.POISSON.DIST($A39-12*$B$6,$B$5,FALSE),0)</f>
        <v/>
      </c>
      <c r="AE39" s="18">
        <f>IF($A39-13*$B$6&gt;=0,_xlfn.POISSON.DIST($A39-13*$B$6,$B$5,FALSE),0)</f>
        <v/>
      </c>
      <c r="AF39" s="18">
        <f>IF($A39-14*$B$6&gt;=0,_xlfn.POISSON.DIST($A39-14*$B$6,$B$5,FALSE),0)</f>
        <v/>
      </c>
    </row>
    <row r="40">
      <c r="A40" s="10" t="n">
        <v>8</v>
      </c>
      <c r="B40" s="11">
        <f>SUMPRODUCT(R40:AF40,$R$29:$AF$29)</f>
        <v/>
      </c>
      <c r="C40" s="11">
        <f>C39+B40</f>
        <v/>
      </c>
      <c r="D40" s="11">
        <f>D39-(1-C39)</f>
        <v/>
      </c>
      <c r="E40" s="11">
        <f>E39-D40</f>
        <v/>
      </c>
      <c r="F40" s="11">
        <f>F39*($C$17+8-1)*(1-$C$16)/8</f>
        <v/>
      </c>
      <c r="G40" s="11">
        <f>G39+F40</f>
        <v/>
      </c>
      <c r="H40" s="11">
        <f>H39-(1-G39)</f>
        <v/>
      </c>
      <c r="I40" s="11">
        <f>I39-H40</f>
        <v/>
      </c>
      <c r="J40" s="11">
        <f>J39*($D$17+8-1)*(1-$D$16)/8</f>
        <v/>
      </c>
      <c r="K40" s="11">
        <f>K39+J40</f>
        <v/>
      </c>
      <c r="L40" s="11">
        <f>L39-(1-K39)</f>
        <v/>
      </c>
      <c r="M40" s="11">
        <f>M39-L40</f>
        <v/>
      </c>
      <c r="N40" s="10" t="n">
        <v>8</v>
      </c>
      <c r="O40" s="8">
        <f>$B$8*(($B$7+1)/2+N40-$B$14+(INDEX(GenExactLossTwo,N40+1)-INDEX(GenExactLossTwo,N40+$B$7+1))/$B$7)+$B$9*(INDEX(GenExactLossTwo,N40+1)-INDEX(GenExactLossTwo,N40+$B$7+1))/$B$7</f>
        <v/>
      </c>
      <c r="P40" s="8">
        <f>$B$8*(($B$7+1)/2+N40-$C$14+(INDEX(GenRecipeLossTwo,N40+1)-INDEX(GenRecipeLossTwo,N40+$B$7+1))/$B$7)+$B$9*(INDEX(GenRecipeLossTwo,N40+1)-INDEX(GenRecipeLossTwo,N40+$B$7+1))/$B$7</f>
        <v/>
      </c>
      <c r="Q40" s="8">
        <f>$B$8*(($B$7+1)/2+N40-$D$14+(INDEX(GenShortcutLossTwo,N40+1)-INDEX(GenShortcutLossTwo,N40+$B$7+1))/$B$7)+$B$9*(INDEX(GenShortcutLossTwo,N40+1)-INDEX(GenShortcutLossTwo,N40+$B$7+1))/$B$7</f>
        <v/>
      </c>
      <c r="R40" s="18">
        <f>IF($A40-0*$B$6&gt;=0,_xlfn.POISSON.DIST($A40-0*$B$6,$B$5,FALSE),0)</f>
        <v/>
      </c>
      <c r="S40" s="18">
        <f>IF($A40-1*$B$6&gt;=0,_xlfn.POISSON.DIST($A40-1*$B$6,$B$5,FALSE),0)</f>
        <v/>
      </c>
      <c r="T40" s="18">
        <f>IF($A40-2*$B$6&gt;=0,_xlfn.POISSON.DIST($A40-2*$B$6,$B$5,FALSE),0)</f>
        <v/>
      </c>
      <c r="U40" s="18">
        <f>IF($A40-3*$B$6&gt;=0,_xlfn.POISSON.DIST($A40-3*$B$6,$B$5,FALSE),0)</f>
        <v/>
      </c>
      <c r="V40" s="18">
        <f>IF($A40-4*$B$6&gt;=0,_xlfn.POISSON.DIST($A40-4*$B$6,$B$5,FALSE),0)</f>
        <v/>
      </c>
      <c r="W40" s="18">
        <f>IF($A40-5*$B$6&gt;=0,_xlfn.POISSON.DIST($A40-5*$B$6,$B$5,FALSE),0)</f>
        <v/>
      </c>
      <c r="X40" s="18">
        <f>IF($A40-6*$B$6&gt;=0,_xlfn.POISSON.DIST($A40-6*$B$6,$B$5,FALSE),0)</f>
        <v/>
      </c>
      <c r="Y40" s="18">
        <f>IF($A40-7*$B$6&gt;=0,_xlfn.POISSON.DIST($A40-7*$B$6,$B$5,FALSE),0)</f>
        <v/>
      </c>
      <c r="Z40" s="18">
        <f>IF($A40-8*$B$6&gt;=0,_xlfn.POISSON.DIST($A40-8*$B$6,$B$5,FALSE),0)</f>
        <v/>
      </c>
      <c r="AA40" s="18">
        <f>IF($A40-9*$B$6&gt;=0,_xlfn.POISSON.DIST($A40-9*$B$6,$B$5,FALSE),0)</f>
        <v/>
      </c>
      <c r="AB40" s="18">
        <f>IF($A40-10*$B$6&gt;=0,_xlfn.POISSON.DIST($A40-10*$B$6,$B$5,FALSE),0)</f>
        <v/>
      </c>
      <c r="AC40" s="18">
        <f>IF($A40-11*$B$6&gt;=0,_xlfn.POISSON.DIST($A40-11*$B$6,$B$5,FALSE),0)</f>
        <v/>
      </c>
      <c r="AD40" s="18">
        <f>IF($A40-12*$B$6&gt;=0,_xlfn.POISSON.DIST($A40-12*$B$6,$B$5,FALSE),0)</f>
        <v/>
      </c>
      <c r="AE40" s="18">
        <f>IF($A40-13*$B$6&gt;=0,_xlfn.POISSON.DIST($A40-13*$B$6,$B$5,FALSE),0)</f>
        <v/>
      </c>
      <c r="AF40" s="18">
        <f>IF($A40-14*$B$6&gt;=0,_xlfn.POISSON.DIST($A40-14*$B$6,$B$5,FALSE),0)</f>
        <v/>
      </c>
    </row>
    <row r="41">
      <c r="A41" s="10" t="n">
        <v>9</v>
      </c>
      <c r="B41" s="11">
        <f>SUMPRODUCT(R41:AF41,$R$29:$AF$29)</f>
        <v/>
      </c>
      <c r="C41" s="11">
        <f>C40+B41</f>
        <v/>
      </c>
      <c r="D41" s="11">
        <f>D40-(1-C40)</f>
        <v/>
      </c>
      <c r="E41" s="11">
        <f>E40-D41</f>
        <v/>
      </c>
      <c r="F41" s="11">
        <f>F40*($C$17+9-1)*(1-$C$16)/9</f>
        <v/>
      </c>
      <c r="G41" s="11">
        <f>G40+F41</f>
        <v/>
      </c>
      <c r="H41" s="11">
        <f>H40-(1-G40)</f>
        <v/>
      </c>
      <c r="I41" s="11">
        <f>I40-H41</f>
        <v/>
      </c>
      <c r="J41" s="11">
        <f>J40*($D$17+9-1)*(1-$D$16)/9</f>
        <v/>
      </c>
      <c r="K41" s="11">
        <f>K40+J41</f>
        <v/>
      </c>
      <c r="L41" s="11">
        <f>L40-(1-K40)</f>
        <v/>
      </c>
      <c r="M41" s="11">
        <f>M40-L41</f>
        <v/>
      </c>
      <c r="N41" s="10" t="n">
        <v>9</v>
      </c>
      <c r="O41" s="8">
        <f>$B$8*(($B$7+1)/2+N41-$B$14+(INDEX(GenExactLossTwo,N41+1)-INDEX(GenExactLossTwo,N41+$B$7+1))/$B$7)+$B$9*(INDEX(GenExactLossTwo,N41+1)-INDEX(GenExactLossTwo,N41+$B$7+1))/$B$7</f>
        <v/>
      </c>
      <c r="P41" s="8">
        <f>$B$8*(($B$7+1)/2+N41-$C$14+(INDEX(GenRecipeLossTwo,N41+1)-INDEX(GenRecipeLossTwo,N41+$B$7+1))/$B$7)+$B$9*(INDEX(GenRecipeLossTwo,N41+1)-INDEX(GenRecipeLossTwo,N41+$B$7+1))/$B$7</f>
        <v/>
      </c>
      <c r="Q41" s="8">
        <f>$B$8*(($B$7+1)/2+N41-$D$14+(INDEX(GenShortcutLossTwo,N41+1)-INDEX(GenShortcutLossTwo,N41+$B$7+1))/$B$7)+$B$9*(INDEX(GenShortcutLossTwo,N41+1)-INDEX(GenShortcutLossTwo,N41+$B$7+1))/$B$7</f>
        <v/>
      </c>
      <c r="R41" s="18">
        <f>IF($A41-0*$B$6&gt;=0,_xlfn.POISSON.DIST($A41-0*$B$6,$B$5,FALSE),0)</f>
        <v/>
      </c>
      <c r="S41" s="18">
        <f>IF($A41-1*$B$6&gt;=0,_xlfn.POISSON.DIST($A41-1*$B$6,$B$5,FALSE),0)</f>
        <v/>
      </c>
      <c r="T41" s="18">
        <f>IF($A41-2*$B$6&gt;=0,_xlfn.POISSON.DIST($A41-2*$B$6,$B$5,FALSE),0)</f>
        <v/>
      </c>
      <c r="U41" s="18">
        <f>IF($A41-3*$B$6&gt;=0,_xlfn.POISSON.DIST($A41-3*$B$6,$B$5,FALSE),0)</f>
        <v/>
      </c>
      <c r="V41" s="18">
        <f>IF($A41-4*$B$6&gt;=0,_xlfn.POISSON.DIST($A41-4*$B$6,$B$5,FALSE),0)</f>
        <v/>
      </c>
      <c r="W41" s="18">
        <f>IF($A41-5*$B$6&gt;=0,_xlfn.POISSON.DIST($A41-5*$B$6,$B$5,FALSE),0)</f>
        <v/>
      </c>
      <c r="X41" s="18">
        <f>IF($A41-6*$B$6&gt;=0,_xlfn.POISSON.DIST($A41-6*$B$6,$B$5,FALSE),0)</f>
        <v/>
      </c>
      <c r="Y41" s="18">
        <f>IF($A41-7*$B$6&gt;=0,_xlfn.POISSON.DIST($A41-7*$B$6,$B$5,FALSE),0)</f>
        <v/>
      </c>
      <c r="Z41" s="18">
        <f>IF($A41-8*$B$6&gt;=0,_xlfn.POISSON.DIST($A41-8*$B$6,$B$5,FALSE),0)</f>
        <v/>
      </c>
      <c r="AA41" s="18">
        <f>IF($A41-9*$B$6&gt;=0,_xlfn.POISSON.DIST($A41-9*$B$6,$B$5,FALSE),0)</f>
        <v/>
      </c>
      <c r="AB41" s="18">
        <f>IF($A41-10*$B$6&gt;=0,_xlfn.POISSON.DIST($A41-10*$B$6,$B$5,FALSE),0)</f>
        <v/>
      </c>
      <c r="AC41" s="18">
        <f>IF($A41-11*$B$6&gt;=0,_xlfn.POISSON.DIST($A41-11*$B$6,$B$5,FALSE),0)</f>
        <v/>
      </c>
      <c r="AD41" s="18">
        <f>IF($A41-12*$B$6&gt;=0,_xlfn.POISSON.DIST($A41-12*$B$6,$B$5,FALSE),0)</f>
        <v/>
      </c>
      <c r="AE41" s="18">
        <f>IF($A41-13*$B$6&gt;=0,_xlfn.POISSON.DIST($A41-13*$B$6,$B$5,FALSE),0)</f>
        <v/>
      </c>
      <c r="AF41" s="18">
        <f>IF($A41-14*$B$6&gt;=0,_xlfn.POISSON.DIST($A41-14*$B$6,$B$5,FALSE),0)</f>
        <v/>
      </c>
    </row>
    <row r="42">
      <c r="A42" s="10" t="n">
        <v>10</v>
      </c>
      <c r="B42" s="11">
        <f>SUMPRODUCT(R42:AF42,$R$29:$AF$29)</f>
        <v/>
      </c>
      <c r="C42" s="11">
        <f>C41+B42</f>
        <v/>
      </c>
      <c r="D42" s="11">
        <f>D41-(1-C41)</f>
        <v/>
      </c>
      <c r="E42" s="11">
        <f>E41-D42</f>
        <v/>
      </c>
      <c r="F42" s="11">
        <f>F41*($C$17+10-1)*(1-$C$16)/10</f>
        <v/>
      </c>
      <c r="G42" s="11">
        <f>G41+F42</f>
        <v/>
      </c>
      <c r="H42" s="11">
        <f>H41-(1-G41)</f>
        <v/>
      </c>
      <c r="I42" s="11">
        <f>I41-H42</f>
        <v/>
      </c>
      <c r="J42" s="11">
        <f>J41*($D$17+10-1)*(1-$D$16)/10</f>
        <v/>
      </c>
      <c r="K42" s="11">
        <f>K41+J42</f>
        <v/>
      </c>
      <c r="L42" s="11">
        <f>L41-(1-K41)</f>
        <v/>
      </c>
      <c r="M42" s="11">
        <f>M41-L42</f>
        <v/>
      </c>
      <c r="N42" s="10" t="n">
        <v>10</v>
      </c>
      <c r="O42" s="8">
        <f>$B$8*(($B$7+1)/2+N42-$B$14+(INDEX(GenExactLossTwo,N42+1)-INDEX(GenExactLossTwo,N42+$B$7+1))/$B$7)+$B$9*(INDEX(GenExactLossTwo,N42+1)-INDEX(GenExactLossTwo,N42+$B$7+1))/$B$7</f>
        <v/>
      </c>
      <c r="P42" s="8">
        <f>$B$8*(($B$7+1)/2+N42-$C$14+(INDEX(GenRecipeLossTwo,N42+1)-INDEX(GenRecipeLossTwo,N42+$B$7+1))/$B$7)+$B$9*(INDEX(GenRecipeLossTwo,N42+1)-INDEX(GenRecipeLossTwo,N42+$B$7+1))/$B$7</f>
        <v/>
      </c>
      <c r="Q42" s="8">
        <f>$B$8*(($B$7+1)/2+N42-$D$14+(INDEX(GenShortcutLossTwo,N42+1)-INDEX(GenShortcutLossTwo,N42+$B$7+1))/$B$7)+$B$9*(INDEX(GenShortcutLossTwo,N42+1)-INDEX(GenShortcutLossTwo,N42+$B$7+1))/$B$7</f>
        <v/>
      </c>
      <c r="R42" s="18">
        <f>IF($A42-0*$B$6&gt;=0,_xlfn.POISSON.DIST($A42-0*$B$6,$B$5,FALSE),0)</f>
        <v/>
      </c>
      <c r="S42" s="18">
        <f>IF($A42-1*$B$6&gt;=0,_xlfn.POISSON.DIST($A42-1*$B$6,$B$5,FALSE),0)</f>
        <v/>
      </c>
      <c r="T42" s="18">
        <f>IF($A42-2*$B$6&gt;=0,_xlfn.POISSON.DIST($A42-2*$B$6,$B$5,FALSE),0)</f>
        <v/>
      </c>
      <c r="U42" s="18">
        <f>IF($A42-3*$B$6&gt;=0,_xlfn.POISSON.DIST($A42-3*$B$6,$B$5,FALSE),0)</f>
        <v/>
      </c>
      <c r="V42" s="18">
        <f>IF($A42-4*$B$6&gt;=0,_xlfn.POISSON.DIST($A42-4*$B$6,$B$5,FALSE),0)</f>
        <v/>
      </c>
      <c r="W42" s="18">
        <f>IF($A42-5*$B$6&gt;=0,_xlfn.POISSON.DIST($A42-5*$B$6,$B$5,FALSE),0)</f>
        <v/>
      </c>
      <c r="X42" s="18">
        <f>IF($A42-6*$B$6&gt;=0,_xlfn.POISSON.DIST($A42-6*$B$6,$B$5,FALSE),0)</f>
        <v/>
      </c>
      <c r="Y42" s="18">
        <f>IF($A42-7*$B$6&gt;=0,_xlfn.POISSON.DIST($A42-7*$B$6,$B$5,FALSE),0)</f>
        <v/>
      </c>
      <c r="Z42" s="18">
        <f>IF($A42-8*$B$6&gt;=0,_xlfn.POISSON.DIST($A42-8*$B$6,$B$5,FALSE),0)</f>
        <v/>
      </c>
      <c r="AA42" s="18">
        <f>IF($A42-9*$B$6&gt;=0,_xlfn.POISSON.DIST($A42-9*$B$6,$B$5,FALSE),0)</f>
        <v/>
      </c>
      <c r="AB42" s="18">
        <f>IF($A42-10*$B$6&gt;=0,_xlfn.POISSON.DIST($A42-10*$B$6,$B$5,FALSE),0)</f>
        <v/>
      </c>
      <c r="AC42" s="18">
        <f>IF($A42-11*$B$6&gt;=0,_xlfn.POISSON.DIST($A42-11*$B$6,$B$5,FALSE),0)</f>
        <v/>
      </c>
      <c r="AD42" s="18">
        <f>IF($A42-12*$B$6&gt;=0,_xlfn.POISSON.DIST($A42-12*$B$6,$B$5,FALSE),0)</f>
        <v/>
      </c>
      <c r="AE42" s="18">
        <f>IF($A42-13*$B$6&gt;=0,_xlfn.POISSON.DIST($A42-13*$B$6,$B$5,FALSE),0)</f>
        <v/>
      </c>
      <c r="AF42" s="18">
        <f>IF($A42-14*$B$6&gt;=0,_xlfn.POISSON.DIST($A42-14*$B$6,$B$5,FALSE),0)</f>
        <v/>
      </c>
    </row>
    <row r="43">
      <c r="A43" s="10" t="n">
        <v>11</v>
      </c>
      <c r="B43" s="11">
        <f>SUMPRODUCT(R43:AF43,$R$29:$AF$29)</f>
        <v/>
      </c>
      <c r="C43" s="11">
        <f>C42+B43</f>
        <v/>
      </c>
      <c r="D43" s="11">
        <f>D42-(1-C42)</f>
        <v/>
      </c>
      <c r="E43" s="11">
        <f>E42-D43</f>
        <v/>
      </c>
      <c r="F43" s="11">
        <f>F42*($C$17+11-1)*(1-$C$16)/11</f>
        <v/>
      </c>
      <c r="G43" s="11">
        <f>G42+F43</f>
        <v/>
      </c>
      <c r="H43" s="11">
        <f>H42-(1-G42)</f>
        <v/>
      </c>
      <c r="I43" s="11">
        <f>I42-H43</f>
        <v/>
      </c>
      <c r="J43" s="11">
        <f>J42*($D$17+11-1)*(1-$D$16)/11</f>
        <v/>
      </c>
      <c r="K43" s="11">
        <f>K42+J43</f>
        <v/>
      </c>
      <c r="L43" s="11">
        <f>L42-(1-K42)</f>
        <v/>
      </c>
      <c r="M43" s="11">
        <f>M42-L43</f>
        <v/>
      </c>
      <c r="N43" s="10" t="n">
        <v>11</v>
      </c>
      <c r="O43" s="8">
        <f>$B$8*(($B$7+1)/2+N43-$B$14+(INDEX(GenExactLossTwo,N43+1)-INDEX(GenExactLossTwo,N43+$B$7+1))/$B$7)+$B$9*(INDEX(GenExactLossTwo,N43+1)-INDEX(GenExactLossTwo,N43+$B$7+1))/$B$7</f>
        <v/>
      </c>
      <c r="P43" s="8">
        <f>$B$8*(($B$7+1)/2+N43-$C$14+(INDEX(GenRecipeLossTwo,N43+1)-INDEX(GenRecipeLossTwo,N43+$B$7+1))/$B$7)+$B$9*(INDEX(GenRecipeLossTwo,N43+1)-INDEX(GenRecipeLossTwo,N43+$B$7+1))/$B$7</f>
        <v/>
      </c>
      <c r="Q43" s="8">
        <f>$B$8*(($B$7+1)/2+N43-$D$14+(INDEX(GenShortcutLossTwo,N43+1)-INDEX(GenShortcutLossTwo,N43+$B$7+1))/$B$7)+$B$9*(INDEX(GenShortcutLossTwo,N43+1)-INDEX(GenShortcutLossTwo,N43+$B$7+1))/$B$7</f>
        <v/>
      </c>
      <c r="R43" s="18">
        <f>IF($A43-0*$B$6&gt;=0,_xlfn.POISSON.DIST($A43-0*$B$6,$B$5,FALSE),0)</f>
        <v/>
      </c>
      <c r="S43" s="18">
        <f>IF($A43-1*$B$6&gt;=0,_xlfn.POISSON.DIST($A43-1*$B$6,$B$5,FALSE),0)</f>
        <v/>
      </c>
      <c r="T43" s="18">
        <f>IF($A43-2*$B$6&gt;=0,_xlfn.POISSON.DIST($A43-2*$B$6,$B$5,FALSE),0)</f>
        <v/>
      </c>
      <c r="U43" s="18">
        <f>IF($A43-3*$B$6&gt;=0,_xlfn.POISSON.DIST($A43-3*$B$6,$B$5,FALSE),0)</f>
        <v/>
      </c>
      <c r="V43" s="18">
        <f>IF($A43-4*$B$6&gt;=0,_xlfn.POISSON.DIST($A43-4*$B$6,$B$5,FALSE),0)</f>
        <v/>
      </c>
      <c r="W43" s="18">
        <f>IF($A43-5*$B$6&gt;=0,_xlfn.POISSON.DIST($A43-5*$B$6,$B$5,FALSE),0)</f>
        <v/>
      </c>
      <c r="X43" s="18">
        <f>IF($A43-6*$B$6&gt;=0,_xlfn.POISSON.DIST($A43-6*$B$6,$B$5,FALSE),0)</f>
        <v/>
      </c>
      <c r="Y43" s="18">
        <f>IF($A43-7*$B$6&gt;=0,_xlfn.POISSON.DIST($A43-7*$B$6,$B$5,FALSE),0)</f>
        <v/>
      </c>
      <c r="Z43" s="18">
        <f>IF($A43-8*$B$6&gt;=0,_xlfn.POISSON.DIST($A43-8*$B$6,$B$5,FALSE),0)</f>
        <v/>
      </c>
      <c r="AA43" s="18">
        <f>IF($A43-9*$B$6&gt;=0,_xlfn.POISSON.DIST($A43-9*$B$6,$B$5,FALSE),0)</f>
        <v/>
      </c>
      <c r="AB43" s="18">
        <f>IF($A43-10*$B$6&gt;=0,_xlfn.POISSON.DIST($A43-10*$B$6,$B$5,FALSE),0)</f>
        <v/>
      </c>
      <c r="AC43" s="18">
        <f>IF($A43-11*$B$6&gt;=0,_xlfn.POISSON.DIST($A43-11*$B$6,$B$5,FALSE),0)</f>
        <v/>
      </c>
      <c r="AD43" s="18">
        <f>IF($A43-12*$B$6&gt;=0,_xlfn.POISSON.DIST($A43-12*$B$6,$B$5,FALSE),0)</f>
        <v/>
      </c>
      <c r="AE43" s="18">
        <f>IF($A43-13*$B$6&gt;=0,_xlfn.POISSON.DIST($A43-13*$B$6,$B$5,FALSE),0)</f>
        <v/>
      </c>
      <c r="AF43" s="18">
        <f>IF($A43-14*$B$6&gt;=0,_xlfn.POISSON.DIST($A43-14*$B$6,$B$5,FALSE),0)</f>
        <v/>
      </c>
    </row>
    <row r="44">
      <c r="A44" s="10" t="n">
        <v>12</v>
      </c>
      <c r="B44" s="11">
        <f>SUMPRODUCT(R44:AF44,$R$29:$AF$29)</f>
        <v/>
      </c>
      <c r="C44" s="11">
        <f>C43+B44</f>
        <v/>
      </c>
      <c r="D44" s="11">
        <f>D43-(1-C43)</f>
        <v/>
      </c>
      <c r="E44" s="11">
        <f>E43-D44</f>
        <v/>
      </c>
      <c r="F44" s="11">
        <f>F43*($C$17+12-1)*(1-$C$16)/12</f>
        <v/>
      </c>
      <c r="G44" s="11">
        <f>G43+F44</f>
        <v/>
      </c>
      <c r="H44" s="11">
        <f>H43-(1-G43)</f>
        <v/>
      </c>
      <c r="I44" s="11">
        <f>I43-H44</f>
        <v/>
      </c>
      <c r="J44" s="11">
        <f>J43*($D$17+12-1)*(1-$D$16)/12</f>
        <v/>
      </c>
      <c r="K44" s="11">
        <f>K43+J44</f>
        <v/>
      </c>
      <c r="L44" s="11">
        <f>L43-(1-K43)</f>
        <v/>
      </c>
      <c r="M44" s="11">
        <f>M43-L44</f>
        <v/>
      </c>
      <c r="N44" s="10" t="n">
        <v>12</v>
      </c>
      <c r="O44" s="8">
        <f>$B$8*(($B$7+1)/2+N44-$B$14+(INDEX(GenExactLossTwo,N44+1)-INDEX(GenExactLossTwo,N44+$B$7+1))/$B$7)+$B$9*(INDEX(GenExactLossTwo,N44+1)-INDEX(GenExactLossTwo,N44+$B$7+1))/$B$7</f>
        <v/>
      </c>
      <c r="P44" s="8">
        <f>$B$8*(($B$7+1)/2+N44-$C$14+(INDEX(GenRecipeLossTwo,N44+1)-INDEX(GenRecipeLossTwo,N44+$B$7+1))/$B$7)+$B$9*(INDEX(GenRecipeLossTwo,N44+1)-INDEX(GenRecipeLossTwo,N44+$B$7+1))/$B$7</f>
        <v/>
      </c>
      <c r="Q44" s="8">
        <f>$B$8*(($B$7+1)/2+N44-$D$14+(INDEX(GenShortcutLossTwo,N44+1)-INDEX(GenShortcutLossTwo,N44+$B$7+1))/$B$7)+$B$9*(INDEX(GenShortcutLossTwo,N44+1)-INDEX(GenShortcutLossTwo,N44+$B$7+1))/$B$7</f>
        <v/>
      </c>
      <c r="R44" s="18">
        <f>IF($A44-0*$B$6&gt;=0,_xlfn.POISSON.DIST($A44-0*$B$6,$B$5,FALSE),0)</f>
        <v/>
      </c>
      <c r="S44" s="18">
        <f>IF($A44-1*$B$6&gt;=0,_xlfn.POISSON.DIST($A44-1*$B$6,$B$5,FALSE),0)</f>
        <v/>
      </c>
      <c r="T44" s="18">
        <f>IF($A44-2*$B$6&gt;=0,_xlfn.POISSON.DIST($A44-2*$B$6,$B$5,FALSE),0)</f>
        <v/>
      </c>
      <c r="U44" s="18">
        <f>IF($A44-3*$B$6&gt;=0,_xlfn.POISSON.DIST($A44-3*$B$6,$B$5,FALSE),0)</f>
        <v/>
      </c>
      <c r="V44" s="18">
        <f>IF($A44-4*$B$6&gt;=0,_xlfn.POISSON.DIST($A44-4*$B$6,$B$5,FALSE),0)</f>
        <v/>
      </c>
      <c r="W44" s="18">
        <f>IF($A44-5*$B$6&gt;=0,_xlfn.POISSON.DIST($A44-5*$B$6,$B$5,FALSE),0)</f>
        <v/>
      </c>
      <c r="X44" s="18">
        <f>IF($A44-6*$B$6&gt;=0,_xlfn.POISSON.DIST($A44-6*$B$6,$B$5,FALSE),0)</f>
        <v/>
      </c>
      <c r="Y44" s="18">
        <f>IF($A44-7*$B$6&gt;=0,_xlfn.POISSON.DIST($A44-7*$B$6,$B$5,FALSE),0)</f>
        <v/>
      </c>
      <c r="Z44" s="18">
        <f>IF($A44-8*$B$6&gt;=0,_xlfn.POISSON.DIST($A44-8*$B$6,$B$5,FALSE),0)</f>
        <v/>
      </c>
      <c r="AA44" s="18">
        <f>IF($A44-9*$B$6&gt;=0,_xlfn.POISSON.DIST($A44-9*$B$6,$B$5,FALSE),0)</f>
        <v/>
      </c>
      <c r="AB44" s="18">
        <f>IF($A44-10*$B$6&gt;=0,_xlfn.POISSON.DIST($A44-10*$B$6,$B$5,FALSE),0)</f>
        <v/>
      </c>
      <c r="AC44" s="18">
        <f>IF($A44-11*$B$6&gt;=0,_xlfn.POISSON.DIST($A44-11*$B$6,$B$5,FALSE),0)</f>
        <v/>
      </c>
      <c r="AD44" s="18">
        <f>IF($A44-12*$B$6&gt;=0,_xlfn.POISSON.DIST($A44-12*$B$6,$B$5,FALSE),0)</f>
        <v/>
      </c>
      <c r="AE44" s="18">
        <f>IF($A44-13*$B$6&gt;=0,_xlfn.POISSON.DIST($A44-13*$B$6,$B$5,FALSE),0)</f>
        <v/>
      </c>
      <c r="AF44" s="18">
        <f>IF($A44-14*$B$6&gt;=0,_xlfn.POISSON.DIST($A44-14*$B$6,$B$5,FALSE),0)</f>
        <v/>
      </c>
    </row>
    <row r="45">
      <c r="A45" s="10" t="n">
        <v>13</v>
      </c>
      <c r="B45" s="11">
        <f>SUMPRODUCT(R45:AF45,$R$29:$AF$29)</f>
        <v/>
      </c>
      <c r="C45" s="11">
        <f>C44+B45</f>
        <v/>
      </c>
      <c r="D45" s="11">
        <f>D44-(1-C44)</f>
        <v/>
      </c>
      <c r="E45" s="11">
        <f>E44-D45</f>
        <v/>
      </c>
      <c r="F45" s="11">
        <f>F44*($C$17+13-1)*(1-$C$16)/13</f>
        <v/>
      </c>
      <c r="G45" s="11">
        <f>G44+F45</f>
        <v/>
      </c>
      <c r="H45" s="11">
        <f>H44-(1-G44)</f>
        <v/>
      </c>
      <c r="I45" s="11">
        <f>I44-H45</f>
        <v/>
      </c>
      <c r="J45" s="11">
        <f>J44*($D$17+13-1)*(1-$D$16)/13</f>
        <v/>
      </c>
      <c r="K45" s="11">
        <f>K44+J45</f>
        <v/>
      </c>
      <c r="L45" s="11">
        <f>L44-(1-K44)</f>
        <v/>
      </c>
      <c r="M45" s="11">
        <f>M44-L45</f>
        <v/>
      </c>
      <c r="N45" s="10" t="n">
        <v>13</v>
      </c>
      <c r="O45" s="8">
        <f>$B$8*(($B$7+1)/2+N45-$B$14+(INDEX(GenExactLossTwo,N45+1)-INDEX(GenExactLossTwo,N45+$B$7+1))/$B$7)+$B$9*(INDEX(GenExactLossTwo,N45+1)-INDEX(GenExactLossTwo,N45+$B$7+1))/$B$7</f>
        <v/>
      </c>
      <c r="P45" s="8">
        <f>$B$8*(($B$7+1)/2+N45-$C$14+(INDEX(GenRecipeLossTwo,N45+1)-INDEX(GenRecipeLossTwo,N45+$B$7+1))/$B$7)+$B$9*(INDEX(GenRecipeLossTwo,N45+1)-INDEX(GenRecipeLossTwo,N45+$B$7+1))/$B$7</f>
        <v/>
      </c>
      <c r="Q45" s="8">
        <f>$B$8*(($B$7+1)/2+N45-$D$14+(INDEX(GenShortcutLossTwo,N45+1)-INDEX(GenShortcutLossTwo,N45+$B$7+1))/$B$7)+$B$9*(INDEX(GenShortcutLossTwo,N45+1)-INDEX(GenShortcutLossTwo,N45+$B$7+1))/$B$7</f>
        <v/>
      </c>
      <c r="R45" s="18">
        <f>IF($A45-0*$B$6&gt;=0,_xlfn.POISSON.DIST($A45-0*$B$6,$B$5,FALSE),0)</f>
        <v/>
      </c>
      <c r="S45" s="18">
        <f>IF($A45-1*$B$6&gt;=0,_xlfn.POISSON.DIST($A45-1*$B$6,$B$5,FALSE),0)</f>
        <v/>
      </c>
      <c r="T45" s="18">
        <f>IF($A45-2*$B$6&gt;=0,_xlfn.POISSON.DIST($A45-2*$B$6,$B$5,FALSE),0)</f>
        <v/>
      </c>
      <c r="U45" s="18">
        <f>IF($A45-3*$B$6&gt;=0,_xlfn.POISSON.DIST($A45-3*$B$6,$B$5,FALSE),0)</f>
        <v/>
      </c>
      <c r="V45" s="18">
        <f>IF($A45-4*$B$6&gt;=0,_xlfn.POISSON.DIST($A45-4*$B$6,$B$5,FALSE),0)</f>
        <v/>
      </c>
      <c r="W45" s="18">
        <f>IF($A45-5*$B$6&gt;=0,_xlfn.POISSON.DIST($A45-5*$B$6,$B$5,FALSE),0)</f>
        <v/>
      </c>
      <c r="X45" s="18">
        <f>IF($A45-6*$B$6&gt;=0,_xlfn.POISSON.DIST($A45-6*$B$6,$B$5,FALSE),0)</f>
        <v/>
      </c>
      <c r="Y45" s="18">
        <f>IF($A45-7*$B$6&gt;=0,_xlfn.POISSON.DIST($A45-7*$B$6,$B$5,FALSE),0)</f>
        <v/>
      </c>
      <c r="Z45" s="18">
        <f>IF($A45-8*$B$6&gt;=0,_xlfn.POISSON.DIST($A45-8*$B$6,$B$5,FALSE),0)</f>
        <v/>
      </c>
      <c r="AA45" s="18">
        <f>IF($A45-9*$B$6&gt;=0,_xlfn.POISSON.DIST($A45-9*$B$6,$B$5,FALSE),0)</f>
        <v/>
      </c>
      <c r="AB45" s="18">
        <f>IF($A45-10*$B$6&gt;=0,_xlfn.POISSON.DIST($A45-10*$B$6,$B$5,FALSE),0)</f>
        <v/>
      </c>
      <c r="AC45" s="18">
        <f>IF($A45-11*$B$6&gt;=0,_xlfn.POISSON.DIST($A45-11*$B$6,$B$5,FALSE),0)</f>
        <v/>
      </c>
      <c r="AD45" s="18">
        <f>IF($A45-12*$B$6&gt;=0,_xlfn.POISSON.DIST($A45-12*$B$6,$B$5,FALSE),0)</f>
        <v/>
      </c>
      <c r="AE45" s="18">
        <f>IF($A45-13*$B$6&gt;=0,_xlfn.POISSON.DIST($A45-13*$B$6,$B$5,FALSE),0)</f>
        <v/>
      </c>
      <c r="AF45" s="18">
        <f>IF($A45-14*$B$6&gt;=0,_xlfn.POISSON.DIST($A45-14*$B$6,$B$5,FALSE),0)</f>
        <v/>
      </c>
    </row>
    <row r="46">
      <c r="A46" s="10" t="n">
        <v>14</v>
      </c>
      <c r="B46" s="11">
        <f>SUMPRODUCT(R46:AF46,$R$29:$AF$29)</f>
        <v/>
      </c>
      <c r="C46" s="11">
        <f>C45+B46</f>
        <v/>
      </c>
      <c r="D46" s="11">
        <f>D45-(1-C45)</f>
        <v/>
      </c>
      <c r="E46" s="11">
        <f>E45-D46</f>
        <v/>
      </c>
      <c r="F46" s="11">
        <f>F45*($C$17+14-1)*(1-$C$16)/14</f>
        <v/>
      </c>
      <c r="G46" s="11">
        <f>G45+F46</f>
        <v/>
      </c>
      <c r="H46" s="11">
        <f>H45-(1-G45)</f>
        <v/>
      </c>
      <c r="I46" s="11">
        <f>I45-H46</f>
        <v/>
      </c>
      <c r="J46" s="11">
        <f>J45*($D$17+14-1)*(1-$D$16)/14</f>
        <v/>
      </c>
      <c r="K46" s="11">
        <f>K45+J46</f>
        <v/>
      </c>
      <c r="L46" s="11">
        <f>L45-(1-K45)</f>
        <v/>
      </c>
      <c r="M46" s="11">
        <f>M45-L46</f>
        <v/>
      </c>
      <c r="N46" s="10" t="n">
        <v>14</v>
      </c>
      <c r="O46" s="8">
        <f>$B$8*(($B$7+1)/2+N46-$B$14+(INDEX(GenExactLossTwo,N46+1)-INDEX(GenExactLossTwo,N46+$B$7+1))/$B$7)+$B$9*(INDEX(GenExactLossTwo,N46+1)-INDEX(GenExactLossTwo,N46+$B$7+1))/$B$7</f>
        <v/>
      </c>
      <c r="P46" s="8">
        <f>$B$8*(($B$7+1)/2+N46-$C$14+(INDEX(GenRecipeLossTwo,N46+1)-INDEX(GenRecipeLossTwo,N46+$B$7+1))/$B$7)+$B$9*(INDEX(GenRecipeLossTwo,N46+1)-INDEX(GenRecipeLossTwo,N46+$B$7+1))/$B$7</f>
        <v/>
      </c>
      <c r="Q46" s="8">
        <f>$B$8*(($B$7+1)/2+N46-$D$14+(INDEX(GenShortcutLossTwo,N46+1)-INDEX(GenShortcutLossTwo,N46+$B$7+1))/$B$7)+$B$9*(INDEX(GenShortcutLossTwo,N46+1)-INDEX(GenShortcutLossTwo,N46+$B$7+1))/$B$7</f>
        <v/>
      </c>
      <c r="R46" s="18">
        <f>IF($A46-0*$B$6&gt;=0,_xlfn.POISSON.DIST($A46-0*$B$6,$B$5,FALSE),0)</f>
        <v/>
      </c>
      <c r="S46" s="18">
        <f>IF($A46-1*$B$6&gt;=0,_xlfn.POISSON.DIST($A46-1*$B$6,$B$5,FALSE),0)</f>
        <v/>
      </c>
      <c r="T46" s="18">
        <f>IF($A46-2*$B$6&gt;=0,_xlfn.POISSON.DIST($A46-2*$B$6,$B$5,FALSE),0)</f>
        <v/>
      </c>
      <c r="U46" s="18">
        <f>IF($A46-3*$B$6&gt;=0,_xlfn.POISSON.DIST($A46-3*$B$6,$B$5,FALSE),0)</f>
        <v/>
      </c>
      <c r="V46" s="18">
        <f>IF($A46-4*$B$6&gt;=0,_xlfn.POISSON.DIST($A46-4*$B$6,$B$5,FALSE),0)</f>
        <v/>
      </c>
      <c r="W46" s="18">
        <f>IF($A46-5*$B$6&gt;=0,_xlfn.POISSON.DIST($A46-5*$B$6,$B$5,FALSE),0)</f>
        <v/>
      </c>
      <c r="X46" s="18">
        <f>IF($A46-6*$B$6&gt;=0,_xlfn.POISSON.DIST($A46-6*$B$6,$B$5,FALSE),0)</f>
        <v/>
      </c>
      <c r="Y46" s="18">
        <f>IF($A46-7*$B$6&gt;=0,_xlfn.POISSON.DIST($A46-7*$B$6,$B$5,FALSE),0)</f>
        <v/>
      </c>
      <c r="Z46" s="18">
        <f>IF($A46-8*$B$6&gt;=0,_xlfn.POISSON.DIST($A46-8*$B$6,$B$5,FALSE),0)</f>
        <v/>
      </c>
      <c r="AA46" s="18">
        <f>IF($A46-9*$B$6&gt;=0,_xlfn.POISSON.DIST($A46-9*$B$6,$B$5,FALSE),0)</f>
        <v/>
      </c>
      <c r="AB46" s="18">
        <f>IF($A46-10*$B$6&gt;=0,_xlfn.POISSON.DIST($A46-10*$B$6,$B$5,FALSE),0)</f>
        <v/>
      </c>
      <c r="AC46" s="18">
        <f>IF($A46-11*$B$6&gt;=0,_xlfn.POISSON.DIST($A46-11*$B$6,$B$5,FALSE),0)</f>
        <v/>
      </c>
      <c r="AD46" s="18">
        <f>IF($A46-12*$B$6&gt;=0,_xlfn.POISSON.DIST($A46-12*$B$6,$B$5,FALSE),0)</f>
        <v/>
      </c>
      <c r="AE46" s="18">
        <f>IF($A46-13*$B$6&gt;=0,_xlfn.POISSON.DIST($A46-13*$B$6,$B$5,FALSE),0)</f>
        <v/>
      </c>
      <c r="AF46" s="18">
        <f>IF($A46-14*$B$6&gt;=0,_xlfn.POISSON.DIST($A46-14*$B$6,$B$5,FALSE),0)</f>
        <v/>
      </c>
    </row>
    <row r="47">
      <c r="A47" s="10" t="n">
        <v>15</v>
      </c>
      <c r="B47" s="11">
        <f>SUMPRODUCT(R47:AF47,$R$29:$AF$29)</f>
        <v/>
      </c>
      <c r="C47" s="11">
        <f>C46+B47</f>
        <v/>
      </c>
      <c r="D47" s="11">
        <f>D46-(1-C46)</f>
        <v/>
      </c>
      <c r="E47" s="11">
        <f>E46-D47</f>
        <v/>
      </c>
      <c r="F47" s="11">
        <f>F46*($C$17+15-1)*(1-$C$16)/15</f>
        <v/>
      </c>
      <c r="G47" s="11">
        <f>G46+F47</f>
        <v/>
      </c>
      <c r="H47" s="11">
        <f>H46-(1-G46)</f>
        <v/>
      </c>
      <c r="I47" s="11">
        <f>I46-H47</f>
        <v/>
      </c>
      <c r="J47" s="11">
        <f>J46*($D$17+15-1)*(1-$D$16)/15</f>
        <v/>
      </c>
      <c r="K47" s="11">
        <f>K46+J47</f>
        <v/>
      </c>
      <c r="L47" s="11">
        <f>L46-(1-K46)</f>
        <v/>
      </c>
      <c r="M47" s="11">
        <f>M46-L47</f>
        <v/>
      </c>
      <c r="N47" s="10" t="n">
        <v>15</v>
      </c>
      <c r="O47" s="8">
        <f>$B$8*(($B$7+1)/2+N47-$B$14+(INDEX(GenExactLossTwo,N47+1)-INDEX(GenExactLossTwo,N47+$B$7+1))/$B$7)+$B$9*(INDEX(GenExactLossTwo,N47+1)-INDEX(GenExactLossTwo,N47+$B$7+1))/$B$7</f>
        <v/>
      </c>
      <c r="P47" s="8">
        <f>$B$8*(($B$7+1)/2+N47-$C$14+(INDEX(GenRecipeLossTwo,N47+1)-INDEX(GenRecipeLossTwo,N47+$B$7+1))/$B$7)+$B$9*(INDEX(GenRecipeLossTwo,N47+1)-INDEX(GenRecipeLossTwo,N47+$B$7+1))/$B$7</f>
        <v/>
      </c>
      <c r="Q47" s="8">
        <f>$B$8*(($B$7+1)/2+N47-$D$14+(INDEX(GenShortcutLossTwo,N47+1)-INDEX(GenShortcutLossTwo,N47+$B$7+1))/$B$7)+$B$9*(INDEX(GenShortcutLossTwo,N47+1)-INDEX(GenShortcutLossTwo,N47+$B$7+1))/$B$7</f>
        <v/>
      </c>
      <c r="R47" s="18">
        <f>IF($A47-0*$B$6&gt;=0,_xlfn.POISSON.DIST($A47-0*$B$6,$B$5,FALSE),0)</f>
        <v/>
      </c>
      <c r="S47" s="18">
        <f>IF($A47-1*$B$6&gt;=0,_xlfn.POISSON.DIST($A47-1*$B$6,$B$5,FALSE),0)</f>
        <v/>
      </c>
      <c r="T47" s="18">
        <f>IF($A47-2*$B$6&gt;=0,_xlfn.POISSON.DIST($A47-2*$B$6,$B$5,FALSE),0)</f>
        <v/>
      </c>
      <c r="U47" s="18">
        <f>IF($A47-3*$B$6&gt;=0,_xlfn.POISSON.DIST($A47-3*$B$6,$B$5,FALSE),0)</f>
        <v/>
      </c>
      <c r="V47" s="18">
        <f>IF($A47-4*$B$6&gt;=0,_xlfn.POISSON.DIST($A47-4*$B$6,$B$5,FALSE),0)</f>
        <v/>
      </c>
      <c r="W47" s="18">
        <f>IF($A47-5*$B$6&gt;=0,_xlfn.POISSON.DIST($A47-5*$B$6,$B$5,FALSE),0)</f>
        <v/>
      </c>
      <c r="X47" s="18">
        <f>IF($A47-6*$B$6&gt;=0,_xlfn.POISSON.DIST($A47-6*$B$6,$B$5,FALSE),0)</f>
        <v/>
      </c>
      <c r="Y47" s="18">
        <f>IF($A47-7*$B$6&gt;=0,_xlfn.POISSON.DIST($A47-7*$B$6,$B$5,FALSE),0)</f>
        <v/>
      </c>
      <c r="Z47" s="18">
        <f>IF($A47-8*$B$6&gt;=0,_xlfn.POISSON.DIST($A47-8*$B$6,$B$5,FALSE),0)</f>
        <v/>
      </c>
      <c r="AA47" s="18">
        <f>IF($A47-9*$B$6&gt;=0,_xlfn.POISSON.DIST($A47-9*$B$6,$B$5,FALSE),0)</f>
        <v/>
      </c>
      <c r="AB47" s="18">
        <f>IF($A47-10*$B$6&gt;=0,_xlfn.POISSON.DIST($A47-10*$B$6,$B$5,FALSE),0)</f>
        <v/>
      </c>
      <c r="AC47" s="18">
        <f>IF($A47-11*$B$6&gt;=0,_xlfn.POISSON.DIST($A47-11*$B$6,$B$5,FALSE),0)</f>
        <v/>
      </c>
      <c r="AD47" s="18">
        <f>IF($A47-12*$B$6&gt;=0,_xlfn.POISSON.DIST($A47-12*$B$6,$B$5,FALSE),0)</f>
        <v/>
      </c>
      <c r="AE47" s="18">
        <f>IF($A47-13*$B$6&gt;=0,_xlfn.POISSON.DIST($A47-13*$B$6,$B$5,FALSE),0)</f>
        <v/>
      </c>
      <c r="AF47" s="18">
        <f>IF($A47-14*$B$6&gt;=0,_xlfn.POISSON.DIST($A47-14*$B$6,$B$5,FALSE),0)</f>
        <v/>
      </c>
    </row>
    <row r="48">
      <c r="A48" s="10" t="n">
        <v>16</v>
      </c>
      <c r="B48" s="11">
        <f>SUMPRODUCT(R48:AF48,$R$29:$AF$29)</f>
        <v/>
      </c>
      <c r="C48" s="11">
        <f>C47+B48</f>
        <v/>
      </c>
      <c r="D48" s="11">
        <f>D47-(1-C47)</f>
        <v/>
      </c>
      <c r="E48" s="11">
        <f>E47-D48</f>
        <v/>
      </c>
      <c r="F48" s="11">
        <f>F47*($C$17+16-1)*(1-$C$16)/16</f>
        <v/>
      </c>
      <c r="G48" s="11">
        <f>G47+F48</f>
        <v/>
      </c>
      <c r="H48" s="11">
        <f>H47-(1-G47)</f>
        <v/>
      </c>
      <c r="I48" s="11">
        <f>I47-H48</f>
        <v/>
      </c>
      <c r="J48" s="11">
        <f>J47*($D$17+16-1)*(1-$D$16)/16</f>
        <v/>
      </c>
      <c r="K48" s="11">
        <f>K47+J48</f>
        <v/>
      </c>
      <c r="L48" s="11">
        <f>L47-(1-K47)</f>
        <v/>
      </c>
      <c r="M48" s="11">
        <f>M47-L48</f>
        <v/>
      </c>
      <c r="N48" s="10" t="n">
        <v>16</v>
      </c>
      <c r="O48" s="8">
        <f>$B$8*(($B$7+1)/2+N48-$B$14+(INDEX(GenExactLossTwo,N48+1)-INDEX(GenExactLossTwo,N48+$B$7+1))/$B$7)+$B$9*(INDEX(GenExactLossTwo,N48+1)-INDEX(GenExactLossTwo,N48+$B$7+1))/$B$7</f>
        <v/>
      </c>
      <c r="P48" s="8">
        <f>$B$8*(($B$7+1)/2+N48-$C$14+(INDEX(GenRecipeLossTwo,N48+1)-INDEX(GenRecipeLossTwo,N48+$B$7+1))/$B$7)+$B$9*(INDEX(GenRecipeLossTwo,N48+1)-INDEX(GenRecipeLossTwo,N48+$B$7+1))/$B$7</f>
        <v/>
      </c>
      <c r="Q48" s="8">
        <f>$B$8*(($B$7+1)/2+N48-$D$14+(INDEX(GenShortcutLossTwo,N48+1)-INDEX(GenShortcutLossTwo,N48+$B$7+1))/$B$7)+$B$9*(INDEX(GenShortcutLossTwo,N48+1)-INDEX(GenShortcutLossTwo,N48+$B$7+1))/$B$7</f>
        <v/>
      </c>
      <c r="R48" s="18">
        <f>IF($A48-0*$B$6&gt;=0,_xlfn.POISSON.DIST($A48-0*$B$6,$B$5,FALSE),0)</f>
        <v/>
      </c>
      <c r="S48" s="18">
        <f>IF($A48-1*$B$6&gt;=0,_xlfn.POISSON.DIST($A48-1*$B$6,$B$5,FALSE),0)</f>
        <v/>
      </c>
      <c r="T48" s="18">
        <f>IF($A48-2*$B$6&gt;=0,_xlfn.POISSON.DIST($A48-2*$B$6,$B$5,FALSE),0)</f>
        <v/>
      </c>
      <c r="U48" s="18">
        <f>IF($A48-3*$B$6&gt;=0,_xlfn.POISSON.DIST($A48-3*$B$6,$B$5,FALSE),0)</f>
        <v/>
      </c>
      <c r="V48" s="18">
        <f>IF($A48-4*$B$6&gt;=0,_xlfn.POISSON.DIST($A48-4*$B$6,$B$5,FALSE),0)</f>
        <v/>
      </c>
      <c r="W48" s="18">
        <f>IF($A48-5*$B$6&gt;=0,_xlfn.POISSON.DIST($A48-5*$B$6,$B$5,FALSE),0)</f>
        <v/>
      </c>
      <c r="X48" s="18">
        <f>IF($A48-6*$B$6&gt;=0,_xlfn.POISSON.DIST($A48-6*$B$6,$B$5,FALSE),0)</f>
        <v/>
      </c>
      <c r="Y48" s="18">
        <f>IF($A48-7*$B$6&gt;=0,_xlfn.POISSON.DIST($A48-7*$B$6,$B$5,FALSE),0)</f>
        <v/>
      </c>
      <c r="Z48" s="18">
        <f>IF($A48-8*$B$6&gt;=0,_xlfn.POISSON.DIST($A48-8*$B$6,$B$5,FALSE),0)</f>
        <v/>
      </c>
      <c r="AA48" s="18">
        <f>IF($A48-9*$B$6&gt;=0,_xlfn.POISSON.DIST($A48-9*$B$6,$B$5,FALSE),0)</f>
        <v/>
      </c>
      <c r="AB48" s="18">
        <f>IF($A48-10*$B$6&gt;=0,_xlfn.POISSON.DIST($A48-10*$B$6,$B$5,FALSE),0)</f>
        <v/>
      </c>
      <c r="AC48" s="18">
        <f>IF($A48-11*$B$6&gt;=0,_xlfn.POISSON.DIST($A48-11*$B$6,$B$5,FALSE),0)</f>
        <v/>
      </c>
      <c r="AD48" s="18">
        <f>IF($A48-12*$B$6&gt;=0,_xlfn.POISSON.DIST($A48-12*$B$6,$B$5,FALSE),0)</f>
        <v/>
      </c>
      <c r="AE48" s="18">
        <f>IF($A48-13*$B$6&gt;=0,_xlfn.POISSON.DIST($A48-13*$B$6,$B$5,FALSE),0)</f>
        <v/>
      </c>
      <c r="AF48" s="18">
        <f>IF($A48-14*$B$6&gt;=0,_xlfn.POISSON.DIST($A48-14*$B$6,$B$5,FALSE),0)</f>
        <v/>
      </c>
    </row>
    <row r="49">
      <c r="A49" s="10" t="n">
        <v>17</v>
      </c>
      <c r="B49" s="11">
        <f>SUMPRODUCT(R49:AF49,$R$29:$AF$29)</f>
        <v/>
      </c>
      <c r="C49" s="11">
        <f>C48+B49</f>
        <v/>
      </c>
      <c r="D49" s="11">
        <f>D48-(1-C48)</f>
        <v/>
      </c>
      <c r="E49" s="11">
        <f>E48-D49</f>
        <v/>
      </c>
      <c r="F49" s="11">
        <f>F48*($C$17+17-1)*(1-$C$16)/17</f>
        <v/>
      </c>
      <c r="G49" s="11">
        <f>G48+F49</f>
        <v/>
      </c>
      <c r="H49" s="11">
        <f>H48-(1-G48)</f>
        <v/>
      </c>
      <c r="I49" s="11">
        <f>I48-H49</f>
        <v/>
      </c>
      <c r="J49" s="11">
        <f>J48*($D$17+17-1)*(1-$D$16)/17</f>
        <v/>
      </c>
      <c r="K49" s="11">
        <f>K48+J49</f>
        <v/>
      </c>
      <c r="L49" s="11">
        <f>L48-(1-K48)</f>
        <v/>
      </c>
      <c r="M49" s="11">
        <f>M48-L49</f>
        <v/>
      </c>
      <c r="N49" s="10" t="n">
        <v>17</v>
      </c>
      <c r="O49" s="8">
        <f>$B$8*(($B$7+1)/2+N49-$B$14+(INDEX(GenExactLossTwo,N49+1)-INDEX(GenExactLossTwo,N49+$B$7+1))/$B$7)+$B$9*(INDEX(GenExactLossTwo,N49+1)-INDEX(GenExactLossTwo,N49+$B$7+1))/$B$7</f>
        <v/>
      </c>
      <c r="P49" s="8">
        <f>$B$8*(($B$7+1)/2+N49-$C$14+(INDEX(GenRecipeLossTwo,N49+1)-INDEX(GenRecipeLossTwo,N49+$B$7+1))/$B$7)+$B$9*(INDEX(GenRecipeLossTwo,N49+1)-INDEX(GenRecipeLossTwo,N49+$B$7+1))/$B$7</f>
        <v/>
      </c>
      <c r="Q49" s="8">
        <f>$B$8*(($B$7+1)/2+N49-$D$14+(INDEX(GenShortcutLossTwo,N49+1)-INDEX(GenShortcutLossTwo,N49+$B$7+1))/$B$7)+$B$9*(INDEX(GenShortcutLossTwo,N49+1)-INDEX(GenShortcutLossTwo,N49+$B$7+1))/$B$7</f>
        <v/>
      </c>
      <c r="R49" s="18">
        <f>IF($A49-0*$B$6&gt;=0,_xlfn.POISSON.DIST($A49-0*$B$6,$B$5,FALSE),0)</f>
        <v/>
      </c>
      <c r="S49" s="18">
        <f>IF($A49-1*$B$6&gt;=0,_xlfn.POISSON.DIST($A49-1*$B$6,$B$5,FALSE),0)</f>
        <v/>
      </c>
      <c r="T49" s="18">
        <f>IF($A49-2*$B$6&gt;=0,_xlfn.POISSON.DIST($A49-2*$B$6,$B$5,FALSE),0)</f>
        <v/>
      </c>
      <c r="U49" s="18">
        <f>IF($A49-3*$B$6&gt;=0,_xlfn.POISSON.DIST($A49-3*$B$6,$B$5,FALSE),0)</f>
        <v/>
      </c>
      <c r="V49" s="18">
        <f>IF($A49-4*$B$6&gt;=0,_xlfn.POISSON.DIST($A49-4*$B$6,$B$5,FALSE),0)</f>
        <v/>
      </c>
      <c r="W49" s="18">
        <f>IF($A49-5*$B$6&gt;=0,_xlfn.POISSON.DIST($A49-5*$B$6,$B$5,FALSE),0)</f>
        <v/>
      </c>
      <c r="X49" s="18">
        <f>IF($A49-6*$B$6&gt;=0,_xlfn.POISSON.DIST($A49-6*$B$6,$B$5,FALSE),0)</f>
        <v/>
      </c>
      <c r="Y49" s="18">
        <f>IF($A49-7*$B$6&gt;=0,_xlfn.POISSON.DIST($A49-7*$B$6,$B$5,FALSE),0)</f>
        <v/>
      </c>
      <c r="Z49" s="18">
        <f>IF($A49-8*$B$6&gt;=0,_xlfn.POISSON.DIST($A49-8*$B$6,$B$5,FALSE),0)</f>
        <v/>
      </c>
      <c r="AA49" s="18">
        <f>IF($A49-9*$B$6&gt;=0,_xlfn.POISSON.DIST($A49-9*$B$6,$B$5,FALSE),0)</f>
        <v/>
      </c>
      <c r="AB49" s="18">
        <f>IF($A49-10*$B$6&gt;=0,_xlfn.POISSON.DIST($A49-10*$B$6,$B$5,FALSE),0)</f>
        <v/>
      </c>
      <c r="AC49" s="18">
        <f>IF($A49-11*$B$6&gt;=0,_xlfn.POISSON.DIST($A49-11*$B$6,$B$5,FALSE),0)</f>
        <v/>
      </c>
      <c r="AD49" s="18">
        <f>IF($A49-12*$B$6&gt;=0,_xlfn.POISSON.DIST($A49-12*$B$6,$B$5,FALSE),0)</f>
        <v/>
      </c>
      <c r="AE49" s="18">
        <f>IF($A49-13*$B$6&gt;=0,_xlfn.POISSON.DIST($A49-13*$B$6,$B$5,FALSE),0)</f>
        <v/>
      </c>
      <c r="AF49" s="18">
        <f>IF($A49-14*$B$6&gt;=0,_xlfn.POISSON.DIST($A49-14*$B$6,$B$5,FALSE),0)</f>
        <v/>
      </c>
    </row>
    <row r="50">
      <c r="A50" s="10" t="n">
        <v>18</v>
      </c>
      <c r="B50" s="11">
        <f>SUMPRODUCT(R50:AF50,$R$29:$AF$29)</f>
        <v/>
      </c>
      <c r="C50" s="11">
        <f>C49+B50</f>
        <v/>
      </c>
      <c r="D50" s="11">
        <f>D49-(1-C49)</f>
        <v/>
      </c>
      <c r="E50" s="11">
        <f>E49-D50</f>
        <v/>
      </c>
      <c r="F50" s="11">
        <f>F49*($C$17+18-1)*(1-$C$16)/18</f>
        <v/>
      </c>
      <c r="G50" s="11">
        <f>G49+F50</f>
        <v/>
      </c>
      <c r="H50" s="11">
        <f>H49-(1-G49)</f>
        <v/>
      </c>
      <c r="I50" s="11">
        <f>I49-H50</f>
        <v/>
      </c>
      <c r="J50" s="11">
        <f>J49*($D$17+18-1)*(1-$D$16)/18</f>
        <v/>
      </c>
      <c r="K50" s="11">
        <f>K49+J50</f>
        <v/>
      </c>
      <c r="L50" s="11">
        <f>L49-(1-K49)</f>
        <v/>
      </c>
      <c r="M50" s="11">
        <f>M49-L50</f>
        <v/>
      </c>
      <c r="N50" s="10" t="n">
        <v>18</v>
      </c>
      <c r="O50" s="8">
        <f>$B$8*(($B$7+1)/2+N50-$B$14+(INDEX(GenExactLossTwo,N50+1)-INDEX(GenExactLossTwo,N50+$B$7+1))/$B$7)+$B$9*(INDEX(GenExactLossTwo,N50+1)-INDEX(GenExactLossTwo,N50+$B$7+1))/$B$7</f>
        <v/>
      </c>
      <c r="P50" s="8">
        <f>$B$8*(($B$7+1)/2+N50-$C$14+(INDEX(GenRecipeLossTwo,N50+1)-INDEX(GenRecipeLossTwo,N50+$B$7+1))/$B$7)+$B$9*(INDEX(GenRecipeLossTwo,N50+1)-INDEX(GenRecipeLossTwo,N50+$B$7+1))/$B$7</f>
        <v/>
      </c>
      <c r="Q50" s="8">
        <f>$B$8*(($B$7+1)/2+N50-$D$14+(INDEX(GenShortcutLossTwo,N50+1)-INDEX(GenShortcutLossTwo,N50+$B$7+1))/$B$7)+$B$9*(INDEX(GenShortcutLossTwo,N50+1)-INDEX(GenShortcutLossTwo,N50+$B$7+1))/$B$7</f>
        <v/>
      </c>
      <c r="R50" s="18">
        <f>IF($A50-0*$B$6&gt;=0,_xlfn.POISSON.DIST($A50-0*$B$6,$B$5,FALSE),0)</f>
        <v/>
      </c>
      <c r="S50" s="18">
        <f>IF($A50-1*$B$6&gt;=0,_xlfn.POISSON.DIST($A50-1*$B$6,$B$5,FALSE),0)</f>
        <v/>
      </c>
      <c r="T50" s="18">
        <f>IF($A50-2*$B$6&gt;=0,_xlfn.POISSON.DIST($A50-2*$B$6,$B$5,FALSE),0)</f>
        <v/>
      </c>
      <c r="U50" s="18">
        <f>IF($A50-3*$B$6&gt;=0,_xlfn.POISSON.DIST($A50-3*$B$6,$B$5,FALSE),0)</f>
        <v/>
      </c>
      <c r="V50" s="18">
        <f>IF($A50-4*$B$6&gt;=0,_xlfn.POISSON.DIST($A50-4*$B$6,$B$5,FALSE),0)</f>
        <v/>
      </c>
      <c r="W50" s="18">
        <f>IF($A50-5*$B$6&gt;=0,_xlfn.POISSON.DIST($A50-5*$B$6,$B$5,FALSE),0)</f>
        <v/>
      </c>
      <c r="X50" s="18">
        <f>IF($A50-6*$B$6&gt;=0,_xlfn.POISSON.DIST($A50-6*$B$6,$B$5,FALSE),0)</f>
        <v/>
      </c>
      <c r="Y50" s="18">
        <f>IF($A50-7*$B$6&gt;=0,_xlfn.POISSON.DIST($A50-7*$B$6,$B$5,FALSE),0)</f>
        <v/>
      </c>
      <c r="Z50" s="18">
        <f>IF($A50-8*$B$6&gt;=0,_xlfn.POISSON.DIST($A50-8*$B$6,$B$5,FALSE),0)</f>
        <v/>
      </c>
      <c r="AA50" s="18">
        <f>IF($A50-9*$B$6&gt;=0,_xlfn.POISSON.DIST($A50-9*$B$6,$B$5,FALSE),0)</f>
        <v/>
      </c>
      <c r="AB50" s="18">
        <f>IF($A50-10*$B$6&gt;=0,_xlfn.POISSON.DIST($A50-10*$B$6,$B$5,FALSE),0)</f>
        <v/>
      </c>
      <c r="AC50" s="18">
        <f>IF($A50-11*$B$6&gt;=0,_xlfn.POISSON.DIST($A50-11*$B$6,$B$5,FALSE),0)</f>
        <v/>
      </c>
      <c r="AD50" s="18">
        <f>IF($A50-12*$B$6&gt;=0,_xlfn.POISSON.DIST($A50-12*$B$6,$B$5,FALSE),0)</f>
        <v/>
      </c>
      <c r="AE50" s="18">
        <f>IF($A50-13*$B$6&gt;=0,_xlfn.POISSON.DIST($A50-13*$B$6,$B$5,FALSE),0)</f>
        <v/>
      </c>
      <c r="AF50" s="18">
        <f>IF($A50-14*$B$6&gt;=0,_xlfn.POISSON.DIST($A50-14*$B$6,$B$5,FALSE),0)</f>
        <v/>
      </c>
    </row>
    <row r="51">
      <c r="A51" s="10" t="n">
        <v>19</v>
      </c>
      <c r="B51" s="11">
        <f>SUMPRODUCT(R51:AF51,$R$29:$AF$29)</f>
        <v/>
      </c>
      <c r="C51" s="11">
        <f>C50+B51</f>
        <v/>
      </c>
      <c r="D51" s="11">
        <f>D50-(1-C50)</f>
        <v/>
      </c>
      <c r="E51" s="11">
        <f>E50-D51</f>
        <v/>
      </c>
      <c r="F51" s="11">
        <f>F50*($C$17+19-1)*(1-$C$16)/19</f>
        <v/>
      </c>
      <c r="G51" s="11">
        <f>G50+F51</f>
        <v/>
      </c>
      <c r="H51" s="11">
        <f>H50-(1-G50)</f>
        <v/>
      </c>
      <c r="I51" s="11">
        <f>I50-H51</f>
        <v/>
      </c>
      <c r="J51" s="11">
        <f>J50*($D$17+19-1)*(1-$D$16)/19</f>
        <v/>
      </c>
      <c r="K51" s="11">
        <f>K50+J51</f>
        <v/>
      </c>
      <c r="L51" s="11">
        <f>L50-(1-K50)</f>
        <v/>
      </c>
      <c r="M51" s="11">
        <f>M50-L51</f>
        <v/>
      </c>
      <c r="N51" s="10" t="n">
        <v>19</v>
      </c>
      <c r="O51" s="8">
        <f>$B$8*(($B$7+1)/2+N51-$B$14+(INDEX(GenExactLossTwo,N51+1)-INDEX(GenExactLossTwo,N51+$B$7+1))/$B$7)+$B$9*(INDEX(GenExactLossTwo,N51+1)-INDEX(GenExactLossTwo,N51+$B$7+1))/$B$7</f>
        <v/>
      </c>
      <c r="P51" s="8">
        <f>$B$8*(($B$7+1)/2+N51-$C$14+(INDEX(GenRecipeLossTwo,N51+1)-INDEX(GenRecipeLossTwo,N51+$B$7+1))/$B$7)+$B$9*(INDEX(GenRecipeLossTwo,N51+1)-INDEX(GenRecipeLossTwo,N51+$B$7+1))/$B$7</f>
        <v/>
      </c>
      <c r="Q51" s="8">
        <f>$B$8*(($B$7+1)/2+N51-$D$14+(INDEX(GenShortcutLossTwo,N51+1)-INDEX(GenShortcutLossTwo,N51+$B$7+1))/$B$7)+$B$9*(INDEX(GenShortcutLossTwo,N51+1)-INDEX(GenShortcutLossTwo,N51+$B$7+1))/$B$7</f>
        <v/>
      </c>
      <c r="R51" s="18">
        <f>IF($A51-0*$B$6&gt;=0,_xlfn.POISSON.DIST($A51-0*$B$6,$B$5,FALSE),0)</f>
        <v/>
      </c>
      <c r="S51" s="18">
        <f>IF($A51-1*$B$6&gt;=0,_xlfn.POISSON.DIST($A51-1*$B$6,$B$5,FALSE),0)</f>
        <v/>
      </c>
      <c r="T51" s="18">
        <f>IF($A51-2*$B$6&gt;=0,_xlfn.POISSON.DIST($A51-2*$B$6,$B$5,FALSE),0)</f>
        <v/>
      </c>
      <c r="U51" s="18">
        <f>IF($A51-3*$B$6&gt;=0,_xlfn.POISSON.DIST($A51-3*$B$6,$B$5,FALSE),0)</f>
        <v/>
      </c>
      <c r="V51" s="18">
        <f>IF($A51-4*$B$6&gt;=0,_xlfn.POISSON.DIST($A51-4*$B$6,$B$5,FALSE),0)</f>
        <v/>
      </c>
      <c r="W51" s="18">
        <f>IF($A51-5*$B$6&gt;=0,_xlfn.POISSON.DIST($A51-5*$B$6,$B$5,FALSE),0)</f>
        <v/>
      </c>
      <c r="X51" s="18">
        <f>IF($A51-6*$B$6&gt;=0,_xlfn.POISSON.DIST($A51-6*$B$6,$B$5,FALSE),0)</f>
        <v/>
      </c>
      <c r="Y51" s="18">
        <f>IF($A51-7*$B$6&gt;=0,_xlfn.POISSON.DIST($A51-7*$B$6,$B$5,FALSE),0)</f>
        <v/>
      </c>
      <c r="Z51" s="18">
        <f>IF($A51-8*$B$6&gt;=0,_xlfn.POISSON.DIST($A51-8*$B$6,$B$5,FALSE),0)</f>
        <v/>
      </c>
      <c r="AA51" s="18">
        <f>IF($A51-9*$B$6&gt;=0,_xlfn.POISSON.DIST($A51-9*$B$6,$B$5,FALSE),0)</f>
        <v/>
      </c>
      <c r="AB51" s="18">
        <f>IF($A51-10*$B$6&gt;=0,_xlfn.POISSON.DIST($A51-10*$B$6,$B$5,FALSE),0)</f>
        <v/>
      </c>
      <c r="AC51" s="18">
        <f>IF($A51-11*$B$6&gt;=0,_xlfn.POISSON.DIST($A51-11*$B$6,$B$5,FALSE),0)</f>
        <v/>
      </c>
      <c r="AD51" s="18">
        <f>IF($A51-12*$B$6&gt;=0,_xlfn.POISSON.DIST($A51-12*$B$6,$B$5,FALSE),0)</f>
        <v/>
      </c>
      <c r="AE51" s="18">
        <f>IF($A51-13*$B$6&gt;=0,_xlfn.POISSON.DIST($A51-13*$B$6,$B$5,FALSE),0)</f>
        <v/>
      </c>
      <c r="AF51" s="18">
        <f>IF($A51-14*$B$6&gt;=0,_xlfn.POISSON.DIST($A51-14*$B$6,$B$5,FALSE),0)</f>
        <v/>
      </c>
    </row>
    <row r="52">
      <c r="A52" s="10" t="n">
        <v>20</v>
      </c>
      <c r="B52" s="11">
        <f>SUMPRODUCT(R52:AF52,$R$29:$AF$29)</f>
        <v/>
      </c>
      <c r="C52" s="11">
        <f>C51+B52</f>
        <v/>
      </c>
      <c r="D52" s="11">
        <f>D51-(1-C51)</f>
        <v/>
      </c>
      <c r="E52" s="11">
        <f>E51-D52</f>
        <v/>
      </c>
      <c r="F52" s="11">
        <f>F51*($C$17+20-1)*(1-$C$16)/20</f>
        <v/>
      </c>
      <c r="G52" s="11">
        <f>G51+F52</f>
        <v/>
      </c>
      <c r="H52" s="11">
        <f>H51-(1-G51)</f>
        <v/>
      </c>
      <c r="I52" s="11">
        <f>I51-H52</f>
        <v/>
      </c>
      <c r="J52" s="11">
        <f>J51*($D$17+20-1)*(1-$D$16)/20</f>
        <v/>
      </c>
      <c r="K52" s="11">
        <f>K51+J52</f>
        <v/>
      </c>
      <c r="L52" s="11">
        <f>L51-(1-K51)</f>
        <v/>
      </c>
      <c r="M52" s="11">
        <f>M51-L52</f>
        <v/>
      </c>
      <c r="N52" s="10" t="n">
        <v>20</v>
      </c>
      <c r="O52" s="8">
        <f>$B$8*(($B$7+1)/2+N52-$B$14+(INDEX(GenExactLossTwo,N52+1)-INDEX(GenExactLossTwo,N52+$B$7+1))/$B$7)+$B$9*(INDEX(GenExactLossTwo,N52+1)-INDEX(GenExactLossTwo,N52+$B$7+1))/$B$7</f>
        <v/>
      </c>
      <c r="P52" s="8">
        <f>$B$8*(($B$7+1)/2+N52-$C$14+(INDEX(GenRecipeLossTwo,N52+1)-INDEX(GenRecipeLossTwo,N52+$B$7+1))/$B$7)+$B$9*(INDEX(GenRecipeLossTwo,N52+1)-INDEX(GenRecipeLossTwo,N52+$B$7+1))/$B$7</f>
        <v/>
      </c>
      <c r="Q52" s="8">
        <f>$B$8*(($B$7+1)/2+N52-$D$14+(INDEX(GenShortcutLossTwo,N52+1)-INDEX(GenShortcutLossTwo,N52+$B$7+1))/$B$7)+$B$9*(INDEX(GenShortcutLossTwo,N52+1)-INDEX(GenShortcutLossTwo,N52+$B$7+1))/$B$7</f>
        <v/>
      </c>
      <c r="R52" s="18">
        <f>IF($A52-0*$B$6&gt;=0,_xlfn.POISSON.DIST($A52-0*$B$6,$B$5,FALSE),0)</f>
        <v/>
      </c>
      <c r="S52" s="18">
        <f>IF($A52-1*$B$6&gt;=0,_xlfn.POISSON.DIST($A52-1*$B$6,$B$5,FALSE),0)</f>
        <v/>
      </c>
      <c r="T52" s="18">
        <f>IF($A52-2*$B$6&gt;=0,_xlfn.POISSON.DIST($A52-2*$B$6,$B$5,FALSE),0)</f>
        <v/>
      </c>
      <c r="U52" s="18">
        <f>IF($A52-3*$B$6&gt;=0,_xlfn.POISSON.DIST($A52-3*$B$6,$B$5,FALSE),0)</f>
        <v/>
      </c>
      <c r="V52" s="18">
        <f>IF($A52-4*$B$6&gt;=0,_xlfn.POISSON.DIST($A52-4*$B$6,$B$5,FALSE),0)</f>
        <v/>
      </c>
      <c r="W52" s="18">
        <f>IF($A52-5*$B$6&gt;=0,_xlfn.POISSON.DIST($A52-5*$B$6,$B$5,FALSE),0)</f>
        <v/>
      </c>
      <c r="X52" s="18">
        <f>IF($A52-6*$B$6&gt;=0,_xlfn.POISSON.DIST($A52-6*$B$6,$B$5,FALSE),0)</f>
        <v/>
      </c>
      <c r="Y52" s="18">
        <f>IF($A52-7*$B$6&gt;=0,_xlfn.POISSON.DIST($A52-7*$B$6,$B$5,FALSE),0)</f>
        <v/>
      </c>
      <c r="Z52" s="18">
        <f>IF($A52-8*$B$6&gt;=0,_xlfn.POISSON.DIST($A52-8*$B$6,$B$5,FALSE),0)</f>
        <v/>
      </c>
      <c r="AA52" s="18">
        <f>IF($A52-9*$B$6&gt;=0,_xlfn.POISSON.DIST($A52-9*$B$6,$B$5,FALSE),0)</f>
        <v/>
      </c>
      <c r="AB52" s="18">
        <f>IF($A52-10*$B$6&gt;=0,_xlfn.POISSON.DIST($A52-10*$B$6,$B$5,FALSE),0)</f>
        <v/>
      </c>
      <c r="AC52" s="18">
        <f>IF($A52-11*$B$6&gt;=0,_xlfn.POISSON.DIST($A52-11*$B$6,$B$5,FALSE),0)</f>
        <v/>
      </c>
      <c r="AD52" s="18">
        <f>IF($A52-12*$B$6&gt;=0,_xlfn.POISSON.DIST($A52-12*$B$6,$B$5,FALSE),0)</f>
        <v/>
      </c>
      <c r="AE52" s="18">
        <f>IF($A52-13*$B$6&gt;=0,_xlfn.POISSON.DIST($A52-13*$B$6,$B$5,FALSE),0)</f>
        <v/>
      </c>
      <c r="AF52" s="18">
        <f>IF($A52-14*$B$6&gt;=0,_xlfn.POISSON.DIST($A52-14*$B$6,$B$5,FALSE),0)</f>
        <v/>
      </c>
    </row>
    <row r="53">
      <c r="A53" s="10" t="n">
        <v>21</v>
      </c>
      <c r="B53" s="11">
        <f>SUMPRODUCT(R53:AF53,$R$29:$AF$29)</f>
        <v/>
      </c>
      <c r="C53" s="11">
        <f>C52+B53</f>
        <v/>
      </c>
      <c r="D53" s="11">
        <f>D52-(1-C52)</f>
        <v/>
      </c>
      <c r="E53" s="11">
        <f>E52-D53</f>
        <v/>
      </c>
      <c r="F53" s="11">
        <f>F52*($C$17+21-1)*(1-$C$16)/21</f>
        <v/>
      </c>
      <c r="G53" s="11">
        <f>G52+F53</f>
        <v/>
      </c>
      <c r="H53" s="11">
        <f>H52-(1-G52)</f>
        <v/>
      </c>
      <c r="I53" s="11">
        <f>I52-H53</f>
        <v/>
      </c>
      <c r="J53" s="11">
        <f>J52*($D$17+21-1)*(1-$D$16)/21</f>
        <v/>
      </c>
      <c r="K53" s="11">
        <f>K52+J53</f>
        <v/>
      </c>
      <c r="L53" s="11">
        <f>L52-(1-K52)</f>
        <v/>
      </c>
      <c r="M53" s="11">
        <f>M52-L53</f>
        <v/>
      </c>
      <c r="N53" s="10" t="n">
        <v>21</v>
      </c>
      <c r="O53" s="8">
        <f>$B$8*(($B$7+1)/2+N53-$B$14+(INDEX(GenExactLossTwo,N53+1)-INDEX(GenExactLossTwo,N53+$B$7+1))/$B$7)+$B$9*(INDEX(GenExactLossTwo,N53+1)-INDEX(GenExactLossTwo,N53+$B$7+1))/$B$7</f>
        <v/>
      </c>
      <c r="P53" s="8">
        <f>$B$8*(($B$7+1)/2+N53-$C$14+(INDEX(GenRecipeLossTwo,N53+1)-INDEX(GenRecipeLossTwo,N53+$B$7+1))/$B$7)+$B$9*(INDEX(GenRecipeLossTwo,N53+1)-INDEX(GenRecipeLossTwo,N53+$B$7+1))/$B$7</f>
        <v/>
      </c>
      <c r="Q53" s="8">
        <f>$B$8*(($B$7+1)/2+N53-$D$14+(INDEX(GenShortcutLossTwo,N53+1)-INDEX(GenShortcutLossTwo,N53+$B$7+1))/$B$7)+$B$9*(INDEX(GenShortcutLossTwo,N53+1)-INDEX(GenShortcutLossTwo,N53+$B$7+1))/$B$7</f>
        <v/>
      </c>
      <c r="R53" s="18">
        <f>IF($A53-0*$B$6&gt;=0,_xlfn.POISSON.DIST($A53-0*$B$6,$B$5,FALSE),0)</f>
        <v/>
      </c>
      <c r="S53" s="18">
        <f>IF($A53-1*$B$6&gt;=0,_xlfn.POISSON.DIST($A53-1*$B$6,$B$5,FALSE),0)</f>
        <v/>
      </c>
      <c r="T53" s="18">
        <f>IF($A53-2*$B$6&gt;=0,_xlfn.POISSON.DIST($A53-2*$B$6,$B$5,FALSE),0)</f>
        <v/>
      </c>
      <c r="U53" s="18">
        <f>IF($A53-3*$B$6&gt;=0,_xlfn.POISSON.DIST($A53-3*$B$6,$B$5,FALSE),0)</f>
        <v/>
      </c>
      <c r="V53" s="18">
        <f>IF($A53-4*$B$6&gt;=0,_xlfn.POISSON.DIST($A53-4*$B$6,$B$5,FALSE),0)</f>
        <v/>
      </c>
      <c r="W53" s="18">
        <f>IF($A53-5*$B$6&gt;=0,_xlfn.POISSON.DIST($A53-5*$B$6,$B$5,FALSE),0)</f>
        <v/>
      </c>
      <c r="X53" s="18">
        <f>IF($A53-6*$B$6&gt;=0,_xlfn.POISSON.DIST($A53-6*$B$6,$B$5,FALSE),0)</f>
        <v/>
      </c>
      <c r="Y53" s="18">
        <f>IF($A53-7*$B$6&gt;=0,_xlfn.POISSON.DIST($A53-7*$B$6,$B$5,FALSE),0)</f>
        <v/>
      </c>
      <c r="Z53" s="18">
        <f>IF($A53-8*$B$6&gt;=0,_xlfn.POISSON.DIST($A53-8*$B$6,$B$5,FALSE),0)</f>
        <v/>
      </c>
      <c r="AA53" s="18">
        <f>IF($A53-9*$B$6&gt;=0,_xlfn.POISSON.DIST($A53-9*$B$6,$B$5,FALSE),0)</f>
        <v/>
      </c>
      <c r="AB53" s="18">
        <f>IF($A53-10*$B$6&gt;=0,_xlfn.POISSON.DIST($A53-10*$B$6,$B$5,FALSE),0)</f>
        <v/>
      </c>
      <c r="AC53" s="18">
        <f>IF($A53-11*$B$6&gt;=0,_xlfn.POISSON.DIST($A53-11*$B$6,$B$5,FALSE),0)</f>
        <v/>
      </c>
      <c r="AD53" s="18">
        <f>IF($A53-12*$B$6&gt;=0,_xlfn.POISSON.DIST($A53-12*$B$6,$B$5,FALSE),0)</f>
        <v/>
      </c>
      <c r="AE53" s="18">
        <f>IF($A53-13*$B$6&gt;=0,_xlfn.POISSON.DIST($A53-13*$B$6,$B$5,FALSE),0)</f>
        <v/>
      </c>
      <c r="AF53" s="18">
        <f>IF($A53-14*$B$6&gt;=0,_xlfn.POISSON.DIST($A53-14*$B$6,$B$5,FALSE),0)</f>
        <v/>
      </c>
    </row>
    <row r="54">
      <c r="A54" s="10" t="n">
        <v>22</v>
      </c>
      <c r="B54" s="11">
        <f>SUMPRODUCT(R54:AF54,$R$29:$AF$29)</f>
        <v/>
      </c>
      <c r="C54" s="11">
        <f>C53+B54</f>
        <v/>
      </c>
      <c r="D54" s="11">
        <f>D53-(1-C53)</f>
        <v/>
      </c>
      <c r="E54" s="11">
        <f>E53-D54</f>
        <v/>
      </c>
      <c r="F54" s="11">
        <f>F53*($C$17+22-1)*(1-$C$16)/22</f>
        <v/>
      </c>
      <c r="G54" s="11">
        <f>G53+F54</f>
        <v/>
      </c>
      <c r="H54" s="11">
        <f>H53-(1-G53)</f>
        <v/>
      </c>
      <c r="I54" s="11">
        <f>I53-H54</f>
        <v/>
      </c>
      <c r="J54" s="11">
        <f>J53*($D$17+22-1)*(1-$D$16)/22</f>
        <v/>
      </c>
      <c r="K54" s="11">
        <f>K53+J54</f>
        <v/>
      </c>
      <c r="L54" s="11">
        <f>L53-(1-K53)</f>
        <v/>
      </c>
      <c r="M54" s="11">
        <f>M53-L54</f>
        <v/>
      </c>
      <c r="N54" s="10" t="n">
        <v>22</v>
      </c>
      <c r="O54" s="8">
        <f>$B$8*(($B$7+1)/2+N54-$B$14+(INDEX(GenExactLossTwo,N54+1)-INDEX(GenExactLossTwo,N54+$B$7+1))/$B$7)+$B$9*(INDEX(GenExactLossTwo,N54+1)-INDEX(GenExactLossTwo,N54+$B$7+1))/$B$7</f>
        <v/>
      </c>
      <c r="P54" s="8">
        <f>$B$8*(($B$7+1)/2+N54-$C$14+(INDEX(GenRecipeLossTwo,N54+1)-INDEX(GenRecipeLossTwo,N54+$B$7+1))/$B$7)+$B$9*(INDEX(GenRecipeLossTwo,N54+1)-INDEX(GenRecipeLossTwo,N54+$B$7+1))/$B$7</f>
        <v/>
      </c>
      <c r="Q54" s="8">
        <f>$B$8*(($B$7+1)/2+N54-$D$14+(INDEX(GenShortcutLossTwo,N54+1)-INDEX(GenShortcutLossTwo,N54+$B$7+1))/$B$7)+$B$9*(INDEX(GenShortcutLossTwo,N54+1)-INDEX(GenShortcutLossTwo,N54+$B$7+1))/$B$7</f>
        <v/>
      </c>
      <c r="R54" s="18">
        <f>IF($A54-0*$B$6&gt;=0,_xlfn.POISSON.DIST($A54-0*$B$6,$B$5,FALSE),0)</f>
        <v/>
      </c>
      <c r="S54" s="18">
        <f>IF($A54-1*$B$6&gt;=0,_xlfn.POISSON.DIST($A54-1*$B$6,$B$5,FALSE),0)</f>
        <v/>
      </c>
      <c r="T54" s="18">
        <f>IF($A54-2*$B$6&gt;=0,_xlfn.POISSON.DIST($A54-2*$B$6,$B$5,FALSE),0)</f>
        <v/>
      </c>
      <c r="U54" s="18">
        <f>IF($A54-3*$B$6&gt;=0,_xlfn.POISSON.DIST($A54-3*$B$6,$B$5,FALSE),0)</f>
        <v/>
      </c>
      <c r="V54" s="18">
        <f>IF($A54-4*$B$6&gt;=0,_xlfn.POISSON.DIST($A54-4*$B$6,$B$5,FALSE),0)</f>
        <v/>
      </c>
      <c r="W54" s="18">
        <f>IF($A54-5*$B$6&gt;=0,_xlfn.POISSON.DIST($A54-5*$B$6,$B$5,FALSE),0)</f>
        <v/>
      </c>
      <c r="X54" s="18">
        <f>IF($A54-6*$B$6&gt;=0,_xlfn.POISSON.DIST($A54-6*$B$6,$B$5,FALSE),0)</f>
        <v/>
      </c>
      <c r="Y54" s="18">
        <f>IF($A54-7*$B$6&gt;=0,_xlfn.POISSON.DIST($A54-7*$B$6,$B$5,FALSE),0)</f>
        <v/>
      </c>
      <c r="Z54" s="18">
        <f>IF($A54-8*$B$6&gt;=0,_xlfn.POISSON.DIST($A54-8*$B$6,$B$5,FALSE),0)</f>
        <v/>
      </c>
      <c r="AA54" s="18">
        <f>IF($A54-9*$B$6&gt;=0,_xlfn.POISSON.DIST($A54-9*$B$6,$B$5,FALSE),0)</f>
        <v/>
      </c>
      <c r="AB54" s="18">
        <f>IF($A54-10*$B$6&gt;=0,_xlfn.POISSON.DIST($A54-10*$B$6,$B$5,FALSE),0)</f>
        <v/>
      </c>
      <c r="AC54" s="18">
        <f>IF($A54-11*$B$6&gt;=0,_xlfn.POISSON.DIST($A54-11*$B$6,$B$5,FALSE),0)</f>
        <v/>
      </c>
      <c r="AD54" s="18">
        <f>IF($A54-12*$B$6&gt;=0,_xlfn.POISSON.DIST($A54-12*$B$6,$B$5,FALSE),0)</f>
        <v/>
      </c>
      <c r="AE54" s="18">
        <f>IF($A54-13*$B$6&gt;=0,_xlfn.POISSON.DIST($A54-13*$B$6,$B$5,FALSE),0)</f>
        <v/>
      </c>
      <c r="AF54" s="18">
        <f>IF($A54-14*$B$6&gt;=0,_xlfn.POISSON.DIST($A54-14*$B$6,$B$5,FALSE),0)</f>
        <v/>
      </c>
    </row>
    <row r="55">
      <c r="A55" s="10" t="n">
        <v>23</v>
      </c>
      <c r="B55" s="11">
        <f>SUMPRODUCT(R55:AF55,$R$29:$AF$29)</f>
        <v/>
      </c>
      <c r="C55" s="11">
        <f>C54+B55</f>
        <v/>
      </c>
      <c r="D55" s="11">
        <f>D54-(1-C54)</f>
        <v/>
      </c>
      <c r="E55" s="11">
        <f>E54-D55</f>
        <v/>
      </c>
      <c r="F55" s="11">
        <f>F54*($C$17+23-1)*(1-$C$16)/23</f>
        <v/>
      </c>
      <c r="G55" s="11">
        <f>G54+F55</f>
        <v/>
      </c>
      <c r="H55" s="11">
        <f>H54-(1-G54)</f>
        <v/>
      </c>
      <c r="I55" s="11">
        <f>I54-H55</f>
        <v/>
      </c>
      <c r="J55" s="11">
        <f>J54*($D$17+23-1)*(1-$D$16)/23</f>
        <v/>
      </c>
      <c r="K55" s="11">
        <f>K54+J55</f>
        <v/>
      </c>
      <c r="L55" s="11">
        <f>L54-(1-K54)</f>
        <v/>
      </c>
      <c r="M55" s="11">
        <f>M54-L55</f>
        <v/>
      </c>
      <c r="N55" s="10" t="n">
        <v>23</v>
      </c>
      <c r="O55" s="8">
        <f>$B$8*(($B$7+1)/2+N55-$B$14+(INDEX(GenExactLossTwo,N55+1)-INDEX(GenExactLossTwo,N55+$B$7+1))/$B$7)+$B$9*(INDEX(GenExactLossTwo,N55+1)-INDEX(GenExactLossTwo,N55+$B$7+1))/$B$7</f>
        <v/>
      </c>
      <c r="P55" s="8">
        <f>$B$8*(($B$7+1)/2+N55-$C$14+(INDEX(GenRecipeLossTwo,N55+1)-INDEX(GenRecipeLossTwo,N55+$B$7+1))/$B$7)+$B$9*(INDEX(GenRecipeLossTwo,N55+1)-INDEX(GenRecipeLossTwo,N55+$B$7+1))/$B$7</f>
        <v/>
      </c>
      <c r="Q55" s="8">
        <f>$B$8*(($B$7+1)/2+N55-$D$14+(INDEX(GenShortcutLossTwo,N55+1)-INDEX(GenShortcutLossTwo,N55+$B$7+1))/$B$7)+$B$9*(INDEX(GenShortcutLossTwo,N55+1)-INDEX(GenShortcutLossTwo,N55+$B$7+1))/$B$7</f>
        <v/>
      </c>
      <c r="R55" s="18">
        <f>IF($A55-0*$B$6&gt;=0,_xlfn.POISSON.DIST($A55-0*$B$6,$B$5,FALSE),0)</f>
        <v/>
      </c>
      <c r="S55" s="18">
        <f>IF($A55-1*$B$6&gt;=0,_xlfn.POISSON.DIST($A55-1*$B$6,$B$5,FALSE),0)</f>
        <v/>
      </c>
      <c r="T55" s="18">
        <f>IF($A55-2*$B$6&gt;=0,_xlfn.POISSON.DIST($A55-2*$B$6,$B$5,FALSE),0)</f>
        <v/>
      </c>
      <c r="U55" s="18">
        <f>IF($A55-3*$B$6&gt;=0,_xlfn.POISSON.DIST($A55-3*$B$6,$B$5,FALSE),0)</f>
        <v/>
      </c>
      <c r="V55" s="18">
        <f>IF($A55-4*$B$6&gt;=0,_xlfn.POISSON.DIST($A55-4*$B$6,$B$5,FALSE),0)</f>
        <v/>
      </c>
      <c r="W55" s="18">
        <f>IF($A55-5*$B$6&gt;=0,_xlfn.POISSON.DIST($A55-5*$B$6,$B$5,FALSE),0)</f>
        <v/>
      </c>
      <c r="X55" s="18">
        <f>IF($A55-6*$B$6&gt;=0,_xlfn.POISSON.DIST($A55-6*$B$6,$B$5,FALSE),0)</f>
        <v/>
      </c>
      <c r="Y55" s="18">
        <f>IF($A55-7*$B$6&gt;=0,_xlfn.POISSON.DIST($A55-7*$B$6,$B$5,FALSE),0)</f>
        <v/>
      </c>
      <c r="Z55" s="18">
        <f>IF($A55-8*$B$6&gt;=0,_xlfn.POISSON.DIST($A55-8*$B$6,$B$5,FALSE),0)</f>
        <v/>
      </c>
      <c r="AA55" s="18">
        <f>IF($A55-9*$B$6&gt;=0,_xlfn.POISSON.DIST($A55-9*$B$6,$B$5,FALSE),0)</f>
        <v/>
      </c>
      <c r="AB55" s="18">
        <f>IF($A55-10*$B$6&gt;=0,_xlfn.POISSON.DIST($A55-10*$B$6,$B$5,FALSE),0)</f>
        <v/>
      </c>
      <c r="AC55" s="18">
        <f>IF($A55-11*$B$6&gt;=0,_xlfn.POISSON.DIST($A55-11*$B$6,$B$5,FALSE),0)</f>
        <v/>
      </c>
      <c r="AD55" s="18">
        <f>IF($A55-12*$B$6&gt;=0,_xlfn.POISSON.DIST($A55-12*$B$6,$B$5,FALSE),0)</f>
        <v/>
      </c>
      <c r="AE55" s="18">
        <f>IF($A55-13*$B$6&gt;=0,_xlfn.POISSON.DIST($A55-13*$B$6,$B$5,FALSE),0)</f>
        <v/>
      </c>
      <c r="AF55" s="18">
        <f>IF($A55-14*$B$6&gt;=0,_xlfn.POISSON.DIST($A55-14*$B$6,$B$5,FALSE),0)</f>
        <v/>
      </c>
    </row>
    <row r="56">
      <c r="A56" s="10" t="n">
        <v>24</v>
      </c>
      <c r="B56" s="11">
        <f>SUMPRODUCT(R56:AF56,$R$29:$AF$29)</f>
        <v/>
      </c>
      <c r="C56" s="11">
        <f>C55+B56</f>
        <v/>
      </c>
      <c r="D56" s="11">
        <f>D55-(1-C55)</f>
        <v/>
      </c>
      <c r="E56" s="11">
        <f>E55-D56</f>
        <v/>
      </c>
      <c r="F56" s="11">
        <f>F55*($C$17+24-1)*(1-$C$16)/24</f>
        <v/>
      </c>
      <c r="G56" s="11">
        <f>G55+F56</f>
        <v/>
      </c>
      <c r="H56" s="11">
        <f>H55-(1-G55)</f>
        <v/>
      </c>
      <c r="I56" s="11">
        <f>I55-H56</f>
        <v/>
      </c>
      <c r="J56" s="11">
        <f>J55*($D$17+24-1)*(1-$D$16)/24</f>
        <v/>
      </c>
      <c r="K56" s="11">
        <f>K55+J56</f>
        <v/>
      </c>
      <c r="L56" s="11">
        <f>L55-(1-K55)</f>
        <v/>
      </c>
      <c r="M56" s="11">
        <f>M55-L56</f>
        <v/>
      </c>
      <c r="N56" s="10" t="n">
        <v>24</v>
      </c>
      <c r="O56" s="8">
        <f>$B$8*(($B$7+1)/2+N56-$B$14+(INDEX(GenExactLossTwo,N56+1)-INDEX(GenExactLossTwo,N56+$B$7+1))/$B$7)+$B$9*(INDEX(GenExactLossTwo,N56+1)-INDEX(GenExactLossTwo,N56+$B$7+1))/$B$7</f>
        <v/>
      </c>
      <c r="P56" s="8">
        <f>$B$8*(($B$7+1)/2+N56-$C$14+(INDEX(GenRecipeLossTwo,N56+1)-INDEX(GenRecipeLossTwo,N56+$B$7+1))/$B$7)+$B$9*(INDEX(GenRecipeLossTwo,N56+1)-INDEX(GenRecipeLossTwo,N56+$B$7+1))/$B$7</f>
        <v/>
      </c>
      <c r="Q56" s="8">
        <f>$B$8*(($B$7+1)/2+N56-$D$14+(INDEX(GenShortcutLossTwo,N56+1)-INDEX(GenShortcutLossTwo,N56+$B$7+1))/$B$7)+$B$9*(INDEX(GenShortcutLossTwo,N56+1)-INDEX(GenShortcutLossTwo,N56+$B$7+1))/$B$7</f>
        <v/>
      </c>
      <c r="R56" s="18">
        <f>IF($A56-0*$B$6&gt;=0,_xlfn.POISSON.DIST($A56-0*$B$6,$B$5,FALSE),0)</f>
        <v/>
      </c>
      <c r="S56" s="18">
        <f>IF($A56-1*$B$6&gt;=0,_xlfn.POISSON.DIST($A56-1*$B$6,$B$5,FALSE),0)</f>
        <v/>
      </c>
      <c r="T56" s="18">
        <f>IF($A56-2*$B$6&gt;=0,_xlfn.POISSON.DIST($A56-2*$B$6,$B$5,FALSE),0)</f>
        <v/>
      </c>
      <c r="U56" s="18">
        <f>IF($A56-3*$B$6&gt;=0,_xlfn.POISSON.DIST($A56-3*$B$6,$B$5,FALSE),0)</f>
        <v/>
      </c>
      <c r="V56" s="18">
        <f>IF($A56-4*$B$6&gt;=0,_xlfn.POISSON.DIST($A56-4*$B$6,$B$5,FALSE),0)</f>
        <v/>
      </c>
      <c r="W56" s="18">
        <f>IF($A56-5*$B$6&gt;=0,_xlfn.POISSON.DIST($A56-5*$B$6,$B$5,FALSE),0)</f>
        <v/>
      </c>
      <c r="X56" s="18">
        <f>IF($A56-6*$B$6&gt;=0,_xlfn.POISSON.DIST($A56-6*$B$6,$B$5,FALSE),0)</f>
        <v/>
      </c>
      <c r="Y56" s="18">
        <f>IF($A56-7*$B$6&gt;=0,_xlfn.POISSON.DIST($A56-7*$B$6,$B$5,FALSE),0)</f>
        <v/>
      </c>
      <c r="Z56" s="18">
        <f>IF($A56-8*$B$6&gt;=0,_xlfn.POISSON.DIST($A56-8*$B$6,$B$5,FALSE),0)</f>
        <v/>
      </c>
      <c r="AA56" s="18">
        <f>IF($A56-9*$B$6&gt;=0,_xlfn.POISSON.DIST($A56-9*$B$6,$B$5,FALSE),0)</f>
        <v/>
      </c>
      <c r="AB56" s="18">
        <f>IF($A56-10*$B$6&gt;=0,_xlfn.POISSON.DIST($A56-10*$B$6,$B$5,FALSE),0)</f>
        <v/>
      </c>
      <c r="AC56" s="18">
        <f>IF($A56-11*$B$6&gt;=0,_xlfn.POISSON.DIST($A56-11*$B$6,$B$5,FALSE),0)</f>
        <v/>
      </c>
      <c r="AD56" s="18">
        <f>IF($A56-12*$B$6&gt;=0,_xlfn.POISSON.DIST($A56-12*$B$6,$B$5,FALSE),0)</f>
        <v/>
      </c>
      <c r="AE56" s="18">
        <f>IF($A56-13*$B$6&gt;=0,_xlfn.POISSON.DIST($A56-13*$B$6,$B$5,FALSE),0)</f>
        <v/>
      </c>
      <c r="AF56" s="18">
        <f>IF($A56-14*$B$6&gt;=0,_xlfn.POISSON.DIST($A56-14*$B$6,$B$5,FALSE),0)</f>
        <v/>
      </c>
    </row>
    <row r="57">
      <c r="A57" s="10" t="n">
        <v>25</v>
      </c>
      <c r="B57" s="11">
        <f>SUMPRODUCT(R57:AF57,$R$29:$AF$29)</f>
        <v/>
      </c>
      <c r="C57" s="11">
        <f>C56+B57</f>
        <v/>
      </c>
      <c r="D57" s="11">
        <f>D56-(1-C56)</f>
        <v/>
      </c>
      <c r="E57" s="11">
        <f>E56-D57</f>
        <v/>
      </c>
      <c r="F57" s="11">
        <f>F56*($C$17+25-1)*(1-$C$16)/25</f>
        <v/>
      </c>
      <c r="G57" s="11">
        <f>G56+F57</f>
        <v/>
      </c>
      <c r="H57" s="11">
        <f>H56-(1-G56)</f>
        <v/>
      </c>
      <c r="I57" s="11">
        <f>I56-H57</f>
        <v/>
      </c>
      <c r="J57" s="11">
        <f>J56*($D$17+25-1)*(1-$D$16)/25</f>
        <v/>
      </c>
      <c r="K57" s="11">
        <f>K56+J57</f>
        <v/>
      </c>
      <c r="L57" s="11">
        <f>L56-(1-K56)</f>
        <v/>
      </c>
      <c r="M57" s="11">
        <f>M56-L57</f>
        <v/>
      </c>
      <c r="N57" s="10" t="n">
        <v>25</v>
      </c>
      <c r="O57" s="8">
        <f>$B$8*(($B$7+1)/2+N57-$B$14+(INDEX(GenExactLossTwo,N57+1)-INDEX(GenExactLossTwo,N57+$B$7+1))/$B$7)+$B$9*(INDEX(GenExactLossTwo,N57+1)-INDEX(GenExactLossTwo,N57+$B$7+1))/$B$7</f>
        <v/>
      </c>
      <c r="P57" s="8">
        <f>$B$8*(($B$7+1)/2+N57-$C$14+(INDEX(GenRecipeLossTwo,N57+1)-INDEX(GenRecipeLossTwo,N57+$B$7+1))/$B$7)+$B$9*(INDEX(GenRecipeLossTwo,N57+1)-INDEX(GenRecipeLossTwo,N57+$B$7+1))/$B$7</f>
        <v/>
      </c>
      <c r="Q57" s="8">
        <f>$B$8*(($B$7+1)/2+N57-$D$14+(INDEX(GenShortcutLossTwo,N57+1)-INDEX(GenShortcutLossTwo,N57+$B$7+1))/$B$7)+$B$9*(INDEX(GenShortcutLossTwo,N57+1)-INDEX(GenShortcutLossTwo,N57+$B$7+1))/$B$7</f>
        <v/>
      </c>
      <c r="R57" s="18">
        <f>IF($A57-0*$B$6&gt;=0,_xlfn.POISSON.DIST($A57-0*$B$6,$B$5,FALSE),0)</f>
        <v/>
      </c>
      <c r="S57" s="18">
        <f>IF($A57-1*$B$6&gt;=0,_xlfn.POISSON.DIST($A57-1*$B$6,$B$5,FALSE),0)</f>
        <v/>
      </c>
      <c r="T57" s="18">
        <f>IF($A57-2*$B$6&gt;=0,_xlfn.POISSON.DIST($A57-2*$B$6,$B$5,FALSE),0)</f>
        <v/>
      </c>
      <c r="U57" s="18">
        <f>IF($A57-3*$B$6&gt;=0,_xlfn.POISSON.DIST($A57-3*$B$6,$B$5,FALSE),0)</f>
        <v/>
      </c>
      <c r="V57" s="18">
        <f>IF($A57-4*$B$6&gt;=0,_xlfn.POISSON.DIST($A57-4*$B$6,$B$5,FALSE),0)</f>
        <v/>
      </c>
      <c r="W57" s="18">
        <f>IF($A57-5*$B$6&gt;=0,_xlfn.POISSON.DIST($A57-5*$B$6,$B$5,FALSE),0)</f>
        <v/>
      </c>
      <c r="X57" s="18">
        <f>IF($A57-6*$B$6&gt;=0,_xlfn.POISSON.DIST($A57-6*$B$6,$B$5,FALSE),0)</f>
        <v/>
      </c>
      <c r="Y57" s="18">
        <f>IF($A57-7*$B$6&gt;=0,_xlfn.POISSON.DIST($A57-7*$B$6,$B$5,FALSE),0)</f>
        <v/>
      </c>
      <c r="Z57" s="18">
        <f>IF($A57-8*$B$6&gt;=0,_xlfn.POISSON.DIST($A57-8*$B$6,$B$5,FALSE),0)</f>
        <v/>
      </c>
      <c r="AA57" s="18">
        <f>IF($A57-9*$B$6&gt;=0,_xlfn.POISSON.DIST($A57-9*$B$6,$B$5,FALSE),0)</f>
        <v/>
      </c>
      <c r="AB57" s="18">
        <f>IF($A57-10*$B$6&gt;=0,_xlfn.POISSON.DIST($A57-10*$B$6,$B$5,FALSE),0)</f>
        <v/>
      </c>
      <c r="AC57" s="18">
        <f>IF($A57-11*$B$6&gt;=0,_xlfn.POISSON.DIST($A57-11*$B$6,$B$5,FALSE),0)</f>
        <v/>
      </c>
      <c r="AD57" s="18">
        <f>IF($A57-12*$B$6&gt;=0,_xlfn.POISSON.DIST($A57-12*$B$6,$B$5,FALSE),0)</f>
        <v/>
      </c>
      <c r="AE57" s="18">
        <f>IF($A57-13*$B$6&gt;=0,_xlfn.POISSON.DIST($A57-13*$B$6,$B$5,FALSE),0)</f>
        <v/>
      </c>
      <c r="AF57" s="18">
        <f>IF($A57-14*$B$6&gt;=0,_xlfn.POISSON.DIST($A57-14*$B$6,$B$5,FALSE),0)</f>
        <v/>
      </c>
    </row>
    <row r="58">
      <c r="A58" s="10" t="n">
        <v>26</v>
      </c>
      <c r="B58" s="11">
        <f>SUMPRODUCT(R58:AF58,$R$29:$AF$29)</f>
        <v/>
      </c>
      <c r="C58" s="11">
        <f>C57+B58</f>
        <v/>
      </c>
      <c r="D58" s="11">
        <f>D57-(1-C57)</f>
        <v/>
      </c>
      <c r="E58" s="11">
        <f>E57-D58</f>
        <v/>
      </c>
      <c r="F58" s="11">
        <f>F57*($C$17+26-1)*(1-$C$16)/26</f>
        <v/>
      </c>
      <c r="G58" s="11">
        <f>G57+F58</f>
        <v/>
      </c>
      <c r="H58" s="11">
        <f>H57-(1-G57)</f>
        <v/>
      </c>
      <c r="I58" s="11">
        <f>I57-H58</f>
        <v/>
      </c>
      <c r="J58" s="11">
        <f>J57*($D$17+26-1)*(1-$D$16)/26</f>
        <v/>
      </c>
      <c r="K58" s="11">
        <f>K57+J58</f>
        <v/>
      </c>
      <c r="L58" s="11">
        <f>L57-(1-K57)</f>
        <v/>
      </c>
      <c r="M58" s="11">
        <f>M57-L58</f>
        <v/>
      </c>
      <c r="N58" s="10" t="n">
        <v>26</v>
      </c>
      <c r="O58" s="8">
        <f>$B$8*(($B$7+1)/2+N58-$B$14+(INDEX(GenExactLossTwo,N58+1)-INDEX(GenExactLossTwo,N58+$B$7+1))/$B$7)+$B$9*(INDEX(GenExactLossTwo,N58+1)-INDEX(GenExactLossTwo,N58+$B$7+1))/$B$7</f>
        <v/>
      </c>
      <c r="P58" s="8">
        <f>$B$8*(($B$7+1)/2+N58-$C$14+(INDEX(GenRecipeLossTwo,N58+1)-INDEX(GenRecipeLossTwo,N58+$B$7+1))/$B$7)+$B$9*(INDEX(GenRecipeLossTwo,N58+1)-INDEX(GenRecipeLossTwo,N58+$B$7+1))/$B$7</f>
        <v/>
      </c>
      <c r="Q58" s="8">
        <f>$B$8*(($B$7+1)/2+N58-$D$14+(INDEX(GenShortcutLossTwo,N58+1)-INDEX(GenShortcutLossTwo,N58+$B$7+1))/$B$7)+$B$9*(INDEX(GenShortcutLossTwo,N58+1)-INDEX(GenShortcutLossTwo,N58+$B$7+1))/$B$7</f>
        <v/>
      </c>
      <c r="R58" s="18">
        <f>IF($A58-0*$B$6&gt;=0,_xlfn.POISSON.DIST($A58-0*$B$6,$B$5,FALSE),0)</f>
        <v/>
      </c>
      <c r="S58" s="18">
        <f>IF($A58-1*$B$6&gt;=0,_xlfn.POISSON.DIST($A58-1*$B$6,$B$5,FALSE),0)</f>
        <v/>
      </c>
      <c r="T58" s="18">
        <f>IF($A58-2*$B$6&gt;=0,_xlfn.POISSON.DIST($A58-2*$B$6,$B$5,FALSE),0)</f>
        <v/>
      </c>
      <c r="U58" s="18">
        <f>IF($A58-3*$B$6&gt;=0,_xlfn.POISSON.DIST($A58-3*$B$6,$B$5,FALSE),0)</f>
        <v/>
      </c>
      <c r="V58" s="18">
        <f>IF($A58-4*$B$6&gt;=0,_xlfn.POISSON.DIST($A58-4*$B$6,$B$5,FALSE),0)</f>
        <v/>
      </c>
      <c r="W58" s="18">
        <f>IF($A58-5*$B$6&gt;=0,_xlfn.POISSON.DIST($A58-5*$B$6,$B$5,FALSE),0)</f>
        <v/>
      </c>
      <c r="X58" s="18">
        <f>IF($A58-6*$B$6&gt;=0,_xlfn.POISSON.DIST($A58-6*$B$6,$B$5,FALSE),0)</f>
        <v/>
      </c>
      <c r="Y58" s="18">
        <f>IF($A58-7*$B$6&gt;=0,_xlfn.POISSON.DIST($A58-7*$B$6,$B$5,FALSE),0)</f>
        <v/>
      </c>
      <c r="Z58" s="18">
        <f>IF($A58-8*$B$6&gt;=0,_xlfn.POISSON.DIST($A58-8*$B$6,$B$5,FALSE),0)</f>
        <v/>
      </c>
      <c r="AA58" s="18">
        <f>IF($A58-9*$B$6&gt;=0,_xlfn.POISSON.DIST($A58-9*$B$6,$B$5,FALSE),0)</f>
        <v/>
      </c>
      <c r="AB58" s="18">
        <f>IF($A58-10*$B$6&gt;=0,_xlfn.POISSON.DIST($A58-10*$B$6,$B$5,FALSE),0)</f>
        <v/>
      </c>
      <c r="AC58" s="18">
        <f>IF($A58-11*$B$6&gt;=0,_xlfn.POISSON.DIST($A58-11*$B$6,$B$5,FALSE),0)</f>
        <v/>
      </c>
      <c r="AD58" s="18">
        <f>IF($A58-12*$B$6&gt;=0,_xlfn.POISSON.DIST($A58-12*$B$6,$B$5,FALSE),0)</f>
        <v/>
      </c>
      <c r="AE58" s="18">
        <f>IF($A58-13*$B$6&gt;=0,_xlfn.POISSON.DIST($A58-13*$B$6,$B$5,FALSE),0)</f>
        <v/>
      </c>
      <c r="AF58" s="18">
        <f>IF($A58-14*$B$6&gt;=0,_xlfn.POISSON.DIST($A58-14*$B$6,$B$5,FALSE),0)</f>
        <v/>
      </c>
    </row>
    <row r="59">
      <c r="A59" s="10" t="n">
        <v>27</v>
      </c>
      <c r="B59" s="11">
        <f>SUMPRODUCT(R59:AF59,$R$29:$AF$29)</f>
        <v/>
      </c>
      <c r="C59" s="11">
        <f>C58+B59</f>
        <v/>
      </c>
      <c r="D59" s="11">
        <f>D58-(1-C58)</f>
        <v/>
      </c>
      <c r="E59" s="11">
        <f>E58-D59</f>
        <v/>
      </c>
      <c r="F59" s="11">
        <f>F58*($C$17+27-1)*(1-$C$16)/27</f>
        <v/>
      </c>
      <c r="G59" s="11">
        <f>G58+F59</f>
        <v/>
      </c>
      <c r="H59" s="11">
        <f>H58-(1-G58)</f>
        <v/>
      </c>
      <c r="I59" s="11">
        <f>I58-H59</f>
        <v/>
      </c>
      <c r="J59" s="11">
        <f>J58*($D$17+27-1)*(1-$D$16)/27</f>
        <v/>
      </c>
      <c r="K59" s="11">
        <f>K58+J59</f>
        <v/>
      </c>
      <c r="L59" s="11">
        <f>L58-(1-K58)</f>
        <v/>
      </c>
      <c r="M59" s="11">
        <f>M58-L59</f>
        <v/>
      </c>
      <c r="N59" s="10" t="n">
        <v>27</v>
      </c>
      <c r="O59" s="8">
        <f>$B$8*(($B$7+1)/2+N59-$B$14+(INDEX(GenExactLossTwo,N59+1)-INDEX(GenExactLossTwo,N59+$B$7+1))/$B$7)+$B$9*(INDEX(GenExactLossTwo,N59+1)-INDEX(GenExactLossTwo,N59+$B$7+1))/$B$7</f>
        <v/>
      </c>
      <c r="P59" s="8">
        <f>$B$8*(($B$7+1)/2+N59-$C$14+(INDEX(GenRecipeLossTwo,N59+1)-INDEX(GenRecipeLossTwo,N59+$B$7+1))/$B$7)+$B$9*(INDEX(GenRecipeLossTwo,N59+1)-INDEX(GenRecipeLossTwo,N59+$B$7+1))/$B$7</f>
        <v/>
      </c>
      <c r="Q59" s="8">
        <f>$B$8*(($B$7+1)/2+N59-$D$14+(INDEX(GenShortcutLossTwo,N59+1)-INDEX(GenShortcutLossTwo,N59+$B$7+1))/$B$7)+$B$9*(INDEX(GenShortcutLossTwo,N59+1)-INDEX(GenShortcutLossTwo,N59+$B$7+1))/$B$7</f>
        <v/>
      </c>
      <c r="R59" s="18">
        <f>IF($A59-0*$B$6&gt;=0,_xlfn.POISSON.DIST($A59-0*$B$6,$B$5,FALSE),0)</f>
        <v/>
      </c>
      <c r="S59" s="18">
        <f>IF($A59-1*$B$6&gt;=0,_xlfn.POISSON.DIST($A59-1*$B$6,$B$5,FALSE),0)</f>
        <v/>
      </c>
      <c r="T59" s="18">
        <f>IF($A59-2*$B$6&gt;=0,_xlfn.POISSON.DIST($A59-2*$B$6,$B$5,FALSE),0)</f>
        <v/>
      </c>
      <c r="U59" s="18">
        <f>IF($A59-3*$B$6&gt;=0,_xlfn.POISSON.DIST($A59-3*$B$6,$B$5,FALSE),0)</f>
        <v/>
      </c>
      <c r="V59" s="18">
        <f>IF($A59-4*$B$6&gt;=0,_xlfn.POISSON.DIST($A59-4*$B$6,$B$5,FALSE),0)</f>
        <v/>
      </c>
      <c r="W59" s="18">
        <f>IF($A59-5*$B$6&gt;=0,_xlfn.POISSON.DIST($A59-5*$B$6,$B$5,FALSE),0)</f>
        <v/>
      </c>
      <c r="X59" s="18">
        <f>IF($A59-6*$B$6&gt;=0,_xlfn.POISSON.DIST($A59-6*$B$6,$B$5,FALSE),0)</f>
        <v/>
      </c>
      <c r="Y59" s="18">
        <f>IF($A59-7*$B$6&gt;=0,_xlfn.POISSON.DIST($A59-7*$B$6,$B$5,FALSE),0)</f>
        <v/>
      </c>
      <c r="Z59" s="18">
        <f>IF($A59-8*$B$6&gt;=0,_xlfn.POISSON.DIST($A59-8*$B$6,$B$5,FALSE),0)</f>
        <v/>
      </c>
      <c r="AA59" s="18">
        <f>IF($A59-9*$B$6&gt;=0,_xlfn.POISSON.DIST($A59-9*$B$6,$B$5,FALSE),0)</f>
        <v/>
      </c>
      <c r="AB59" s="18">
        <f>IF($A59-10*$B$6&gt;=0,_xlfn.POISSON.DIST($A59-10*$B$6,$B$5,FALSE),0)</f>
        <v/>
      </c>
      <c r="AC59" s="18">
        <f>IF($A59-11*$B$6&gt;=0,_xlfn.POISSON.DIST($A59-11*$B$6,$B$5,FALSE),0)</f>
        <v/>
      </c>
      <c r="AD59" s="18">
        <f>IF($A59-12*$B$6&gt;=0,_xlfn.POISSON.DIST($A59-12*$B$6,$B$5,FALSE),0)</f>
        <v/>
      </c>
      <c r="AE59" s="18">
        <f>IF($A59-13*$B$6&gt;=0,_xlfn.POISSON.DIST($A59-13*$B$6,$B$5,FALSE),0)</f>
        <v/>
      </c>
      <c r="AF59" s="18">
        <f>IF($A59-14*$B$6&gt;=0,_xlfn.POISSON.DIST($A59-14*$B$6,$B$5,FALSE),0)</f>
        <v/>
      </c>
    </row>
    <row r="60">
      <c r="A60" s="10" t="n">
        <v>28</v>
      </c>
      <c r="B60" s="11">
        <f>SUMPRODUCT(R60:AF60,$R$29:$AF$29)</f>
        <v/>
      </c>
      <c r="C60" s="11">
        <f>C59+B60</f>
        <v/>
      </c>
      <c r="D60" s="11">
        <f>D59-(1-C59)</f>
        <v/>
      </c>
      <c r="E60" s="11">
        <f>E59-D60</f>
        <v/>
      </c>
      <c r="F60" s="11">
        <f>F59*($C$17+28-1)*(1-$C$16)/28</f>
        <v/>
      </c>
      <c r="G60" s="11">
        <f>G59+F60</f>
        <v/>
      </c>
      <c r="H60" s="11">
        <f>H59-(1-G59)</f>
        <v/>
      </c>
      <c r="I60" s="11">
        <f>I59-H60</f>
        <v/>
      </c>
      <c r="J60" s="11">
        <f>J59*($D$17+28-1)*(1-$D$16)/28</f>
        <v/>
      </c>
      <c r="K60" s="11">
        <f>K59+J60</f>
        <v/>
      </c>
      <c r="L60" s="11">
        <f>L59-(1-K59)</f>
        <v/>
      </c>
      <c r="M60" s="11">
        <f>M59-L60</f>
        <v/>
      </c>
      <c r="N60" s="10" t="n">
        <v>28</v>
      </c>
      <c r="O60" s="8">
        <f>$B$8*(($B$7+1)/2+N60-$B$14+(INDEX(GenExactLossTwo,N60+1)-INDEX(GenExactLossTwo,N60+$B$7+1))/$B$7)+$B$9*(INDEX(GenExactLossTwo,N60+1)-INDEX(GenExactLossTwo,N60+$B$7+1))/$B$7</f>
        <v/>
      </c>
      <c r="P60" s="8">
        <f>$B$8*(($B$7+1)/2+N60-$C$14+(INDEX(GenRecipeLossTwo,N60+1)-INDEX(GenRecipeLossTwo,N60+$B$7+1))/$B$7)+$B$9*(INDEX(GenRecipeLossTwo,N60+1)-INDEX(GenRecipeLossTwo,N60+$B$7+1))/$B$7</f>
        <v/>
      </c>
      <c r="Q60" s="8">
        <f>$B$8*(($B$7+1)/2+N60-$D$14+(INDEX(GenShortcutLossTwo,N60+1)-INDEX(GenShortcutLossTwo,N60+$B$7+1))/$B$7)+$B$9*(INDEX(GenShortcutLossTwo,N60+1)-INDEX(GenShortcutLossTwo,N60+$B$7+1))/$B$7</f>
        <v/>
      </c>
      <c r="R60" s="18">
        <f>IF($A60-0*$B$6&gt;=0,_xlfn.POISSON.DIST($A60-0*$B$6,$B$5,FALSE),0)</f>
        <v/>
      </c>
      <c r="S60" s="18">
        <f>IF($A60-1*$B$6&gt;=0,_xlfn.POISSON.DIST($A60-1*$B$6,$B$5,FALSE),0)</f>
        <v/>
      </c>
      <c r="T60" s="18">
        <f>IF($A60-2*$B$6&gt;=0,_xlfn.POISSON.DIST($A60-2*$B$6,$B$5,FALSE),0)</f>
        <v/>
      </c>
      <c r="U60" s="18">
        <f>IF($A60-3*$B$6&gt;=0,_xlfn.POISSON.DIST($A60-3*$B$6,$B$5,FALSE),0)</f>
        <v/>
      </c>
      <c r="V60" s="18">
        <f>IF($A60-4*$B$6&gt;=0,_xlfn.POISSON.DIST($A60-4*$B$6,$B$5,FALSE),0)</f>
        <v/>
      </c>
      <c r="W60" s="18">
        <f>IF($A60-5*$B$6&gt;=0,_xlfn.POISSON.DIST($A60-5*$B$6,$B$5,FALSE),0)</f>
        <v/>
      </c>
      <c r="X60" s="18">
        <f>IF($A60-6*$B$6&gt;=0,_xlfn.POISSON.DIST($A60-6*$B$6,$B$5,FALSE),0)</f>
        <v/>
      </c>
      <c r="Y60" s="18">
        <f>IF($A60-7*$B$6&gt;=0,_xlfn.POISSON.DIST($A60-7*$B$6,$B$5,FALSE),0)</f>
        <v/>
      </c>
      <c r="Z60" s="18">
        <f>IF($A60-8*$B$6&gt;=0,_xlfn.POISSON.DIST($A60-8*$B$6,$B$5,FALSE),0)</f>
        <v/>
      </c>
      <c r="AA60" s="18">
        <f>IF($A60-9*$B$6&gt;=0,_xlfn.POISSON.DIST($A60-9*$B$6,$B$5,FALSE),0)</f>
        <v/>
      </c>
      <c r="AB60" s="18">
        <f>IF($A60-10*$B$6&gt;=0,_xlfn.POISSON.DIST($A60-10*$B$6,$B$5,FALSE),0)</f>
        <v/>
      </c>
      <c r="AC60" s="18">
        <f>IF($A60-11*$B$6&gt;=0,_xlfn.POISSON.DIST($A60-11*$B$6,$B$5,FALSE),0)</f>
        <v/>
      </c>
      <c r="AD60" s="18">
        <f>IF($A60-12*$B$6&gt;=0,_xlfn.POISSON.DIST($A60-12*$B$6,$B$5,FALSE),0)</f>
        <v/>
      </c>
      <c r="AE60" s="18">
        <f>IF($A60-13*$B$6&gt;=0,_xlfn.POISSON.DIST($A60-13*$B$6,$B$5,FALSE),0)</f>
        <v/>
      </c>
      <c r="AF60" s="18">
        <f>IF($A60-14*$B$6&gt;=0,_xlfn.POISSON.DIST($A60-14*$B$6,$B$5,FALSE),0)</f>
        <v/>
      </c>
    </row>
    <row r="61">
      <c r="A61" s="10" t="n">
        <v>29</v>
      </c>
      <c r="B61" s="11">
        <f>SUMPRODUCT(R61:AF61,$R$29:$AF$29)</f>
        <v/>
      </c>
      <c r="C61" s="11">
        <f>C60+B61</f>
        <v/>
      </c>
      <c r="D61" s="11">
        <f>D60-(1-C60)</f>
        <v/>
      </c>
      <c r="E61" s="11">
        <f>E60-D61</f>
        <v/>
      </c>
      <c r="F61" s="11">
        <f>F60*($C$17+29-1)*(1-$C$16)/29</f>
        <v/>
      </c>
      <c r="G61" s="11">
        <f>G60+F61</f>
        <v/>
      </c>
      <c r="H61" s="11">
        <f>H60-(1-G60)</f>
        <v/>
      </c>
      <c r="I61" s="11">
        <f>I60-H61</f>
        <v/>
      </c>
      <c r="J61" s="11">
        <f>J60*($D$17+29-1)*(1-$D$16)/29</f>
        <v/>
      </c>
      <c r="K61" s="11">
        <f>K60+J61</f>
        <v/>
      </c>
      <c r="L61" s="11">
        <f>L60-(1-K60)</f>
        <v/>
      </c>
      <c r="M61" s="11">
        <f>M60-L61</f>
        <v/>
      </c>
      <c r="N61" s="10" t="n">
        <v>29</v>
      </c>
      <c r="O61" s="8">
        <f>$B$8*(($B$7+1)/2+N61-$B$14+(INDEX(GenExactLossTwo,N61+1)-INDEX(GenExactLossTwo,N61+$B$7+1))/$B$7)+$B$9*(INDEX(GenExactLossTwo,N61+1)-INDEX(GenExactLossTwo,N61+$B$7+1))/$B$7</f>
        <v/>
      </c>
      <c r="P61" s="8">
        <f>$B$8*(($B$7+1)/2+N61-$C$14+(INDEX(GenRecipeLossTwo,N61+1)-INDEX(GenRecipeLossTwo,N61+$B$7+1))/$B$7)+$B$9*(INDEX(GenRecipeLossTwo,N61+1)-INDEX(GenRecipeLossTwo,N61+$B$7+1))/$B$7</f>
        <v/>
      </c>
      <c r="Q61" s="8">
        <f>$B$8*(($B$7+1)/2+N61-$D$14+(INDEX(GenShortcutLossTwo,N61+1)-INDEX(GenShortcutLossTwo,N61+$B$7+1))/$B$7)+$B$9*(INDEX(GenShortcutLossTwo,N61+1)-INDEX(GenShortcutLossTwo,N61+$B$7+1))/$B$7</f>
        <v/>
      </c>
      <c r="R61" s="18">
        <f>IF($A61-0*$B$6&gt;=0,_xlfn.POISSON.DIST($A61-0*$B$6,$B$5,FALSE),0)</f>
        <v/>
      </c>
      <c r="S61" s="18">
        <f>IF($A61-1*$B$6&gt;=0,_xlfn.POISSON.DIST($A61-1*$B$6,$B$5,FALSE),0)</f>
        <v/>
      </c>
      <c r="T61" s="18">
        <f>IF($A61-2*$B$6&gt;=0,_xlfn.POISSON.DIST($A61-2*$B$6,$B$5,FALSE),0)</f>
        <v/>
      </c>
      <c r="U61" s="18">
        <f>IF($A61-3*$B$6&gt;=0,_xlfn.POISSON.DIST($A61-3*$B$6,$B$5,FALSE),0)</f>
        <v/>
      </c>
      <c r="V61" s="18">
        <f>IF($A61-4*$B$6&gt;=0,_xlfn.POISSON.DIST($A61-4*$B$6,$B$5,FALSE),0)</f>
        <v/>
      </c>
      <c r="W61" s="18">
        <f>IF($A61-5*$B$6&gt;=0,_xlfn.POISSON.DIST($A61-5*$B$6,$B$5,FALSE),0)</f>
        <v/>
      </c>
      <c r="X61" s="18">
        <f>IF($A61-6*$B$6&gt;=0,_xlfn.POISSON.DIST($A61-6*$B$6,$B$5,FALSE),0)</f>
        <v/>
      </c>
      <c r="Y61" s="18">
        <f>IF($A61-7*$B$6&gt;=0,_xlfn.POISSON.DIST($A61-7*$B$6,$B$5,FALSE),0)</f>
        <v/>
      </c>
      <c r="Z61" s="18">
        <f>IF($A61-8*$B$6&gt;=0,_xlfn.POISSON.DIST($A61-8*$B$6,$B$5,FALSE),0)</f>
        <v/>
      </c>
      <c r="AA61" s="18">
        <f>IF($A61-9*$B$6&gt;=0,_xlfn.POISSON.DIST($A61-9*$B$6,$B$5,FALSE),0)</f>
        <v/>
      </c>
      <c r="AB61" s="18">
        <f>IF($A61-10*$B$6&gt;=0,_xlfn.POISSON.DIST($A61-10*$B$6,$B$5,FALSE),0)</f>
        <v/>
      </c>
      <c r="AC61" s="18">
        <f>IF($A61-11*$B$6&gt;=0,_xlfn.POISSON.DIST($A61-11*$B$6,$B$5,FALSE),0)</f>
        <v/>
      </c>
      <c r="AD61" s="18">
        <f>IF($A61-12*$B$6&gt;=0,_xlfn.POISSON.DIST($A61-12*$B$6,$B$5,FALSE),0)</f>
        <v/>
      </c>
      <c r="AE61" s="18">
        <f>IF($A61-13*$B$6&gt;=0,_xlfn.POISSON.DIST($A61-13*$B$6,$B$5,FALSE),0)</f>
        <v/>
      </c>
      <c r="AF61" s="18">
        <f>IF($A61-14*$B$6&gt;=0,_xlfn.POISSON.DIST($A61-14*$B$6,$B$5,FALSE),0)</f>
        <v/>
      </c>
    </row>
    <row r="62">
      <c r="A62" s="10" t="n">
        <v>30</v>
      </c>
      <c r="B62" s="11">
        <f>SUMPRODUCT(R62:AF62,$R$29:$AF$29)</f>
        <v/>
      </c>
      <c r="C62" s="11">
        <f>C61+B62</f>
        <v/>
      </c>
      <c r="D62" s="11">
        <f>D61-(1-C61)</f>
        <v/>
      </c>
      <c r="E62" s="11">
        <f>E61-D62</f>
        <v/>
      </c>
      <c r="F62" s="11">
        <f>F61*($C$17+30-1)*(1-$C$16)/30</f>
        <v/>
      </c>
      <c r="G62" s="11">
        <f>G61+F62</f>
        <v/>
      </c>
      <c r="H62" s="11">
        <f>H61-(1-G61)</f>
        <v/>
      </c>
      <c r="I62" s="11">
        <f>I61-H62</f>
        <v/>
      </c>
      <c r="J62" s="11">
        <f>J61*($D$17+30-1)*(1-$D$16)/30</f>
        <v/>
      </c>
      <c r="K62" s="11">
        <f>K61+J62</f>
        <v/>
      </c>
      <c r="L62" s="11">
        <f>L61-(1-K61)</f>
        <v/>
      </c>
      <c r="M62" s="11">
        <f>M61-L62</f>
        <v/>
      </c>
      <c r="N62" s="10" t="n">
        <v>30</v>
      </c>
      <c r="O62" s="8">
        <f>$B$8*(($B$7+1)/2+N62-$B$14+(INDEX(GenExactLossTwo,N62+1)-INDEX(GenExactLossTwo,N62+$B$7+1))/$B$7)+$B$9*(INDEX(GenExactLossTwo,N62+1)-INDEX(GenExactLossTwo,N62+$B$7+1))/$B$7</f>
        <v/>
      </c>
      <c r="P62" s="8">
        <f>$B$8*(($B$7+1)/2+N62-$C$14+(INDEX(GenRecipeLossTwo,N62+1)-INDEX(GenRecipeLossTwo,N62+$B$7+1))/$B$7)+$B$9*(INDEX(GenRecipeLossTwo,N62+1)-INDEX(GenRecipeLossTwo,N62+$B$7+1))/$B$7</f>
        <v/>
      </c>
      <c r="Q62" s="8">
        <f>$B$8*(($B$7+1)/2+N62-$D$14+(INDEX(GenShortcutLossTwo,N62+1)-INDEX(GenShortcutLossTwo,N62+$B$7+1))/$B$7)+$B$9*(INDEX(GenShortcutLossTwo,N62+1)-INDEX(GenShortcutLossTwo,N62+$B$7+1))/$B$7</f>
        <v/>
      </c>
      <c r="R62" s="18">
        <f>IF($A62-0*$B$6&gt;=0,_xlfn.POISSON.DIST($A62-0*$B$6,$B$5,FALSE),0)</f>
        <v/>
      </c>
      <c r="S62" s="18">
        <f>IF($A62-1*$B$6&gt;=0,_xlfn.POISSON.DIST($A62-1*$B$6,$B$5,FALSE),0)</f>
        <v/>
      </c>
      <c r="T62" s="18">
        <f>IF($A62-2*$B$6&gt;=0,_xlfn.POISSON.DIST($A62-2*$B$6,$B$5,FALSE),0)</f>
        <v/>
      </c>
      <c r="U62" s="18">
        <f>IF($A62-3*$B$6&gt;=0,_xlfn.POISSON.DIST($A62-3*$B$6,$B$5,FALSE),0)</f>
        <v/>
      </c>
      <c r="V62" s="18">
        <f>IF($A62-4*$B$6&gt;=0,_xlfn.POISSON.DIST($A62-4*$B$6,$B$5,FALSE),0)</f>
        <v/>
      </c>
      <c r="W62" s="18">
        <f>IF($A62-5*$B$6&gt;=0,_xlfn.POISSON.DIST($A62-5*$B$6,$B$5,FALSE),0)</f>
        <v/>
      </c>
      <c r="X62" s="18">
        <f>IF($A62-6*$B$6&gt;=0,_xlfn.POISSON.DIST($A62-6*$B$6,$B$5,FALSE),0)</f>
        <v/>
      </c>
      <c r="Y62" s="18">
        <f>IF($A62-7*$B$6&gt;=0,_xlfn.POISSON.DIST($A62-7*$B$6,$B$5,FALSE),0)</f>
        <v/>
      </c>
      <c r="Z62" s="18">
        <f>IF($A62-8*$B$6&gt;=0,_xlfn.POISSON.DIST($A62-8*$B$6,$B$5,FALSE),0)</f>
        <v/>
      </c>
      <c r="AA62" s="18">
        <f>IF($A62-9*$B$6&gt;=0,_xlfn.POISSON.DIST($A62-9*$B$6,$B$5,FALSE),0)</f>
        <v/>
      </c>
      <c r="AB62" s="18">
        <f>IF($A62-10*$B$6&gt;=0,_xlfn.POISSON.DIST($A62-10*$B$6,$B$5,FALSE),0)</f>
        <v/>
      </c>
      <c r="AC62" s="18">
        <f>IF($A62-11*$B$6&gt;=0,_xlfn.POISSON.DIST($A62-11*$B$6,$B$5,FALSE),0)</f>
        <v/>
      </c>
      <c r="AD62" s="18">
        <f>IF($A62-12*$B$6&gt;=0,_xlfn.POISSON.DIST($A62-12*$B$6,$B$5,FALSE),0)</f>
        <v/>
      </c>
      <c r="AE62" s="18">
        <f>IF($A62-13*$B$6&gt;=0,_xlfn.POISSON.DIST($A62-13*$B$6,$B$5,FALSE),0)</f>
        <v/>
      </c>
      <c r="AF62" s="18">
        <f>IF($A62-14*$B$6&gt;=0,_xlfn.POISSON.DIST($A62-14*$B$6,$B$5,FALSE),0)</f>
        <v/>
      </c>
    </row>
    <row r="63">
      <c r="A63" s="10" t="n">
        <v>31</v>
      </c>
      <c r="B63" s="11">
        <f>SUMPRODUCT(R63:AF63,$R$29:$AF$29)</f>
        <v/>
      </c>
      <c r="C63" s="11">
        <f>C62+B63</f>
        <v/>
      </c>
      <c r="D63" s="11">
        <f>D62-(1-C62)</f>
        <v/>
      </c>
      <c r="E63" s="11">
        <f>E62-D63</f>
        <v/>
      </c>
      <c r="F63" s="11">
        <f>F62*($C$17+31-1)*(1-$C$16)/31</f>
        <v/>
      </c>
      <c r="G63" s="11">
        <f>G62+F63</f>
        <v/>
      </c>
      <c r="H63" s="11">
        <f>H62-(1-G62)</f>
        <v/>
      </c>
      <c r="I63" s="11">
        <f>I62-H63</f>
        <v/>
      </c>
      <c r="J63" s="11">
        <f>J62*($D$17+31-1)*(1-$D$16)/31</f>
        <v/>
      </c>
      <c r="K63" s="11">
        <f>K62+J63</f>
        <v/>
      </c>
      <c r="L63" s="11">
        <f>L62-(1-K62)</f>
        <v/>
      </c>
      <c r="M63" s="11">
        <f>M62-L63</f>
        <v/>
      </c>
      <c r="R63" s="18">
        <f>IF($A63-0*$B$6&gt;=0,_xlfn.POISSON.DIST($A63-0*$B$6,$B$5,FALSE),0)</f>
        <v/>
      </c>
      <c r="S63" s="18">
        <f>IF($A63-1*$B$6&gt;=0,_xlfn.POISSON.DIST($A63-1*$B$6,$B$5,FALSE),0)</f>
        <v/>
      </c>
      <c r="T63" s="18">
        <f>IF($A63-2*$B$6&gt;=0,_xlfn.POISSON.DIST($A63-2*$B$6,$B$5,FALSE),0)</f>
        <v/>
      </c>
      <c r="U63" s="18">
        <f>IF($A63-3*$B$6&gt;=0,_xlfn.POISSON.DIST($A63-3*$B$6,$B$5,FALSE),0)</f>
        <v/>
      </c>
      <c r="V63" s="18">
        <f>IF($A63-4*$B$6&gt;=0,_xlfn.POISSON.DIST($A63-4*$B$6,$B$5,FALSE),0)</f>
        <v/>
      </c>
      <c r="W63" s="18">
        <f>IF($A63-5*$B$6&gt;=0,_xlfn.POISSON.DIST($A63-5*$B$6,$B$5,FALSE),0)</f>
        <v/>
      </c>
      <c r="X63" s="18">
        <f>IF($A63-6*$B$6&gt;=0,_xlfn.POISSON.DIST($A63-6*$B$6,$B$5,FALSE),0)</f>
        <v/>
      </c>
      <c r="Y63" s="18">
        <f>IF($A63-7*$B$6&gt;=0,_xlfn.POISSON.DIST($A63-7*$B$6,$B$5,FALSE),0)</f>
        <v/>
      </c>
      <c r="Z63" s="18">
        <f>IF($A63-8*$B$6&gt;=0,_xlfn.POISSON.DIST($A63-8*$B$6,$B$5,FALSE),0)</f>
        <v/>
      </c>
      <c r="AA63" s="18">
        <f>IF($A63-9*$B$6&gt;=0,_xlfn.POISSON.DIST($A63-9*$B$6,$B$5,FALSE),0)</f>
        <v/>
      </c>
      <c r="AB63" s="18">
        <f>IF($A63-10*$B$6&gt;=0,_xlfn.POISSON.DIST($A63-10*$B$6,$B$5,FALSE),0)</f>
        <v/>
      </c>
      <c r="AC63" s="18">
        <f>IF($A63-11*$B$6&gt;=0,_xlfn.POISSON.DIST($A63-11*$B$6,$B$5,FALSE),0)</f>
        <v/>
      </c>
      <c r="AD63" s="18">
        <f>IF($A63-12*$B$6&gt;=0,_xlfn.POISSON.DIST($A63-12*$B$6,$B$5,FALSE),0)</f>
        <v/>
      </c>
      <c r="AE63" s="18">
        <f>IF($A63-13*$B$6&gt;=0,_xlfn.POISSON.DIST($A63-13*$B$6,$B$5,FALSE),0)</f>
        <v/>
      </c>
      <c r="AF63" s="18">
        <f>IF($A63-14*$B$6&gt;=0,_xlfn.POISSON.DIST($A63-14*$B$6,$B$5,FALSE),0)</f>
        <v/>
      </c>
    </row>
    <row r="64">
      <c r="A64" s="10" t="n">
        <v>32</v>
      </c>
      <c r="B64" s="11">
        <f>SUMPRODUCT(R64:AF64,$R$29:$AF$29)</f>
        <v/>
      </c>
      <c r="C64" s="11">
        <f>C63+B64</f>
        <v/>
      </c>
      <c r="D64" s="11">
        <f>D63-(1-C63)</f>
        <v/>
      </c>
      <c r="E64" s="11">
        <f>E63-D64</f>
        <v/>
      </c>
      <c r="F64" s="11">
        <f>F63*($C$17+32-1)*(1-$C$16)/32</f>
        <v/>
      </c>
      <c r="G64" s="11">
        <f>G63+F64</f>
        <v/>
      </c>
      <c r="H64" s="11">
        <f>H63-(1-G63)</f>
        <v/>
      </c>
      <c r="I64" s="11">
        <f>I63-H64</f>
        <v/>
      </c>
      <c r="J64" s="11">
        <f>J63*($D$17+32-1)*(1-$D$16)/32</f>
        <v/>
      </c>
      <c r="K64" s="11">
        <f>K63+J64</f>
        <v/>
      </c>
      <c r="L64" s="11">
        <f>L63-(1-K63)</f>
        <v/>
      </c>
      <c r="M64" s="11">
        <f>M63-L64</f>
        <v/>
      </c>
      <c r="R64" s="18">
        <f>IF($A64-0*$B$6&gt;=0,_xlfn.POISSON.DIST($A64-0*$B$6,$B$5,FALSE),0)</f>
        <v/>
      </c>
      <c r="S64" s="18">
        <f>IF($A64-1*$B$6&gt;=0,_xlfn.POISSON.DIST($A64-1*$B$6,$B$5,FALSE),0)</f>
        <v/>
      </c>
      <c r="T64" s="18">
        <f>IF($A64-2*$B$6&gt;=0,_xlfn.POISSON.DIST($A64-2*$B$6,$B$5,FALSE),0)</f>
        <v/>
      </c>
      <c r="U64" s="18">
        <f>IF($A64-3*$B$6&gt;=0,_xlfn.POISSON.DIST($A64-3*$B$6,$B$5,FALSE),0)</f>
        <v/>
      </c>
      <c r="V64" s="18">
        <f>IF($A64-4*$B$6&gt;=0,_xlfn.POISSON.DIST($A64-4*$B$6,$B$5,FALSE),0)</f>
        <v/>
      </c>
      <c r="W64" s="18">
        <f>IF($A64-5*$B$6&gt;=0,_xlfn.POISSON.DIST($A64-5*$B$6,$B$5,FALSE),0)</f>
        <v/>
      </c>
      <c r="X64" s="18">
        <f>IF($A64-6*$B$6&gt;=0,_xlfn.POISSON.DIST($A64-6*$B$6,$B$5,FALSE),0)</f>
        <v/>
      </c>
      <c r="Y64" s="18">
        <f>IF($A64-7*$B$6&gt;=0,_xlfn.POISSON.DIST($A64-7*$B$6,$B$5,FALSE),0)</f>
        <v/>
      </c>
      <c r="Z64" s="18">
        <f>IF($A64-8*$B$6&gt;=0,_xlfn.POISSON.DIST($A64-8*$B$6,$B$5,FALSE),0)</f>
        <v/>
      </c>
      <c r="AA64" s="18">
        <f>IF($A64-9*$B$6&gt;=0,_xlfn.POISSON.DIST($A64-9*$B$6,$B$5,FALSE),0)</f>
        <v/>
      </c>
      <c r="AB64" s="18">
        <f>IF($A64-10*$B$6&gt;=0,_xlfn.POISSON.DIST($A64-10*$B$6,$B$5,FALSE),0)</f>
        <v/>
      </c>
      <c r="AC64" s="18">
        <f>IF($A64-11*$B$6&gt;=0,_xlfn.POISSON.DIST($A64-11*$B$6,$B$5,FALSE),0)</f>
        <v/>
      </c>
      <c r="AD64" s="18">
        <f>IF($A64-12*$B$6&gt;=0,_xlfn.POISSON.DIST($A64-12*$B$6,$B$5,FALSE),0)</f>
        <v/>
      </c>
      <c r="AE64" s="18">
        <f>IF($A64-13*$B$6&gt;=0,_xlfn.POISSON.DIST($A64-13*$B$6,$B$5,FALSE),0)</f>
        <v/>
      </c>
      <c r="AF64" s="18">
        <f>IF($A64-14*$B$6&gt;=0,_xlfn.POISSON.DIST($A64-14*$B$6,$B$5,FALSE),0)</f>
        <v/>
      </c>
    </row>
    <row r="65">
      <c r="A65" s="10" t="n">
        <v>33</v>
      </c>
      <c r="B65" s="11">
        <f>SUMPRODUCT(R65:AF65,$R$29:$AF$29)</f>
        <v/>
      </c>
      <c r="C65" s="11">
        <f>C64+B65</f>
        <v/>
      </c>
      <c r="D65" s="11">
        <f>D64-(1-C64)</f>
        <v/>
      </c>
      <c r="E65" s="11">
        <f>E64-D65</f>
        <v/>
      </c>
      <c r="F65" s="11">
        <f>F64*($C$17+33-1)*(1-$C$16)/33</f>
        <v/>
      </c>
      <c r="G65" s="11">
        <f>G64+F65</f>
        <v/>
      </c>
      <c r="H65" s="11">
        <f>H64-(1-G64)</f>
        <v/>
      </c>
      <c r="I65" s="11">
        <f>I64-H65</f>
        <v/>
      </c>
      <c r="J65" s="11">
        <f>J64*($D$17+33-1)*(1-$D$16)/33</f>
        <v/>
      </c>
      <c r="K65" s="11">
        <f>K64+J65</f>
        <v/>
      </c>
      <c r="L65" s="11">
        <f>L64-(1-K64)</f>
        <v/>
      </c>
      <c r="M65" s="11">
        <f>M64-L65</f>
        <v/>
      </c>
      <c r="R65" s="18">
        <f>IF($A65-0*$B$6&gt;=0,_xlfn.POISSON.DIST($A65-0*$B$6,$B$5,FALSE),0)</f>
        <v/>
      </c>
      <c r="S65" s="18">
        <f>IF($A65-1*$B$6&gt;=0,_xlfn.POISSON.DIST($A65-1*$B$6,$B$5,FALSE),0)</f>
        <v/>
      </c>
      <c r="T65" s="18">
        <f>IF($A65-2*$B$6&gt;=0,_xlfn.POISSON.DIST($A65-2*$B$6,$B$5,FALSE),0)</f>
        <v/>
      </c>
      <c r="U65" s="18">
        <f>IF($A65-3*$B$6&gt;=0,_xlfn.POISSON.DIST($A65-3*$B$6,$B$5,FALSE),0)</f>
        <v/>
      </c>
      <c r="V65" s="18">
        <f>IF($A65-4*$B$6&gt;=0,_xlfn.POISSON.DIST($A65-4*$B$6,$B$5,FALSE),0)</f>
        <v/>
      </c>
      <c r="W65" s="18">
        <f>IF($A65-5*$B$6&gt;=0,_xlfn.POISSON.DIST($A65-5*$B$6,$B$5,FALSE),0)</f>
        <v/>
      </c>
      <c r="X65" s="18">
        <f>IF($A65-6*$B$6&gt;=0,_xlfn.POISSON.DIST($A65-6*$B$6,$B$5,FALSE),0)</f>
        <v/>
      </c>
      <c r="Y65" s="18">
        <f>IF($A65-7*$B$6&gt;=0,_xlfn.POISSON.DIST($A65-7*$B$6,$B$5,FALSE),0)</f>
        <v/>
      </c>
      <c r="Z65" s="18">
        <f>IF($A65-8*$B$6&gt;=0,_xlfn.POISSON.DIST($A65-8*$B$6,$B$5,FALSE),0)</f>
        <v/>
      </c>
      <c r="AA65" s="18">
        <f>IF($A65-9*$B$6&gt;=0,_xlfn.POISSON.DIST($A65-9*$B$6,$B$5,FALSE),0)</f>
        <v/>
      </c>
      <c r="AB65" s="18">
        <f>IF($A65-10*$B$6&gt;=0,_xlfn.POISSON.DIST($A65-10*$B$6,$B$5,FALSE),0)</f>
        <v/>
      </c>
      <c r="AC65" s="18">
        <f>IF($A65-11*$B$6&gt;=0,_xlfn.POISSON.DIST($A65-11*$B$6,$B$5,FALSE),0)</f>
        <v/>
      </c>
      <c r="AD65" s="18">
        <f>IF($A65-12*$B$6&gt;=0,_xlfn.POISSON.DIST($A65-12*$B$6,$B$5,FALSE),0)</f>
        <v/>
      </c>
      <c r="AE65" s="18">
        <f>IF($A65-13*$B$6&gt;=0,_xlfn.POISSON.DIST($A65-13*$B$6,$B$5,FALSE),0)</f>
        <v/>
      </c>
      <c r="AF65" s="18">
        <f>IF($A65-14*$B$6&gt;=0,_xlfn.POISSON.DIST($A65-14*$B$6,$B$5,FALSE),0)</f>
        <v/>
      </c>
    </row>
    <row r="66">
      <c r="A66" s="10" t="n">
        <v>34</v>
      </c>
      <c r="B66" s="11">
        <f>SUMPRODUCT(R66:AF66,$R$29:$AF$29)</f>
        <v/>
      </c>
      <c r="C66" s="11">
        <f>C65+B66</f>
        <v/>
      </c>
      <c r="D66" s="11">
        <f>D65-(1-C65)</f>
        <v/>
      </c>
      <c r="E66" s="11">
        <f>E65-D66</f>
        <v/>
      </c>
      <c r="F66" s="11">
        <f>F65*($C$17+34-1)*(1-$C$16)/34</f>
        <v/>
      </c>
      <c r="G66" s="11">
        <f>G65+F66</f>
        <v/>
      </c>
      <c r="H66" s="11">
        <f>H65-(1-G65)</f>
        <v/>
      </c>
      <c r="I66" s="11">
        <f>I65-H66</f>
        <v/>
      </c>
      <c r="J66" s="11">
        <f>J65*($D$17+34-1)*(1-$D$16)/34</f>
        <v/>
      </c>
      <c r="K66" s="11">
        <f>K65+J66</f>
        <v/>
      </c>
      <c r="L66" s="11">
        <f>L65-(1-K65)</f>
        <v/>
      </c>
      <c r="M66" s="11">
        <f>M65-L66</f>
        <v/>
      </c>
      <c r="R66" s="18">
        <f>IF($A66-0*$B$6&gt;=0,_xlfn.POISSON.DIST($A66-0*$B$6,$B$5,FALSE),0)</f>
        <v/>
      </c>
      <c r="S66" s="18">
        <f>IF($A66-1*$B$6&gt;=0,_xlfn.POISSON.DIST($A66-1*$B$6,$B$5,FALSE),0)</f>
        <v/>
      </c>
      <c r="T66" s="18">
        <f>IF($A66-2*$B$6&gt;=0,_xlfn.POISSON.DIST($A66-2*$B$6,$B$5,FALSE),0)</f>
        <v/>
      </c>
      <c r="U66" s="18">
        <f>IF($A66-3*$B$6&gt;=0,_xlfn.POISSON.DIST($A66-3*$B$6,$B$5,FALSE),0)</f>
        <v/>
      </c>
      <c r="V66" s="18">
        <f>IF($A66-4*$B$6&gt;=0,_xlfn.POISSON.DIST($A66-4*$B$6,$B$5,FALSE),0)</f>
        <v/>
      </c>
      <c r="W66" s="18">
        <f>IF($A66-5*$B$6&gt;=0,_xlfn.POISSON.DIST($A66-5*$B$6,$B$5,FALSE),0)</f>
        <v/>
      </c>
      <c r="X66" s="18">
        <f>IF($A66-6*$B$6&gt;=0,_xlfn.POISSON.DIST($A66-6*$B$6,$B$5,FALSE),0)</f>
        <v/>
      </c>
      <c r="Y66" s="18">
        <f>IF($A66-7*$B$6&gt;=0,_xlfn.POISSON.DIST($A66-7*$B$6,$B$5,FALSE),0)</f>
        <v/>
      </c>
      <c r="Z66" s="18">
        <f>IF($A66-8*$B$6&gt;=0,_xlfn.POISSON.DIST($A66-8*$B$6,$B$5,FALSE),0)</f>
        <v/>
      </c>
      <c r="AA66" s="18">
        <f>IF($A66-9*$B$6&gt;=0,_xlfn.POISSON.DIST($A66-9*$B$6,$B$5,FALSE),0)</f>
        <v/>
      </c>
      <c r="AB66" s="18">
        <f>IF($A66-10*$B$6&gt;=0,_xlfn.POISSON.DIST($A66-10*$B$6,$B$5,FALSE),0)</f>
        <v/>
      </c>
      <c r="AC66" s="18">
        <f>IF($A66-11*$B$6&gt;=0,_xlfn.POISSON.DIST($A66-11*$B$6,$B$5,FALSE),0)</f>
        <v/>
      </c>
      <c r="AD66" s="18">
        <f>IF($A66-12*$B$6&gt;=0,_xlfn.POISSON.DIST($A66-12*$B$6,$B$5,FALSE),0)</f>
        <v/>
      </c>
      <c r="AE66" s="18">
        <f>IF($A66-13*$B$6&gt;=0,_xlfn.POISSON.DIST($A66-13*$B$6,$B$5,FALSE),0)</f>
        <v/>
      </c>
      <c r="AF66" s="18">
        <f>IF($A66-14*$B$6&gt;=0,_xlfn.POISSON.DIST($A66-14*$B$6,$B$5,FALSE),0)</f>
        <v/>
      </c>
    </row>
    <row r="67">
      <c r="A67" s="10" t="n">
        <v>35</v>
      </c>
      <c r="B67" s="11">
        <f>SUMPRODUCT(R67:AF67,$R$29:$AF$29)</f>
        <v/>
      </c>
      <c r="C67" s="11">
        <f>C66+B67</f>
        <v/>
      </c>
      <c r="D67" s="11">
        <f>D66-(1-C66)</f>
        <v/>
      </c>
      <c r="E67" s="11">
        <f>E66-D67</f>
        <v/>
      </c>
      <c r="F67" s="11">
        <f>F66*($C$17+35-1)*(1-$C$16)/35</f>
        <v/>
      </c>
      <c r="G67" s="11">
        <f>G66+F67</f>
        <v/>
      </c>
      <c r="H67" s="11">
        <f>H66-(1-G66)</f>
        <v/>
      </c>
      <c r="I67" s="11">
        <f>I66-H67</f>
        <v/>
      </c>
      <c r="J67" s="11">
        <f>J66*($D$17+35-1)*(1-$D$16)/35</f>
        <v/>
      </c>
      <c r="K67" s="11">
        <f>K66+J67</f>
        <v/>
      </c>
      <c r="L67" s="11">
        <f>L66-(1-K66)</f>
        <v/>
      </c>
      <c r="M67" s="11">
        <f>M66-L67</f>
        <v/>
      </c>
      <c r="R67" s="18">
        <f>IF($A67-0*$B$6&gt;=0,_xlfn.POISSON.DIST($A67-0*$B$6,$B$5,FALSE),0)</f>
        <v/>
      </c>
      <c r="S67" s="18">
        <f>IF($A67-1*$B$6&gt;=0,_xlfn.POISSON.DIST($A67-1*$B$6,$B$5,FALSE),0)</f>
        <v/>
      </c>
      <c r="T67" s="18">
        <f>IF($A67-2*$B$6&gt;=0,_xlfn.POISSON.DIST($A67-2*$B$6,$B$5,FALSE),0)</f>
        <v/>
      </c>
      <c r="U67" s="18">
        <f>IF($A67-3*$B$6&gt;=0,_xlfn.POISSON.DIST($A67-3*$B$6,$B$5,FALSE),0)</f>
        <v/>
      </c>
      <c r="V67" s="18">
        <f>IF($A67-4*$B$6&gt;=0,_xlfn.POISSON.DIST($A67-4*$B$6,$B$5,FALSE),0)</f>
        <v/>
      </c>
      <c r="W67" s="18">
        <f>IF($A67-5*$B$6&gt;=0,_xlfn.POISSON.DIST($A67-5*$B$6,$B$5,FALSE),0)</f>
        <v/>
      </c>
      <c r="X67" s="18">
        <f>IF($A67-6*$B$6&gt;=0,_xlfn.POISSON.DIST($A67-6*$B$6,$B$5,FALSE),0)</f>
        <v/>
      </c>
      <c r="Y67" s="18">
        <f>IF($A67-7*$B$6&gt;=0,_xlfn.POISSON.DIST($A67-7*$B$6,$B$5,FALSE),0)</f>
        <v/>
      </c>
      <c r="Z67" s="18">
        <f>IF($A67-8*$B$6&gt;=0,_xlfn.POISSON.DIST($A67-8*$B$6,$B$5,FALSE),0)</f>
        <v/>
      </c>
      <c r="AA67" s="18">
        <f>IF($A67-9*$B$6&gt;=0,_xlfn.POISSON.DIST($A67-9*$B$6,$B$5,FALSE),0)</f>
        <v/>
      </c>
      <c r="AB67" s="18">
        <f>IF($A67-10*$B$6&gt;=0,_xlfn.POISSON.DIST($A67-10*$B$6,$B$5,FALSE),0)</f>
        <v/>
      </c>
      <c r="AC67" s="18">
        <f>IF($A67-11*$B$6&gt;=0,_xlfn.POISSON.DIST($A67-11*$B$6,$B$5,FALSE),0)</f>
        <v/>
      </c>
      <c r="AD67" s="18">
        <f>IF($A67-12*$B$6&gt;=0,_xlfn.POISSON.DIST($A67-12*$B$6,$B$5,FALSE),0)</f>
        <v/>
      </c>
      <c r="AE67" s="18">
        <f>IF($A67-13*$B$6&gt;=0,_xlfn.POISSON.DIST($A67-13*$B$6,$B$5,FALSE),0)</f>
        <v/>
      </c>
      <c r="AF67" s="18">
        <f>IF($A67-14*$B$6&gt;=0,_xlfn.POISSON.DIST($A67-14*$B$6,$B$5,FALSE),0)</f>
        <v/>
      </c>
    </row>
    <row r="68">
      <c r="A68" s="10" t="n">
        <v>36</v>
      </c>
      <c r="B68" s="11">
        <f>SUMPRODUCT(R68:AF68,$R$29:$AF$29)</f>
        <v/>
      </c>
      <c r="C68" s="11">
        <f>C67+B68</f>
        <v/>
      </c>
      <c r="D68" s="11">
        <f>D67-(1-C67)</f>
        <v/>
      </c>
      <c r="E68" s="11">
        <f>E67-D68</f>
        <v/>
      </c>
      <c r="F68" s="11">
        <f>F67*($C$17+36-1)*(1-$C$16)/36</f>
        <v/>
      </c>
      <c r="G68" s="11">
        <f>G67+F68</f>
        <v/>
      </c>
      <c r="H68" s="11">
        <f>H67-(1-G67)</f>
        <v/>
      </c>
      <c r="I68" s="11">
        <f>I67-H68</f>
        <v/>
      </c>
      <c r="J68" s="11">
        <f>J67*($D$17+36-1)*(1-$D$16)/36</f>
        <v/>
      </c>
      <c r="K68" s="11">
        <f>K67+J68</f>
        <v/>
      </c>
      <c r="L68" s="11">
        <f>L67-(1-K67)</f>
        <v/>
      </c>
      <c r="M68" s="11">
        <f>M67-L68</f>
        <v/>
      </c>
      <c r="R68" s="18">
        <f>IF($A68-0*$B$6&gt;=0,_xlfn.POISSON.DIST($A68-0*$B$6,$B$5,FALSE),0)</f>
        <v/>
      </c>
      <c r="S68" s="18">
        <f>IF($A68-1*$B$6&gt;=0,_xlfn.POISSON.DIST($A68-1*$B$6,$B$5,FALSE),0)</f>
        <v/>
      </c>
      <c r="T68" s="18">
        <f>IF($A68-2*$B$6&gt;=0,_xlfn.POISSON.DIST($A68-2*$B$6,$B$5,FALSE),0)</f>
        <v/>
      </c>
      <c r="U68" s="18">
        <f>IF($A68-3*$B$6&gt;=0,_xlfn.POISSON.DIST($A68-3*$B$6,$B$5,FALSE),0)</f>
        <v/>
      </c>
      <c r="V68" s="18">
        <f>IF($A68-4*$B$6&gt;=0,_xlfn.POISSON.DIST($A68-4*$B$6,$B$5,FALSE),0)</f>
        <v/>
      </c>
      <c r="W68" s="18">
        <f>IF($A68-5*$B$6&gt;=0,_xlfn.POISSON.DIST($A68-5*$B$6,$B$5,FALSE),0)</f>
        <v/>
      </c>
      <c r="X68" s="18">
        <f>IF($A68-6*$B$6&gt;=0,_xlfn.POISSON.DIST($A68-6*$B$6,$B$5,FALSE),0)</f>
        <v/>
      </c>
      <c r="Y68" s="18">
        <f>IF($A68-7*$B$6&gt;=0,_xlfn.POISSON.DIST($A68-7*$B$6,$B$5,FALSE),0)</f>
        <v/>
      </c>
      <c r="Z68" s="18">
        <f>IF($A68-8*$B$6&gt;=0,_xlfn.POISSON.DIST($A68-8*$B$6,$B$5,FALSE),0)</f>
        <v/>
      </c>
      <c r="AA68" s="18">
        <f>IF($A68-9*$B$6&gt;=0,_xlfn.POISSON.DIST($A68-9*$B$6,$B$5,FALSE),0)</f>
        <v/>
      </c>
      <c r="AB68" s="18">
        <f>IF($A68-10*$B$6&gt;=0,_xlfn.POISSON.DIST($A68-10*$B$6,$B$5,FALSE),0)</f>
        <v/>
      </c>
      <c r="AC68" s="18">
        <f>IF($A68-11*$B$6&gt;=0,_xlfn.POISSON.DIST($A68-11*$B$6,$B$5,FALSE),0)</f>
        <v/>
      </c>
      <c r="AD68" s="18">
        <f>IF($A68-12*$B$6&gt;=0,_xlfn.POISSON.DIST($A68-12*$B$6,$B$5,FALSE),0)</f>
        <v/>
      </c>
      <c r="AE68" s="18">
        <f>IF($A68-13*$B$6&gt;=0,_xlfn.POISSON.DIST($A68-13*$B$6,$B$5,FALSE),0)</f>
        <v/>
      </c>
      <c r="AF68" s="18">
        <f>IF($A68-14*$B$6&gt;=0,_xlfn.POISSON.DIST($A68-14*$B$6,$B$5,FALSE),0)</f>
        <v/>
      </c>
    </row>
    <row r="69">
      <c r="A69" s="10" t="n">
        <v>37</v>
      </c>
      <c r="B69" s="11">
        <f>SUMPRODUCT(R69:AF69,$R$29:$AF$29)</f>
        <v/>
      </c>
      <c r="C69" s="11">
        <f>C68+B69</f>
        <v/>
      </c>
      <c r="D69" s="11">
        <f>D68-(1-C68)</f>
        <v/>
      </c>
      <c r="E69" s="11">
        <f>E68-D69</f>
        <v/>
      </c>
      <c r="F69" s="11">
        <f>F68*($C$17+37-1)*(1-$C$16)/37</f>
        <v/>
      </c>
      <c r="G69" s="11">
        <f>G68+F69</f>
        <v/>
      </c>
      <c r="H69" s="11">
        <f>H68-(1-G68)</f>
        <v/>
      </c>
      <c r="I69" s="11">
        <f>I68-H69</f>
        <v/>
      </c>
      <c r="J69" s="11">
        <f>J68*($D$17+37-1)*(1-$D$16)/37</f>
        <v/>
      </c>
      <c r="K69" s="11">
        <f>K68+J69</f>
        <v/>
      </c>
      <c r="L69" s="11">
        <f>L68-(1-K68)</f>
        <v/>
      </c>
      <c r="M69" s="11">
        <f>M68-L69</f>
        <v/>
      </c>
      <c r="R69" s="18">
        <f>IF($A69-0*$B$6&gt;=0,_xlfn.POISSON.DIST($A69-0*$B$6,$B$5,FALSE),0)</f>
        <v/>
      </c>
      <c r="S69" s="18">
        <f>IF($A69-1*$B$6&gt;=0,_xlfn.POISSON.DIST($A69-1*$B$6,$B$5,FALSE),0)</f>
        <v/>
      </c>
      <c r="T69" s="18">
        <f>IF($A69-2*$B$6&gt;=0,_xlfn.POISSON.DIST($A69-2*$B$6,$B$5,FALSE),0)</f>
        <v/>
      </c>
      <c r="U69" s="18">
        <f>IF($A69-3*$B$6&gt;=0,_xlfn.POISSON.DIST($A69-3*$B$6,$B$5,FALSE),0)</f>
        <v/>
      </c>
      <c r="V69" s="18">
        <f>IF($A69-4*$B$6&gt;=0,_xlfn.POISSON.DIST($A69-4*$B$6,$B$5,FALSE),0)</f>
        <v/>
      </c>
      <c r="W69" s="18">
        <f>IF($A69-5*$B$6&gt;=0,_xlfn.POISSON.DIST($A69-5*$B$6,$B$5,FALSE),0)</f>
        <v/>
      </c>
      <c r="X69" s="18">
        <f>IF($A69-6*$B$6&gt;=0,_xlfn.POISSON.DIST($A69-6*$B$6,$B$5,FALSE),0)</f>
        <v/>
      </c>
      <c r="Y69" s="18">
        <f>IF($A69-7*$B$6&gt;=0,_xlfn.POISSON.DIST($A69-7*$B$6,$B$5,FALSE),0)</f>
        <v/>
      </c>
      <c r="Z69" s="18">
        <f>IF($A69-8*$B$6&gt;=0,_xlfn.POISSON.DIST($A69-8*$B$6,$B$5,FALSE),0)</f>
        <v/>
      </c>
      <c r="AA69" s="18">
        <f>IF($A69-9*$B$6&gt;=0,_xlfn.POISSON.DIST($A69-9*$B$6,$B$5,FALSE),0)</f>
        <v/>
      </c>
      <c r="AB69" s="18">
        <f>IF($A69-10*$B$6&gt;=0,_xlfn.POISSON.DIST($A69-10*$B$6,$B$5,FALSE),0)</f>
        <v/>
      </c>
      <c r="AC69" s="18">
        <f>IF($A69-11*$B$6&gt;=0,_xlfn.POISSON.DIST($A69-11*$B$6,$B$5,FALSE),0)</f>
        <v/>
      </c>
      <c r="AD69" s="18">
        <f>IF($A69-12*$B$6&gt;=0,_xlfn.POISSON.DIST($A69-12*$B$6,$B$5,FALSE),0)</f>
        <v/>
      </c>
      <c r="AE69" s="18">
        <f>IF($A69-13*$B$6&gt;=0,_xlfn.POISSON.DIST($A69-13*$B$6,$B$5,FALSE),0)</f>
        <v/>
      </c>
      <c r="AF69" s="18">
        <f>IF($A69-14*$B$6&gt;=0,_xlfn.POISSON.DIST($A69-14*$B$6,$B$5,FALSE),0)</f>
        <v/>
      </c>
    </row>
    <row r="70">
      <c r="A70" s="10" t="n">
        <v>38</v>
      </c>
      <c r="B70" s="11">
        <f>SUMPRODUCT(R70:AF70,$R$29:$AF$29)</f>
        <v/>
      </c>
      <c r="C70" s="11">
        <f>C69+B70</f>
        <v/>
      </c>
      <c r="D70" s="11">
        <f>D69-(1-C69)</f>
        <v/>
      </c>
      <c r="E70" s="11">
        <f>E69-D70</f>
        <v/>
      </c>
      <c r="F70" s="11">
        <f>F69*($C$17+38-1)*(1-$C$16)/38</f>
        <v/>
      </c>
      <c r="G70" s="11">
        <f>G69+F70</f>
        <v/>
      </c>
      <c r="H70" s="11">
        <f>H69-(1-G69)</f>
        <v/>
      </c>
      <c r="I70" s="11">
        <f>I69-H70</f>
        <v/>
      </c>
      <c r="J70" s="11">
        <f>J69*($D$17+38-1)*(1-$D$16)/38</f>
        <v/>
      </c>
      <c r="K70" s="11">
        <f>K69+J70</f>
        <v/>
      </c>
      <c r="L70" s="11">
        <f>L69-(1-K69)</f>
        <v/>
      </c>
      <c r="M70" s="11">
        <f>M69-L70</f>
        <v/>
      </c>
      <c r="R70" s="18">
        <f>IF($A70-0*$B$6&gt;=0,_xlfn.POISSON.DIST($A70-0*$B$6,$B$5,FALSE),0)</f>
        <v/>
      </c>
      <c r="S70" s="18">
        <f>IF($A70-1*$B$6&gt;=0,_xlfn.POISSON.DIST($A70-1*$B$6,$B$5,FALSE),0)</f>
        <v/>
      </c>
      <c r="T70" s="18">
        <f>IF($A70-2*$B$6&gt;=0,_xlfn.POISSON.DIST($A70-2*$B$6,$B$5,FALSE),0)</f>
        <v/>
      </c>
      <c r="U70" s="18">
        <f>IF($A70-3*$B$6&gt;=0,_xlfn.POISSON.DIST($A70-3*$B$6,$B$5,FALSE),0)</f>
        <v/>
      </c>
      <c r="V70" s="18">
        <f>IF($A70-4*$B$6&gt;=0,_xlfn.POISSON.DIST($A70-4*$B$6,$B$5,FALSE),0)</f>
        <v/>
      </c>
      <c r="W70" s="18">
        <f>IF($A70-5*$B$6&gt;=0,_xlfn.POISSON.DIST($A70-5*$B$6,$B$5,FALSE),0)</f>
        <v/>
      </c>
      <c r="X70" s="18">
        <f>IF($A70-6*$B$6&gt;=0,_xlfn.POISSON.DIST($A70-6*$B$6,$B$5,FALSE),0)</f>
        <v/>
      </c>
      <c r="Y70" s="18">
        <f>IF($A70-7*$B$6&gt;=0,_xlfn.POISSON.DIST($A70-7*$B$6,$B$5,FALSE),0)</f>
        <v/>
      </c>
      <c r="Z70" s="18">
        <f>IF($A70-8*$B$6&gt;=0,_xlfn.POISSON.DIST($A70-8*$B$6,$B$5,FALSE),0)</f>
        <v/>
      </c>
      <c r="AA70" s="18">
        <f>IF($A70-9*$B$6&gt;=0,_xlfn.POISSON.DIST($A70-9*$B$6,$B$5,FALSE),0)</f>
        <v/>
      </c>
      <c r="AB70" s="18">
        <f>IF($A70-10*$B$6&gt;=0,_xlfn.POISSON.DIST($A70-10*$B$6,$B$5,FALSE),0)</f>
        <v/>
      </c>
      <c r="AC70" s="18">
        <f>IF($A70-11*$B$6&gt;=0,_xlfn.POISSON.DIST($A70-11*$B$6,$B$5,FALSE),0)</f>
        <v/>
      </c>
      <c r="AD70" s="18">
        <f>IF($A70-12*$B$6&gt;=0,_xlfn.POISSON.DIST($A70-12*$B$6,$B$5,FALSE),0)</f>
        <v/>
      </c>
      <c r="AE70" s="18">
        <f>IF($A70-13*$B$6&gt;=0,_xlfn.POISSON.DIST($A70-13*$B$6,$B$5,FALSE),0)</f>
        <v/>
      </c>
      <c r="AF70" s="18">
        <f>IF($A70-14*$B$6&gt;=0,_xlfn.POISSON.DIST($A70-14*$B$6,$B$5,FALSE),0)</f>
        <v/>
      </c>
    </row>
    <row r="71">
      <c r="A71" s="10" t="n">
        <v>39</v>
      </c>
      <c r="B71" s="11">
        <f>SUMPRODUCT(R71:AF71,$R$29:$AF$29)</f>
        <v/>
      </c>
      <c r="C71" s="11">
        <f>C70+B71</f>
        <v/>
      </c>
      <c r="D71" s="11">
        <f>D70-(1-C70)</f>
        <v/>
      </c>
      <c r="E71" s="11">
        <f>E70-D71</f>
        <v/>
      </c>
      <c r="F71" s="11">
        <f>F70*($C$17+39-1)*(1-$C$16)/39</f>
        <v/>
      </c>
      <c r="G71" s="11">
        <f>G70+F71</f>
        <v/>
      </c>
      <c r="H71" s="11">
        <f>H70-(1-G70)</f>
        <v/>
      </c>
      <c r="I71" s="11">
        <f>I70-H71</f>
        <v/>
      </c>
      <c r="J71" s="11">
        <f>J70*($D$17+39-1)*(1-$D$16)/39</f>
        <v/>
      </c>
      <c r="K71" s="11">
        <f>K70+J71</f>
        <v/>
      </c>
      <c r="L71" s="11">
        <f>L70-(1-K70)</f>
        <v/>
      </c>
      <c r="M71" s="11">
        <f>M70-L71</f>
        <v/>
      </c>
      <c r="R71" s="18">
        <f>IF($A71-0*$B$6&gt;=0,_xlfn.POISSON.DIST($A71-0*$B$6,$B$5,FALSE),0)</f>
        <v/>
      </c>
      <c r="S71" s="18">
        <f>IF($A71-1*$B$6&gt;=0,_xlfn.POISSON.DIST($A71-1*$B$6,$B$5,FALSE),0)</f>
        <v/>
      </c>
      <c r="T71" s="18">
        <f>IF($A71-2*$B$6&gt;=0,_xlfn.POISSON.DIST($A71-2*$B$6,$B$5,FALSE),0)</f>
        <v/>
      </c>
      <c r="U71" s="18">
        <f>IF($A71-3*$B$6&gt;=0,_xlfn.POISSON.DIST($A71-3*$B$6,$B$5,FALSE),0)</f>
        <v/>
      </c>
      <c r="V71" s="18">
        <f>IF($A71-4*$B$6&gt;=0,_xlfn.POISSON.DIST($A71-4*$B$6,$B$5,FALSE),0)</f>
        <v/>
      </c>
      <c r="W71" s="18">
        <f>IF($A71-5*$B$6&gt;=0,_xlfn.POISSON.DIST($A71-5*$B$6,$B$5,FALSE),0)</f>
        <v/>
      </c>
      <c r="X71" s="18">
        <f>IF($A71-6*$B$6&gt;=0,_xlfn.POISSON.DIST($A71-6*$B$6,$B$5,FALSE),0)</f>
        <v/>
      </c>
      <c r="Y71" s="18">
        <f>IF($A71-7*$B$6&gt;=0,_xlfn.POISSON.DIST($A71-7*$B$6,$B$5,FALSE),0)</f>
        <v/>
      </c>
      <c r="Z71" s="18">
        <f>IF($A71-8*$B$6&gt;=0,_xlfn.POISSON.DIST($A71-8*$B$6,$B$5,FALSE),0)</f>
        <v/>
      </c>
      <c r="AA71" s="18">
        <f>IF($A71-9*$B$6&gt;=0,_xlfn.POISSON.DIST($A71-9*$B$6,$B$5,FALSE),0)</f>
        <v/>
      </c>
      <c r="AB71" s="18">
        <f>IF($A71-10*$B$6&gt;=0,_xlfn.POISSON.DIST($A71-10*$B$6,$B$5,FALSE),0)</f>
        <v/>
      </c>
      <c r="AC71" s="18">
        <f>IF($A71-11*$B$6&gt;=0,_xlfn.POISSON.DIST($A71-11*$B$6,$B$5,FALSE),0)</f>
        <v/>
      </c>
      <c r="AD71" s="18">
        <f>IF($A71-12*$B$6&gt;=0,_xlfn.POISSON.DIST($A71-12*$B$6,$B$5,FALSE),0)</f>
        <v/>
      </c>
      <c r="AE71" s="18">
        <f>IF($A71-13*$B$6&gt;=0,_xlfn.POISSON.DIST($A71-13*$B$6,$B$5,FALSE),0)</f>
        <v/>
      </c>
      <c r="AF71" s="18">
        <f>IF($A71-14*$B$6&gt;=0,_xlfn.POISSON.DIST($A71-14*$B$6,$B$5,FALSE),0)</f>
        <v/>
      </c>
    </row>
    <row r="72">
      <c r="A72" s="10" t="n">
        <v>40</v>
      </c>
      <c r="B72" s="11">
        <f>SUMPRODUCT(R72:AF72,$R$29:$AF$29)</f>
        <v/>
      </c>
      <c r="C72" s="11">
        <f>C71+B72</f>
        <v/>
      </c>
      <c r="D72" s="11">
        <f>D71-(1-C71)</f>
        <v/>
      </c>
      <c r="E72" s="11">
        <f>E71-D72</f>
        <v/>
      </c>
      <c r="F72" s="11">
        <f>F71*($C$17+40-1)*(1-$C$16)/40</f>
        <v/>
      </c>
      <c r="G72" s="11">
        <f>G71+F72</f>
        <v/>
      </c>
      <c r="H72" s="11">
        <f>H71-(1-G71)</f>
        <v/>
      </c>
      <c r="I72" s="11">
        <f>I71-H72</f>
        <v/>
      </c>
      <c r="J72" s="11">
        <f>J71*($D$17+40-1)*(1-$D$16)/40</f>
        <v/>
      </c>
      <c r="K72" s="11">
        <f>K71+J72</f>
        <v/>
      </c>
      <c r="L72" s="11">
        <f>L71-(1-K71)</f>
        <v/>
      </c>
      <c r="M72" s="11">
        <f>M71-L72</f>
        <v/>
      </c>
      <c r="R72" s="18">
        <f>IF($A72-0*$B$6&gt;=0,_xlfn.POISSON.DIST($A72-0*$B$6,$B$5,FALSE),0)</f>
        <v/>
      </c>
      <c r="S72" s="18">
        <f>IF($A72-1*$B$6&gt;=0,_xlfn.POISSON.DIST($A72-1*$B$6,$B$5,FALSE),0)</f>
        <v/>
      </c>
      <c r="T72" s="18">
        <f>IF($A72-2*$B$6&gt;=0,_xlfn.POISSON.DIST($A72-2*$B$6,$B$5,FALSE),0)</f>
        <v/>
      </c>
      <c r="U72" s="18">
        <f>IF($A72-3*$B$6&gt;=0,_xlfn.POISSON.DIST($A72-3*$B$6,$B$5,FALSE),0)</f>
        <v/>
      </c>
      <c r="V72" s="18">
        <f>IF($A72-4*$B$6&gt;=0,_xlfn.POISSON.DIST($A72-4*$B$6,$B$5,FALSE),0)</f>
        <v/>
      </c>
      <c r="W72" s="18">
        <f>IF($A72-5*$B$6&gt;=0,_xlfn.POISSON.DIST($A72-5*$B$6,$B$5,FALSE),0)</f>
        <v/>
      </c>
      <c r="X72" s="18">
        <f>IF($A72-6*$B$6&gt;=0,_xlfn.POISSON.DIST($A72-6*$B$6,$B$5,FALSE),0)</f>
        <v/>
      </c>
      <c r="Y72" s="18">
        <f>IF($A72-7*$B$6&gt;=0,_xlfn.POISSON.DIST($A72-7*$B$6,$B$5,FALSE),0)</f>
        <v/>
      </c>
      <c r="Z72" s="18">
        <f>IF($A72-8*$B$6&gt;=0,_xlfn.POISSON.DIST($A72-8*$B$6,$B$5,FALSE),0)</f>
        <v/>
      </c>
      <c r="AA72" s="18">
        <f>IF($A72-9*$B$6&gt;=0,_xlfn.POISSON.DIST($A72-9*$B$6,$B$5,FALSE),0)</f>
        <v/>
      </c>
      <c r="AB72" s="18">
        <f>IF($A72-10*$B$6&gt;=0,_xlfn.POISSON.DIST($A72-10*$B$6,$B$5,FALSE),0)</f>
        <v/>
      </c>
      <c r="AC72" s="18">
        <f>IF($A72-11*$B$6&gt;=0,_xlfn.POISSON.DIST($A72-11*$B$6,$B$5,FALSE),0)</f>
        <v/>
      </c>
      <c r="AD72" s="18">
        <f>IF($A72-12*$B$6&gt;=0,_xlfn.POISSON.DIST($A72-12*$B$6,$B$5,FALSE),0)</f>
        <v/>
      </c>
      <c r="AE72" s="18">
        <f>IF($A72-13*$B$6&gt;=0,_xlfn.POISSON.DIST($A72-13*$B$6,$B$5,FALSE),0)</f>
        <v/>
      </c>
      <c r="AF72" s="18">
        <f>IF($A72-14*$B$6&gt;=0,_xlfn.POISSON.DIST($A72-14*$B$6,$B$5,FALSE),0)</f>
        <v/>
      </c>
    </row>
    <row r="73">
      <c r="A73" s="10" t="n">
        <v>41</v>
      </c>
      <c r="B73" s="11">
        <f>SUMPRODUCT(R73:AF73,$R$29:$AF$29)</f>
        <v/>
      </c>
      <c r="C73" s="11">
        <f>C72+B73</f>
        <v/>
      </c>
      <c r="D73" s="11">
        <f>D72-(1-C72)</f>
        <v/>
      </c>
      <c r="E73" s="11">
        <f>E72-D73</f>
        <v/>
      </c>
      <c r="F73" s="11">
        <f>F72*($C$17+41-1)*(1-$C$16)/41</f>
        <v/>
      </c>
      <c r="G73" s="11">
        <f>G72+F73</f>
        <v/>
      </c>
      <c r="H73" s="11">
        <f>H72-(1-G72)</f>
        <v/>
      </c>
      <c r="I73" s="11">
        <f>I72-H73</f>
        <v/>
      </c>
      <c r="J73" s="11">
        <f>J72*($D$17+41-1)*(1-$D$16)/41</f>
        <v/>
      </c>
      <c r="K73" s="11">
        <f>K72+J73</f>
        <v/>
      </c>
      <c r="L73" s="11">
        <f>L72-(1-K72)</f>
        <v/>
      </c>
      <c r="M73" s="11">
        <f>M72-L73</f>
        <v/>
      </c>
      <c r="R73" s="18">
        <f>IF($A73-0*$B$6&gt;=0,_xlfn.POISSON.DIST($A73-0*$B$6,$B$5,FALSE),0)</f>
        <v/>
      </c>
      <c r="S73" s="18">
        <f>IF($A73-1*$B$6&gt;=0,_xlfn.POISSON.DIST($A73-1*$B$6,$B$5,FALSE),0)</f>
        <v/>
      </c>
      <c r="T73" s="18">
        <f>IF($A73-2*$B$6&gt;=0,_xlfn.POISSON.DIST($A73-2*$B$6,$B$5,FALSE),0)</f>
        <v/>
      </c>
      <c r="U73" s="18">
        <f>IF($A73-3*$B$6&gt;=0,_xlfn.POISSON.DIST($A73-3*$B$6,$B$5,FALSE),0)</f>
        <v/>
      </c>
      <c r="V73" s="18">
        <f>IF($A73-4*$B$6&gt;=0,_xlfn.POISSON.DIST($A73-4*$B$6,$B$5,FALSE),0)</f>
        <v/>
      </c>
      <c r="W73" s="18">
        <f>IF($A73-5*$B$6&gt;=0,_xlfn.POISSON.DIST($A73-5*$B$6,$B$5,FALSE),0)</f>
        <v/>
      </c>
      <c r="X73" s="18">
        <f>IF($A73-6*$B$6&gt;=0,_xlfn.POISSON.DIST($A73-6*$B$6,$B$5,FALSE),0)</f>
        <v/>
      </c>
      <c r="Y73" s="18">
        <f>IF($A73-7*$B$6&gt;=0,_xlfn.POISSON.DIST($A73-7*$B$6,$B$5,FALSE),0)</f>
        <v/>
      </c>
      <c r="Z73" s="18">
        <f>IF($A73-8*$B$6&gt;=0,_xlfn.POISSON.DIST($A73-8*$B$6,$B$5,FALSE),0)</f>
        <v/>
      </c>
      <c r="AA73" s="18">
        <f>IF($A73-9*$B$6&gt;=0,_xlfn.POISSON.DIST($A73-9*$B$6,$B$5,FALSE),0)</f>
        <v/>
      </c>
      <c r="AB73" s="18">
        <f>IF($A73-10*$B$6&gt;=0,_xlfn.POISSON.DIST($A73-10*$B$6,$B$5,FALSE),0)</f>
        <v/>
      </c>
      <c r="AC73" s="18">
        <f>IF($A73-11*$B$6&gt;=0,_xlfn.POISSON.DIST($A73-11*$B$6,$B$5,FALSE),0)</f>
        <v/>
      </c>
      <c r="AD73" s="18">
        <f>IF($A73-12*$B$6&gt;=0,_xlfn.POISSON.DIST($A73-12*$B$6,$B$5,FALSE),0)</f>
        <v/>
      </c>
      <c r="AE73" s="18">
        <f>IF($A73-13*$B$6&gt;=0,_xlfn.POISSON.DIST($A73-13*$B$6,$B$5,FALSE),0)</f>
        <v/>
      </c>
      <c r="AF73" s="18">
        <f>IF($A73-14*$B$6&gt;=0,_xlfn.POISSON.DIST($A73-14*$B$6,$B$5,FALSE),0)</f>
        <v/>
      </c>
    </row>
    <row r="74">
      <c r="A74" s="10" t="n">
        <v>42</v>
      </c>
      <c r="B74" s="11">
        <f>SUMPRODUCT(R74:AF74,$R$29:$AF$29)</f>
        <v/>
      </c>
      <c r="C74" s="11">
        <f>C73+B74</f>
        <v/>
      </c>
      <c r="D74" s="11">
        <f>D73-(1-C73)</f>
        <v/>
      </c>
      <c r="E74" s="11">
        <f>E73-D74</f>
        <v/>
      </c>
      <c r="F74" s="11">
        <f>F73*($C$17+42-1)*(1-$C$16)/42</f>
        <v/>
      </c>
      <c r="G74" s="11">
        <f>G73+F74</f>
        <v/>
      </c>
      <c r="H74" s="11">
        <f>H73-(1-G73)</f>
        <v/>
      </c>
      <c r="I74" s="11">
        <f>I73-H74</f>
        <v/>
      </c>
      <c r="J74" s="11">
        <f>J73*($D$17+42-1)*(1-$D$16)/42</f>
        <v/>
      </c>
      <c r="K74" s="11">
        <f>K73+J74</f>
        <v/>
      </c>
      <c r="L74" s="11">
        <f>L73-(1-K73)</f>
        <v/>
      </c>
      <c r="M74" s="11">
        <f>M73-L74</f>
        <v/>
      </c>
      <c r="R74" s="18">
        <f>IF($A74-0*$B$6&gt;=0,_xlfn.POISSON.DIST($A74-0*$B$6,$B$5,FALSE),0)</f>
        <v/>
      </c>
      <c r="S74" s="18">
        <f>IF($A74-1*$B$6&gt;=0,_xlfn.POISSON.DIST($A74-1*$B$6,$B$5,FALSE),0)</f>
        <v/>
      </c>
      <c r="T74" s="18">
        <f>IF($A74-2*$B$6&gt;=0,_xlfn.POISSON.DIST($A74-2*$B$6,$B$5,FALSE),0)</f>
        <v/>
      </c>
      <c r="U74" s="18">
        <f>IF($A74-3*$B$6&gt;=0,_xlfn.POISSON.DIST($A74-3*$B$6,$B$5,FALSE),0)</f>
        <v/>
      </c>
      <c r="V74" s="18">
        <f>IF($A74-4*$B$6&gt;=0,_xlfn.POISSON.DIST($A74-4*$B$6,$B$5,FALSE),0)</f>
        <v/>
      </c>
      <c r="W74" s="18">
        <f>IF($A74-5*$B$6&gt;=0,_xlfn.POISSON.DIST($A74-5*$B$6,$B$5,FALSE),0)</f>
        <v/>
      </c>
      <c r="X74" s="18">
        <f>IF($A74-6*$B$6&gt;=0,_xlfn.POISSON.DIST($A74-6*$B$6,$B$5,FALSE),0)</f>
        <v/>
      </c>
      <c r="Y74" s="18">
        <f>IF($A74-7*$B$6&gt;=0,_xlfn.POISSON.DIST($A74-7*$B$6,$B$5,FALSE),0)</f>
        <v/>
      </c>
      <c r="Z74" s="18">
        <f>IF($A74-8*$B$6&gt;=0,_xlfn.POISSON.DIST($A74-8*$B$6,$B$5,FALSE),0)</f>
        <v/>
      </c>
      <c r="AA74" s="18">
        <f>IF($A74-9*$B$6&gt;=0,_xlfn.POISSON.DIST($A74-9*$B$6,$B$5,FALSE),0)</f>
        <v/>
      </c>
      <c r="AB74" s="18">
        <f>IF($A74-10*$B$6&gt;=0,_xlfn.POISSON.DIST($A74-10*$B$6,$B$5,FALSE),0)</f>
        <v/>
      </c>
      <c r="AC74" s="18">
        <f>IF($A74-11*$B$6&gt;=0,_xlfn.POISSON.DIST($A74-11*$B$6,$B$5,FALSE),0)</f>
        <v/>
      </c>
      <c r="AD74" s="18">
        <f>IF($A74-12*$B$6&gt;=0,_xlfn.POISSON.DIST($A74-12*$B$6,$B$5,FALSE),0)</f>
        <v/>
      </c>
      <c r="AE74" s="18">
        <f>IF($A74-13*$B$6&gt;=0,_xlfn.POISSON.DIST($A74-13*$B$6,$B$5,FALSE),0)</f>
        <v/>
      </c>
      <c r="AF74" s="18">
        <f>IF($A74-14*$B$6&gt;=0,_xlfn.POISSON.DIST($A74-14*$B$6,$B$5,FALSE),0)</f>
        <v/>
      </c>
    </row>
    <row r="75">
      <c r="A75" s="10" t="n">
        <v>43</v>
      </c>
      <c r="B75" s="11">
        <f>SUMPRODUCT(R75:AF75,$R$29:$AF$29)</f>
        <v/>
      </c>
      <c r="C75" s="11">
        <f>C74+B75</f>
        <v/>
      </c>
      <c r="D75" s="11">
        <f>D74-(1-C74)</f>
        <v/>
      </c>
      <c r="E75" s="11">
        <f>E74-D75</f>
        <v/>
      </c>
      <c r="F75" s="11">
        <f>F74*($C$17+43-1)*(1-$C$16)/43</f>
        <v/>
      </c>
      <c r="G75" s="11">
        <f>G74+F75</f>
        <v/>
      </c>
      <c r="H75" s="11">
        <f>H74-(1-G74)</f>
        <v/>
      </c>
      <c r="I75" s="11">
        <f>I74-H75</f>
        <v/>
      </c>
      <c r="J75" s="11">
        <f>J74*($D$17+43-1)*(1-$D$16)/43</f>
        <v/>
      </c>
      <c r="K75" s="11">
        <f>K74+J75</f>
        <v/>
      </c>
      <c r="L75" s="11">
        <f>L74-(1-K74)</f>
        <v/>
      </c>
      <c r="M75" s="11">
        <f>M74-L75</f>
        <v/>
      </c>
      <c r="R75" s="18">
        <f>IF($A75-0*$B$6&gt;=0,_xlfn.POISSON.DIST($A75-0*$B$6,$B$5,FALSE),0)</f>
        <v/>
      </c>
      <c r="S75" s="18">
        <f>IF($A75-1*$B$6&gt;=0,_xlfn.POISSON.DIST($A75-1*$B$6,$B$5,FALSE),0)</f>
        <v/>
      </c>
      <c r="T75" s="18">
        <f>IF($A75-2*$B$6&gt;=0,_xlfn.POISSON.DIST($A75-2*$B$6,$B$5,FALSE),0)</f>
        <v/>
      </c>
      <c r="U75" s="18">
        <f>IF($A75-3*$B$6&gt;=0,_xlfn.POISSON.DIST($A75-3*$B$6,$B$5,FALSE),0)</f>
        <v/>
      </c>
      <c r="V75" s="18">
        <f>IF($A75-4*$B$6&gt;=0,_xlfn.POISSON.DIST($A75-4*$B$6,$B$5,FALSE),0)</f>
        <v/>
      </c>
      <c r="W75" s="18">
        <f>IF($A75-5*$B$6&gt;=0,_xlfn.POISSON.DIST($A75-5*$B$6,$B$5,FALSE),0)</f>
        <v/>
      </c>
      <c r="X75" s="18">
        <f>IF($A75-6*$B$6&gt;=0,_xlfn.POISSON.DIST($A75-6*$B$6,$B$5,FALSE),0)</f>
        <v/>
      </c>
      <c r="Y75" s="18">
        <f>IF($A75-7*$B$6&gt;=0,_xlfn.POISSON.DIST($A75-7*$B$6,$B$5,FALSE),0)</f>
        <v/>
      </c>
      <c r="Z75" s="18">
        <f>IF($A75-8*$B$6&gt;=0,_xlfn.POISSON.DIST($A75-8*$B$6,$B$5,FALSE),0)</f>
        <v/>
      </c>
      <c r="AA75" s="18">
        <f>IF($A75-9*$B$6&gt;=0,_xlfn.POISSON.DIST($A75-9*$B$6,$B$5,FALSE),0)</f>
        <v/>
      </c>
      <c r="AB75" s="18">
        <f>IF($A75-10*$B$6&gt;=0,_xlfn.POISSON.DIST($A75-10*$B$6,$B$5,FALSE),0)</f>
        <v/>
      </c>
      <c r="AC75" s="18">
        <f>IF($A75-11*$B$6&gt;=0,_xlfn.POISSON.DIST($A75-11*$B$6,$B$5,FALSE),0)</f>
        <v/>
      </c>
      <c r="AD75" s="18">
        <f>IF($A75-12*$B$6&gt;=0,_xlfn.POISSON.DIST($A75-12*$B$6,$B$5,FALSE),0)</f>
        <v/>
      </c>
      <c r="AE75" s="18">
        <f>IF($A75-13*$B$6&gt;=0,_xlfn.POISSON.DIST($A75-13*$B$6,$B$5,FALSE),0)</f>
        <v/>
      </c>
      <c r="AF75" s="18">
        <f>IF($A75-14*$B$6&gt;=0,_xlfn.POISSON.DIST($A75-14*$B$6,$B$5,FALSE),0)</f>
        <v/>
      </c>
    </row>
    <row r="76">
      <c r="A76" s="10" t="n">
        <v>44</v>
      </c>
      <c r="B76" s="11">
        <f>SUMPRODUCT(R76:AF76,$R$29:$AF$29)</f>
        <v/>
      </c>
      <c r="C76" s="11">
        <f>C75+B76</f>
        <v/>
      </c>
      <c r="D76" s="11">
        <f>D75-(1-C75)</f>
        <v/>
      </c>
      <c r="E76" s="11">
        <f>E75-D76</f>
        <v/>
      </c>
      <c r="F76" s="11">
        <f>F75*($C$17+44-1)*(1-$C$16)/44</f>
        <v/>
      </c>
      <c r="G76" s="11">
        <f>G75+F76</f>
        <v/>
      </c>
      <c r="H76" s="11">
        <f>H75-(1-G75)</f>
        <v/>
      </c>
      <c r="I76" s="11">
        <f>I75-H76</f>
        <v/>
      </c>
      <c r="J76" s="11">
        <f>J75*($D$17+44-1)*(1-$D$16)/44</f>
        <v/>
      </c>
      <c r="K76" s="11">
        <f>K75+J76</f>
        <v/>
      </c>
      <c r="L76" s="11">
        <f>L75-(1-K75)</f>
        <v/>
      </c>
      <c r="M76" s="11">
        <f>M75-L76</f>
        <v/>
      </c>
      <c r="R76" s="18">
        <f>IF($A76-0*$B$6&gt;=0,_xlfn.POISSON.DIST($A76-0*$B$6,$B$5,FALSE),0)</f>
        <v/>
      </c>
      <c r="S76" s="18">
        <f>IF($A76-1*$B$6&gt;=0,_xlfn.POISSON.DIST($A76-1*$B$6,$B$5,FALSE),0)</f>
        <v/>
      </c>
      <c r="T76" s="18">
        <f>IF($A76-2*$B$6&gt;=0,_xlfn.POISSON.DIST($A76-2*$B$6,$B$5,FALSE),0)</f>
        <v/>
      </c>
      <c r="U76" s="18">
        <f>IF($A76-3*$B$6&gt;=0,_xlfn.POISSON.DIST($A76-3*$B$6,$B$5,FALSE),0)</f>
        <v/>
      </c>
      <c r="V76" s="18">
        <f>IF($A76-4*$B$6&gt;=0,_xlfn.POISSON.DIST($A76-4*$B$6,$B$5,FALSE),0)</f>
        <v/>
      </c>
      <c r="W76" s="18">
        <f>IF($A76-5*$B$6&gt;=0,_xlfn.POISSON.DIST($A76-5*$B$6,$B$5,FALSE),0)</f>
        <v/>
      </c>
      <c r="X76" s="18">
        <f>IF($A76-6*$B$6&gt;=0,_xlfn.POISSON.DIST($A76-6*$B$6,$B$5,FALSE),0)</f>
        <v/>
      </c>
      <c r="Y76" s="18">
        <f>IF($A76-7*$B$6&gt;=0,_xlfn.POISSON.DIST($A76-7*$B$6,$B$5,FALSE),0)</f>
        <v/>
      </c>
      <c r="Z76" s="18">
        <f>IF($A76-8*$B$6&gt;=0,_xlfn.POISSON.DIST($A76-8*$B$6,$B$5,FALSE),0)</f>
        <v/>
      </c>
      <c r="AA76" s="18">
        <f>IF($A76-9*$B$6&gt;=0,_xlfn.POISSON.DIST($A76-9*$B$6,$B$5,FALSE),0)</f>
        <v/>
      </c>
      <c r="AB76" s="18">
        <f>IF($A76-10*$B$6&gt;=0,_xlfn.POISSON.DIST($A76-10*$B$6,$B$5,FALSE),0)</f>
        <v/>
      </c>
      <c r="AC76" s="18">
        <f>IF($A76-11*$B$6&gt;=0,_xlfn.POISSON.DIST($A76-11*$B$6,$B$5,FALSE),0)</f>
        <v/>
      </c>
      <c r="AD76" s="18">
        <f>IF($A76-12*$B$6&gt;=0,_xlfn.POISSON.DIST($A76-12*$B$6,$B$5,FALSE),0)</f>
        <v/>
      </c>
      <c r="AE76" s="18">
        <f>IF($A76-13*$B$6&gt;=0,_xlfn.POISSON.DIST($A76-13*$B$6,$B$5,FALSE),0)</f>
        <v/>
      </c>
      <c r="AF76" s="18">
        <f>IF($A76-14*$B$6&gt;=0,_xlfn.POISSON.DIST($A76-14*$B$6,$B$5,FALSE),0)</f>
        <v/>
      </c>
    </row>
    <row r="77">
      <c r="A77" s="10" t="n">
        <v>45</v>
      </c>
      <c r="B77" s="11">
        <f>SUMPRODUCT(R77:AF77,$R$29:$AF$29)</f>
        <v/>
      </c>
      <c r="C77" s="11">
        <f>C76+B77</f>
        <v/>
      </c>
      <c r="D77" s="11">
        <f>D76-(1-C76)</f>
        <v/>
      </c>
      <c r="E77" s="11">
        <f>E76-D77</f>
        <v/>
      </c>
      <c r="F77" s="11">
        <f>F76*($C$17+45-1)*(1-$C$16)/45</f>
        <v/>
      </c>
      <c r="G77" s="11">
        <f>G76+F77</f>
        <v/>
      </c>
      <c r="H77" s="11">
        <f>H76-(1-G76)</f>
        <v/>
      </c>
      <c r="I77" s="11">
        <f>I76-H77</f>
        <v/>
      </c>
      <c r="J77" s="11">
        <f>J76*($D$17+45-1)*(1-$D$16)/45</f>
        <v/>
      </c>
      <c r="K77" s="11">
        <f>K76+J77</f>
        <v/>
      </c>
      <c r="L77" s="11">
        <f>L76-(1-K76)</f>
        <v/>
      </c>
      <c r="M77" s="11">
        <f>M76-L77</f>
        <v/>
      </c>
      <c r="R77" s="18">
        <f>IF($A77-0*$B$6&gt;=0,_xlfn.POISSON.DIST($A77-0*$B$6,$B$5,FALSE),0)</f>
        <v/>
      </c>
      <c r="S77" s="18">
        <f>IF($A77-1*$B$6&gt;=0,_xlfn.POISSON.DIST($A77-1*$B$6,$B$5,FALSE),0)</f>
        <v/>
      </c>
      <c r="T77" s="18">
        <f>IF($A77-2*$B$6&gt;=0,_xlfn.POISSON.DIST($A77-2*$B$6,$B$5,FALSE),0)</f>
        <v/>
      </c>
      <c r="U77" s="18">
        <f>IF($A77-3*$B$6&gt;=0,_xlfn.POISSON.DIST($A77-3*$B$6,$B$5,FALSE),0)</f>
        <v/>
      </c>
      <c r="V77" s="18">
        <f>IF($A77-4*$B$6&gt;=0,_xlfn.POISSON.DIST($A77-4*$B$6,$B$5,FALSE),0)</f>
        <v/>
      </c>
      <c r="W77" s="18">
        <f>IF($A77-5*$B$6&gt;=0,_xlfn.POISSON.DIST($A77-5*$B$6,$B$5,FALSE),0)</f>
        <v/>
      </c>
      <c r="X77" s="18">
        <f>IF($A77-6*$B$6&gt;=0,_xlfn.POISSON.DIST($A77-6*$B$6,$B$5,FALSE),0)</f>
        <v/>
      </c>
      <c r="Y77" s="18">
        <f>IF($A77-7*$B$6&gt;=0,_xlfn.POISSON.DIST($A77-7*$B$6,$B$5,FALSE),0)</f>
        <v/>
      </c>
      <c r="Z77" s="18">
        <f>IF($A77-8*$B$6&gt;=0,_xlfn.POISSON.DIST($A77-8*$B$6,$B$5,FALSE),0)</f>
        <v/>
      </c>
      <c r="AA77" s="18">
        <f>IF($A77-9*$B$6&gt;=0,_xlfn.POISSON.DIST($A77-9*$B$6,$B$5,FALSE),0)</f>
        <v/>
      </c>
      <c r="AB77" s="18">
        <f>IF($A77-10*$B$6&gt;=0,_xlfn.POISSON.DIST($A77-10*$B$6,$B$5,FALSE),0)</f>
        <v/>
      </c>
      <c r="AC77" s="18">
        <f>IF($A77-11*$B$6&gt;=0,_xlfn.POISSON.DIST($A77-11*$B$6,$B$5,FALSE),0)</f>
        <v/>
      </c>
      <c r="AD77" s="18">
        <f>IF($A77-12*$B$6&gt;=0,_xlfn.POISSON.DIST($A77-12*$B$6,$B$5,FALSE),0)</f>
        <v/>
      </c>
      <c r="AE77" s="18">
        <f>IF($A77-13*$B$6&gt;=0,_xlfn.POISSON.DIST($A77-13*$B$6,$B$5,FALSE),0)</f>
        <v/>
      </c>
      <c r="AF77" s="18">
        <f>IF($A77-14*$B$6&gt;=0,_xlfn.POISSON.DIST($A77-14*$B$6,$B$5,FALSE),0)</f>
        <v/>
      </c>
    </row>
    <row r="78">
      <c r="A78" s="10" t="n">
        <v>46</v>
      </c>
      <c r="B78" s="11">
        <f>SUMPRODUCT(R78:AF78,$R$29:$AF$29)</f>
        <v/>
      </c>
      <c r="C78" s="11">
        <f>C77+B78</f>
        <v/>
      </c>
      <c r="D78" s="11">
        <f>D77-(1-C77)</f>
        <v/>
      </c>
      <c r="E78" s="11">
        <f>E77-D78</f>
        <v/>
      </c>
      <c r="F78" s="11">
        <f>F77*($C$17+46-1)*(1-$C$16)/46</f>
        <v/>
      </c>
      <c r="G78" s="11">
        <f>G77+F78</f>
        <v/>
      </c>
      <c r="H78" s="11">
        <f>H77-(1-G77)</f>
        <v/>
      </c>
      <c r="I78" s="11">
        <f>I77-H78</f>
        <v/>
      </c>
      <c r="J78" s="11">
        <f>J77*($D$17+46-1)*(1-$D$16)/46</f>
        <v/>
      </c>
      <c r="K78" s="11">
        <f>K77+J78</f>
        <v/>
      </c>
      <c r="L78" s="11">
        <f>L77-(1-K77)</f>
        <v/>
      </c>
      <c r="M78" s="11">
        <f>M77-L78</f>
        <v/>
      </c>
      <c r="R78" s="18">
        <f>IF($A78-0*$B$6&gt;=0,_xlfn.POISSON.DIST($A78-0*$B$6,$B$5,FALSE),0)</f>
        <v/>
      </c>
      <c r="S78" s="18">
        <f>IF($A78-1*$B$6&gt;=0,_xlfn.POISSON.DIST($A78-1*$B$6,$B$5,FALSE),0)</f>
        <v/>
      </c>
      <c r="T78" s="18">
        <f>IF($A78-2*$B$6&gt;=0,_xlfn.POISSON.DIST($A78-2*$B$6,$B$5,FALSE),0)</f>
        <v/>
      </c>
      <c r="U78" s="18">
        <f>IF($A78-3*$B$6&gt;=0,_xlfn.POISSON.DIST($A78-3*$B$6,$B$5,FALSE),0)</f>
        <v/>
      </c>
      <c r="V78" s="18">
        <f>IF($A78-4*$B$6&gt;=0,_xlfn.POISSON.DIST($A78-4*$B$6,$B$5,FALSE),0)</f>
        <v/>
      </c>
      <c r="W78" s="18">
        <f>IF($A78-5*$B$6&gt;=0,_xlfn.POISSON.DIST($A78-5*$B$6,$B$5,FALSE),0)</f>
        <v/>
      </c>
      <c r="X78" s="18">
        <f>IF($A78-6*$B$6&gt;=0,_xlfn.POISSON.DIST($A78-6*$B$6,$B$5,FALSE),0)</f>
        <v/>
      </c>
      <c r="Y78" s="18">
        <f>IF($A78-7*$B$6&gt;=0,_xlfn.POISSON.DIST($A78-7*$B$6,$B$5,FALSE),0)</f>
        <v/>
      </c>
      <c r="Z78" s="18">
        <f>IF($A78-8*$B$6&gt;=0,_xlfn.POISSON.DIST($A78-8*$B$6,$B$5,FALSE),0)</f>
        <v/>
      </c>
      <c r="AA78" s="18">
        <f>IF($A78-9*$B$6&gt;=0,_xlfn.POISSON.DIST($A78-9*$B$6,$B$5,FALSE),0)</f>
        <v/>
      </c>
      <c r="AB78" s="18">
        <f>IF($A78-10*$B$6&gt;=0,_xlfn.POISSON.DIST($A78-10*$B$6,$B$5,FALSE),0)</f>
        <v/>
      </c>
      <c r="AC78" s="18">
        <f>IF($A78-11*$B$6&gt;=0,_xlfn.POISSON.DIST($A78-11*$B$6,$B$5,FALSE),0)</f>
        <v/>
      </c>
      <c r="AD78" s="18">
        <f>IF($A78-12*$B$6&gt;=0,_xlfn.POISSON.DIST($A78-12*$B$6,$B$5,FALSE),0)</f>
        <v/>
      </c>
      <c r="AE78" s="18">
        <f>IF($A78-13*$B$6&gt;=0,_xlfn.POISSON.DIST($A78-13*$B$6,$B$5,FALSE),0)</f>
        <v/>
      </c>
      <c r="AF78" s="18">
        <f>IF($A78-14*$B$6&gt;=0,_xlfn.POISSON.DIST($A78-14*$B$6,$B$5,FALSE),0)</f>
        <v/>
      </c>
    </row>
    <row r="79">
      <c r="A79" s="10" t="n">
        <v>47</v>
      </c>
      <c r="B79" s="11">
        <f>SUMPRODUCT(R79:AF79,$R$29:$AF$29)</f>
        <v/>
      </c>
      <c r="C79" s="11">
        <f>C78+B79</f>
        <v/>
      </c>
      <c r="D79" s="11">
        <f>D78-(1-C78)</f>
        <v/>
      </c>
      <c r="E79" s="11">
        <f>E78-D79</f>
        <v/>
      </c>
      <c r="F79" s="11">
        <f>F78*($C$17+47-1)*(1-$C$16)/47</f>
        <v/>
      </c>
      <c r="G79" s="11">
        <f>G78+F79</f>
        <v/>
      </c>
      <c r="H79" s="11">
        <f>H78-(1-G78)</f>
        <v/>
      </c>
      <c r="I79" s="11">
        <f>I78-H79</f>
        <v/>
      </c>
      <c r="J79" s="11">
        <f>J78*($D$17+47-1)*(1-$D$16)/47</f>
        <v/>
      </c>
      <c r="K79" s="11">
        <f>K78+J79</f>
        <v/>
      </c>
      <c r="L79" s="11">
        <f>L78-(1-K78)</f>
        <v/>
      </c>
      <c r="M79" s="11">
        <f>M78-L79</f>
        <v/>
      </c>
      <c r="R79" s="18">
        <f>IF($A79-0*$B$6&gt;=0,_xlfn.POISSON.DIST($A79-0*$B$6,$B$5,FALSE),0)</f>
        <v/>
      </c>
      <c r="S79" s="18">
        <f>IF($A79-1*$B$6&gt;=0,_xlfn.POISSON.DIST($A79-1*$B$6,$B$5,FALSE),0)</f>
        <v/>
      </c>
      <c r="T79" s="18">
        <f>IF($A79-2*$B$6&gt;=0,_xlfn.POISSON.DIST($A79-2*$B$6,$B$5,FALSE),0)</f>
        <v/>
      </c>
      <c r="U79" s="18">
        <f>IF($A79-3*$B$6&gt;=0,_xlfn.POISSON.DIST($A79-3*$B$6,$B$5,FALSE),0)</f>
        <v/>
      </c>
      <c r="V79" s="18">
        <f>IF($A79-4*$B$6&gt;=0,_xlfn.POISSON.DIST($A79-4*$B$6,$B$5,FALSE),0)</f>
        <v/>
      </c>
      <c r="W79" s="18">
        <f>IF($A79-5*$B$6&gt;=0,_xlfn.POISSON.DIST($A79-5*$B$6,$B$5,FALSE),0)</f>
        <v/>
      </c>
      <c r="X79" s="18">
        <f>IF($A79-6*$B$6&gt;=0,_xlfn.POISSON.DIST($A79-6*$B$6,$B$5,FALSE),0)</f>
        <v/>
      </c>
      <c r="Y79" s="18">
        <f>IF($A79-7*$B$6&gt;=0,_xlfn.POISSON.DIST($A79-7*$B$6,$B$5,FALSE),0)</f>
        <v/>
      </c>
      <c r="Z79" s="18">
        <f>IF($A79-8*$B$6&gt;=0,_xlfn.POISSON.DIST($A79-8*$B$6,$B$5,FALSE),0)</f>
        <v/>
      </c>
      <c r="AA79" s="18">
        <f>IF($A79-9*$B$6&gt;=0,_xlfn.POISSON.DIST($A79-9*$B$6,$B$5,FALSE),0)</f>
        <v/>
      </c>
      <c r="AB79" s="18">
        <f>IF($A79-10*$B$6&gt;=0,_xlfn.POISSON.DIST($A79-10*$B$6,$B$5,FALSE),0)</f>
        <v/>
      </c>
      <c r="AC79" s="18">
        <f>IF($A79-11*$B$6&gt;=0,_xlfn.POISSON.DIST($A79-11*$B$6,$B$5,FALSE),0)</f>
        <v/>
      </c>
      <c r="AD79" s="18">
        <f>IF($A79-12*$B$6&gt;=0,_xlfn.POISSON.DIST($A79-12*$B$6,$B$5,FALSE),0)</f>
        <v/>
      </c>
      <c r="AE79" s="18">
        <f>IF($A79-13*$B$6&gt;=0,_xlfn.POISSON.DIST($A79-13*$B$6,$B$5,FALSE),0)</f>
        <v/>
      </c>
      <c r="AF79" s="18">
        <f>IF($A79-14*$B$6&gt;=0,_xlfn.POISSON.DIST($A79-14*$B$6,$B$5,FALSE),0)</f>
        <v/>
      </c>
    </row>
    <row r="80">
      <c r="A80" s="10" t="n">
        <v>48</v>
      </c>
      <c r="B80" s="11">
        <f>SUMPRODUCT(R80:AF80,$R$29:$AF$29)</f>
        <v/>
      </c>
      <c r="C80" s="11">
        <f>C79+B80</f>
        <v/>
      </c>
      <c r="D80" s="11">
        <f>D79-(1-C79)</f>
        <v/>
      </c>
      <c r="E80" s="11">
        <f>E79-D80</f>
        <v/>
      </c>
      <c r="F80" s="11">
        <f>F79*($C$17+48-1)*(1-$C$16)/48</f>
        <v/>
      </c>
      <c r="G80" s="11">
        <f>G79+F80</f>
        <v/>
      </c>
      <c r="H80" s="11">
        <f>H79-(1-G79)</f>
        <v/>
      </c>
      <c r="I80" s="11">
        <f>I79-H80</f>
        <v/>
      </c>
      <c r="J80" s="11">
        <f>J79*($D$17+48-1)*(1-$D$16)/48</f>
        <v/>
      </c>
      <c r="K80" s="11">
        <f>K79+J80</f>
        <v/>
      </c>
      <c r="L80" s="11">
        <f>L79-(1-K79)</f>
        <v/>
      </c>
      <c r="M80" s="11">
        <f>M79-L80</f>
        <v/>
      </c>
      <c r="R80" s="18">
        <f>IF($A80-0*$B$6&gt;=0,_xlfn.POISSON.DIST($A80-0*$B$6,$B$5,FALSE),0)</f>
        <v/>
      </c>
      <c r="S80" s="18">
        <f>IF($A80-1*$B$6&gt;=0,_xlfn.POISSON.DIST($A80-1*$B$6,$B$5,FALSE),0)</f>
        <v/>
      </c>
      <c r="T80" s="18">
        <f>IF($A80-2*$B$6&gt;=0,_xlfn.POISSON.DIST($A80-2*$B$6,$B$5,FALSE),0)</f>
        <v/>
      </c>
      <c r="U80" s="18">
        <f>IF($A80-3*$B$6&gt;=0,_xlfn.POISSON.DIST($A80-3*$B$6,$B$5,FALSE),0)</f>
        <v/>
      </c>
      <c r="V80" s="18">
        <f>IF($A80-4*$B$6&gt;=0,_xlfn.POISSON.DIST($A80-4*$B$6,$B$5,FALSE),0)</f>
        <v/>
      </c>
      <c r="W80" s="18">
        <f>IF($A80-5*$B$6&gt;=0,_xlfn.POISSON.DIST($A80-5*$B$6,$B$5,FALSE),0)</f>
        <v/>
      </c>
      <c r="X80" s="18">
        <f>IF($A80-6*$B$6&gt;=0,_xlfn.POISSON.DIST($A80-6*$B$6,$B$5,FALSE),0)</f>
        <v/>
      </c>
      <c r="Y80" s="18">
        <f>IF($A80-7*$B$6&gt;=0,_xlfn.POISSON.DIST($A80-7*$B$6,$B$5,FALSE),0)</f>
        <v/>
      </c>
      <c r="Z80" s="18">
        <f>IF($A80-8*$B$6&gt;=0,_xlfn.POISSON.DIST($A80-8*$B$6,$B$5,FALSE),0)</f>
        <v/>
      </c>
      <c r="AA80" s="18">
        <f>IF($A80-9*$B$6&gt;=0,_xlfn.POISSON.DIST($A80-9*$B$6,$B$5,FALSE),0)</f>
        <v/>
      </c>
      <c r="AB80" s="18">
        <f>IF($A80-10*$B$6&gt;=0,_xlfn.POISSON.DIST($A80-10*$B$6,$B$5,FALSE),0)</f>
        <v/>
      </c>
      <c r="AC80" s="18">
        <f>IF($A80-11*$B$6&gt;=0,_xlfn.POISSON.DIST($A80-11*$B$6,$B$5,FALSE),0)</f>
        <v/>
      </c>
      <c r="AD80" s="18">
        <f>IF($A80-12*$B$6&gt;=0,_xlfn.POISSON.DIST($A80-12*$B$6,$B$5,FALSE),0)</f>
        <v/>
      </c>
      <c r="AE80" s="18">
        <f>IF($A80-13*$B$6&gt;=0,_xlfn.POISSON.DIST($A80-13*$B$6,$B$5,FALSE),0)</f>
        <v/>
      </c>
      <c r="AF80" s="18">
        <f>IF($A80-14*$B$6&gt;=0,_xlfn.POISSON.DIST($A80-14*$B$6,$B$5,FALSE),0)</f>
        <v/>
      </c>
    </row>
    <row r="81">
      <c r="A81" s="10" t="n">
        <v>49</v>
      </c>
      <c r="B81" s="11">
        <f>SUMPRODUCT(R81:AF81,$R$29:$AF$29)</f>
        <v/>
      </c>
      <c r="C81" s="11">
        <f>C80+B81</f>
        <v/>
      </c>
      <c r="D81" s="11">
        <f>D80-(1-C80)</f>
        <v/>
      </c>
      <c r="E81" s="11">
        <f>E80-D81</f>
        <v/>
      </c>
      <c r="F81" s="11">
        <f>F80*($C$17+49-1)*(1-$C$16)/49</f>
        <v/>
      </c>
      <c r="G81" s="11">
        <f>G80+F81</f>
        <v/>
      </c>
      <c r="H81" s="11">
        <f>H80-(1-G80)</f>
        <v/>
      </c>
      <c r="I81" s="11">
        <f>I80-H81</f>
        <v/>
      </c>
      <c r="J81" s="11">
        <f>J80*($D$17+49-1)*(1-$D$16)/49</f>
        <v/>
      </c>
      <c r="K81" s="11">
        <f>K80+J81</f>
        <v/>
      </c>
      <c r="L81" s="11">
        <f>L80-(1-K80)</f>
        <v/>
      </c>
      <c r="M81" s="11">
        <f>M80-L81</f>
        <v/>
      </c>
      <c r="R81" s="18">
        <f>IF($A81-0*$B$6&gt;=0,_xlfn.POISSON.DIST($A81-0*$B$6,$B$5,FALSE),0)</f>
        <v/>
      </c>
      <c r="S81" s="18">
        <f>IF($A81-1*$B$6&gt;=0,_xlfn.POISSON.DIST($A81-1*$B$6,$B$5,FALSE),0)</f>
        <v/>
      </c>
      <c r="T81" s="18">
        <f>IF($A81-2*$B$6&gt;=0,_xlfn.POISSON.DIST($A81-2*$B$6,$B$5,FALSE),0)</f>
        <v/>
      </c>
      <c r="U81" s="18">
        <f>IF($A81-3*$B$6&gt;=0,_xlfn.POISSON.DIST($A81-3*$B$6,$B$5,FALSE),0)</f>
        <v/>
      </c>
      <c r="V81" s="18">
        <f>IF($A81-4*$B$6&gt;=0,_xlfn.POISSON.DIST($A81-4*$B$6,$B$5,FALSE),0)</f>
        <v/>
      </c>
      <c r="W81" s="18">
        <f>IF($A81-5*$B$6&gt;=0,_xlfn.POISSON.DIST($A81-5*$B$6,$B$5,FALSE),0)</f>
        <v/>
      </c>
      <c r="X81" s="18">
        <f>IF($A81-6*$B$6&gt;=0,_xlfn.POISSON.DIST($A81-6*$B$6,$B$5,FALSE),0)</f>
        <v/>
      </c>
      <c r="Y81" s="18">
        <f>IF($A81-7*$B$6&gt;=0,_xlfn.POISSON.DIST($A81-7*$B$6,$B$5,FALSE),0)</f>
        <v/>
      </c>
      <c r="Z81" s="18">
        <f>IF($A81-8*$B$6&gt;=0,_xlfn.POISSON.DIST($A81-8*$B$6,$B$5,FALSE),0)</f>
        <v/>
      </c>
      <c r="AA81" s="18">
        <f>IF($A81-9*$B$6&gt;=0,_xlfn.POISSON.DIST($A81-9*$B$6,$B$5,FALSE),0)</f>
        <v/>
      </c>
      <c r="AB81" s="18">
        <f>IF($A81-10*$B$6&gt;=0,_xlfn.POISSON.DIST($A81-10*$B$6,$B$5,FALSE),0)</f>
        <v/>
      </c>
      <c r="AC81" s="18">
        <f>IF($A81-11*$B$6&gt;=0,_xlfn.POISSON.DIST($A81-11*$B$6,$B$5,FALSE),0)</f>
        <v/>
      </c>
      <c r="AD81" s="18">
        <f>IF($A81-12*$B$6&gt;=0,_xlfn.POISSON.DIST($A81-12*$B$6,$B$5,FALSE),0)</f>
        <v/>
      </c>
      <c r="AE81" s="18">
        <f>IF($A81-13*$B$6&gt;=0,_xlfn.POISSON.DIST($A81-13*$B$6,$B$5,FALSE),0)</f>
        <v/>
      </c>
      <c r="AF81" s="18">
        <f>IF($A81-14*$B$6&gt;=0,_xlfn.POISSON.DIST($A81-14*$B$6,$B$5,FALSE),0)</f>
        <v/>
      </c>
    </row>
    <row r="82">
      <c r="A82" s="10" t="n">
        <v>50</v>
      </c>
      <c r="B82" s="11">
        <f>SUMPRODUCT(R82:AF82,$R$29:$AF$29)</f>
        <v/>
      </c>
      <c r="C82" s="11">
        <f>C81+B82</f>
        <v/>
      </c>
      <c r="D82" s="11">
        <f>D81-(1-C81)</f>
        <v/>
      </c>
      <c r="E82" s="11">
        <f>E81-D82</f>
        <v/>
      </c>
      <c r="F82" s="11">
        <f>F81*($C$17+50-1)*(1-$C$16)/50</f>
        <v/>
      </c>
      <c r="G82" s="11">
        <f>G81+F82</f>
        <v/>
      </c>
      <c r="H82" s="11">
        <f>H81-(1-G81)</f>
        <v/>
      </c>
      <c r="I82" s="11">
        <f>I81-H82</f>
        <v/>
      </c>
      <c r="J82" s="11">
        <f>J81*($D$17+50-1)*(1-$D$16)/50</f>
        <v/>
      </c>
      <c r="K82" s="11">
        <f>K81+J82</f>
        <v/>
      </c>
      <c r="L82" s="11">
        <f>L81-(1-K81)</f>
        <v/>
      </c>
      <c r="M82" s="11">
        <f>M81-L82</f>
        <v/>
      </c>
      <c r="R82" s="18">
        <f>IF($A82-0*$B$6&gt;=0,_xlfn.POISSON.DIST($A82-0*$B$6,$B$5,FALSE),0)</f>
        <v/>
      </c>
      <c r="S82" s="18">
        <f>IF($A82-1*$B$6&gt;=0,_xlfn.POISSON.DIST($A82-1*$B$6,$B$5,FALSE),0)</f>
        <v/>
      </c>
      <c r="T82" s="18">
        <f>IF($A82-2*$B$6&gt;=0,_xlfn.POISSON.DIST($A82-2*$B$6,$B$5,FALSE),0)</f>
        <v/>
      </c>
      <c r="U82" s="18">
        <f>IF($A82-3*$B$6&gt;=0,_xlfn.POISSON.DIST($A82-3*$B$6,$B$5,FALSE),0)</f>
        <v/>
      </c>
      <c r="V82" s="18">
        <f>IF($A82-4*$B$6&gt;=0,_xlfn.POISSON.DIST($A82-4*$B$6,$B$5,FALSE),0)</f>
        <v/>
      </c>
      <c r="W82" s="18">
        <f>IF($A82-5*$B$6&gt;=0,_xlfn.POISSON.DIST($A82-5*$B$6,$B$5,FALSE),0)</f>
        <v/>
      </c>
      <c r="X82" s="18">
        <f>IF($A82-6*$B$6&gt;=0,_xlfn.POISSON.DIST($A82-6*$B$6,$B$5,FALSE),0)</f>
        <v/>
      </c>
      <c r="Y82" s="18">
        <f>IF($A82-7*$B$6&gt;=0,_xlfn.POISSON.DIST($A82-7*$B$6,$B$5,FALSE),0)</f>
        <v/>
      </c>
      <c r="Z82" s="18">
        <f>IF($A82-8*$B$6&gt;=0,_xlfn.POISSON.DIST($A82-8*$B$6,$B$5,FALSE),0)</f>
        <v/>
      </c>
      <c r="AA82" s="18">
        <f>IF($A82-9*$B$6&gt;=0,_xlfn.POISSON.DIST($A82-9*$B$6,$B$5,FALSE),0)</f>
        <v/>
      </c>
      <c r="AB82" s="18">
        <f>IF($A82-10*$B$6&gt;=0,_xlfn.POISSON.DIST($A82-10*$B$6,$B$5,FALSE),0)</f>
        <v/>
      </c>
      <c r="AC82" s="18">
        <f>IF($A82-11*$B$6&gt;=0,_xlfn.POISSON.DIST($A82-11*$B$6,$B$5,FALSE),0)</f>
        <v/>
      </c>
      <c r="AD82" s="18">
        <f>IF($A82-12*$B$6&gt;=0,_xlfn.POISSON.DIST($A82-12*$B$6,$B$5,FALSE),0)</f>
        <v/>
      </c>
      <c r="AE82" s="18">
        <f>IF($A82-13*$B$6&gt;=0,_xlfn.POISSON.DIST($A82-13*$B$6,$B$5,FALSE),0)</f>
        <v/>
      </c>
      <c r="AF82" s="18">
        <f>IF($A82-14*$B$6&gt;=0,_xlfn.POISSON.DIST($A82-14*$B$6,$B$5,FALSE),0)</f>
        <v/>
      </c>
    </row>
    <row r="83">
      <c r="A83" s="10" t="n">
        <v>51</v>
      </c>
      <c r="B83" s="11">
        <f>SUMPRODUCT(R83:AF83,$R$29:$AF$29)</f>
        <v/>
      </c>
      <c r="C83" s="11">
        <f>C82+B83</f>
        <v/>
      </c>
      <c r="D83" s="11">
        <f>D82-(1-C82)</f>
        <v/>
      </c>
      <c r="E83" s="11">
        <f>E82-D83</f>
        <v/>
      </c>
      <c r="F83" s="11">
        <f>F82*($C$17+51-1)*(1-$C$16)/51</f>
        <v/>
      </c>
      <c r="G83" s="11">
        <f>G82+F83</f>
        <v/>
      </c>
      <c r="H83" s="11">
        <f>H82-(1-G82)</f>
        <v/>
      </c>
      <c r="I83" s="11">
        <f>I82-H83</f>
        <v/>
      </c>
      <c r="J83" s="11">
        <f>J82*($D$17+51-1)*(1-$D$16)/51</f>
        <v/>
      </c>
      <c r="K83" s="11">
        <f>K82+J83</f>
        <v/>
      </c>
      <c r="L83" s="11">
        <f>L82-(1-K82)</f>
        <v/>
      </c>
      <c r="M83" s="11">
        <f>M82-L83</f>
        <v/>
      </c>
      <c r="R83" s="18">
        <f>IF($A83-0*$B$6&gt;=0,_xlfn.POISSON.DIST($A83-0*$B$6,$B$5,FALSE),0)</f>
        <v/>
      </c>
      <c r="S83" s="18">
        <f>IF($A83-1*$B$6&gt;=0,_xlfn.POISSON.DIST($A83-1*$B$6,$B$5,FALSE),0)</f>
        <v/>
      </c>
      <c r="T83" s="18">
        <f>IF($A83-2*$B$6&gt;=0,_xlfn.POISSON.DIST($A83-2*$B$6,$B$5,FALSE),0)</f>
        <v/>
      </c>
      <c r="U83" s="18">
        <f>IF($A83-3*$B$6&gt;=0,_xlfn.POISSON.DIST($A83-3*$B$6,$B$5,FALSE),0)</f>
        <v/>
      </c>
      <c r="V83" s="18">
        <f>IF($A83-4*$B$6&gt;=0,_xlfn.POISSON.DIST($A83-4*$B$6,$B$5,FALSE),0)</f>
        <v/>
      </c>
      <c r="W83" s="18">
        <f>IF($A83-5*$B$6&gt;=0,_xlfn.POISSON.DIST($A83-5*$B$6,$B$5,FALSE),0)</f>
        <v/>
      </c>
      <c r="X83" s="18">
        <f>IF($A83-6*$B$6&gt;=0,_xlfn.POISSON.DIST($A83-6*$B$6,$B$5,FALSE),0)</f>
        <v/>
      </c>
      <c r="Y83" s="18">
        <f>IF($A83-7*$B$6&gt;=0,_xlfn.POISSON.DIST($A83-7*$B$6,$B$5,FALSE),0)</f>
        <v/>
      </c>
      <c r="Z83" s="18">
        <f>IF($A83-8*$B$6&gt;=0,_xlfn.POISSON.DIST($A83-8*$B$6,$B$5,FALSE),0)</f>
        <v/>
      </c>
      <c r="AA83" s="18">
        <f>IF($A83-9*$B$6&gt;=0,_xlfn.POISSON.DIST($A83-9*$B$6,$B$5,FALSE),0)</f>
        <v/>
      </c>
      <c r="AB83" s="18">
        <f>IF($A83-10*$B$6&gt;=0,_xlfn.POISSON.DIST($A83-10*$B$6,$B$5,FALSE),0)</f>
        <v/>
      </c>
      <c r="AC83" s="18">
        <f>IF($A83-11*$B$6&gt;=0,_xlfn.POISSON.DIST($A83-11*$B$6,$B$5,FALSE),0)</f>
        <v/>
      </c>
      <c r="AD83" s="18">
        <f>IF($A83-12*$B$6&gt;=0,_xlfn.POISSON.DIST($A83-12*$B$6,$B$5,FALSE),0)</f>
        <v/>
      </c>
      <c r="AE83" s="18">
        <f>IF($A83-13*$B$6&gt;=0,_xlfn.POISSON.DIST($A83-13*$B$6,$B$5,FALSE),0)</f>
        <v/>
      </c>
      <c r="AF83" s="18">
        <f>IF($A83-14*$B$6&gt;=0,_xlfn.POISSON.DIST($A83-14*$B$6,$B$5,FALSE),0)</f>
        <v/>
      </c>
    </row>
    <row r="84">
      <c r="A84" s="10" t="n">
        <v>52</v>
      </c>
      <c r="B84" s="11">
        <f>SUMPRODUCT(R84:AF84,$R$29:$AF$29)</f>
        <v/>
      </c>
      <c r="C84" s="11">
        <f>C83+B84</f>
        <v/>
      </c>
      <c r="D84" s="11">
        <f>D83-(1-C83)</f>
        <v/>
      </c>
      <c r="E84" s="11">
        <f>E83-D84</f>
        <v/>
      </c>
      <c r="F84" s="11">
        <f>F83*($C$17+52-1)*(1-$C$16)/52</f>
        <v/>
      </c>
      <c r="G84" s="11">
        <f>G83+F84</f>
        <v/>
      </c>
      <c r="H84" s="11">
        <f>H83-(1-G83)</f>
        <v/>
      </c>
      <c r="I84" s="11">
        <f>I83-H84</f>
        <v/>
      </c>
      <c r="J84" s="11">
        <f>J83*($D$17+52-1)*(1-$D$16)/52</f>
        <v/>
      </c>
      <c r="K84" s="11">
        <f>K83+J84</f>
        <v/>
      </c>
      <c r="L84" s="11">
        <f>L83-(1-K83)</f>
        <v/>
      </c>
      <c r="M84" s="11">
        <f>M83-L84</f>
        <v/>
      </c>
      <c r="R84" s="18">
        <f>IF($A84-0*$B$6&gt;=0,_xlfn.POISSON.DIST($A84-0*$B$6,$B$5,FALSE),0)</f>
        <v/>
      </c>
      <c r="S84" s="18">
        <f>IF($A84-1*$B$6&gt;=0,_xlfn.POISSON.DIST($A84-1*$B$6,$B$5,FALSE),0)</f>
        <v/>
      </c>
      <c r="T84" s="18">
        <f>IF($A84-2*$B$6&gt;=0,_xlfn.POISSON.DIST($A84-2*$B$6,$B$5,FALSE),0)</f>
        <v/>
      </c>
      <c r="U84" s="18">
        <f>IF($A84-3*$B$6&gt;=0,_xlfn.POISSON.DIST($A84-3*$B$6,$B$5,FALSE),0)</f>
        <v/>
      </c>
      <c r="V84" s="18">
        <f>IF($A84-4*$B$6&gt;=0,_xlfn.POISSON.DIST($A84-4*$B$6,$B$5,FALSE),0)</f>
        <v/>
      </c>
      <c r="W84" s="18">
        <f>IF($A84-5*$B$6&gt;=0,_xlfn.POISSON.DIST($A84-5*$B$6,$B$5,FALSE),0)</f>
        <v/>
      </c>
      <c r="X84" s="18">
        <f>IF($A84-6*$B$6&gt;=0,_xlfn.POISSON.DIST($A84-6*$B$6,$B$5,FALSE),0)</f>
        <v/>
      </c>
      <c r="Y84" s="18">
        <f>IF($A84-7*$B$6&gt;=0,_xlfn.POISSON.DIST($A84-7*$B$6,$B$5,FALSE),0)</f>
        <v/>
      </c>
      <c r="Z84" s="18">
        <f>IF($A84-8*$B$6&gt;=0,_xlfn.POISSON.DIST($A84-8*$B$6,$B$5,FALSE),0)</f>
        <v/>
      </c>
      <c r="AA84" s="18">
        <f>IF($A84-9*$B$6&gt;=0,_xlfn.POISSON.DIST($A84-9*$B$6,$B$5,FALSE),0)</f>
        <v/>
      </c>
      <c r="AB84" s="18">
        <f>IF($A84-10*$B$6&gt;=0,_xlfn.POISSON.DIST($A84-10*$B$6,$B$5,FALSE),0)</f>
        <v/>
      </c>
      <c r="AC84" s="18">
        <f>IF($A84-11*$B$6&gt;=0,_xlfn.POISSON.DIST($A84-11*$B$6,$B$5,FALSE),0)</f>
        <v/>
      </c>
      <c r="AD84" s="18">
        <f>IF($A84-12*$B$6&gt;=0,_xlfn.POISSON.DIST($A84-12*$B$6,$B$5,FALSE),0)</f>
        <v/>
      </c>
      <c r="AE84" s="18">
        <f>IF($A84-13*$B$6&gt;=0,_xlfn.POISSON.DIST($A84-13*$B$6,$B$5,FALSE),0)</f>
        <v/>
      </c>
      <c r="AF84" s="18">
        <f>IF($A84-14*$B$6&gt;=0,_xlfn.POISSON.DIST($A84-14*$B$6,$B$5,FALSE),0)</f>
        <v/>
      </c>
    </row>
    <row r="85">
      <c r="A85" s="10" t="n">
        <v>53</v>
      </c>
      <c r="B85" s="11">
        <f>SUMPRODUCT(R85:AF85,$R$29:$AF$29)</f>
        <v/>
      </c>
      <c r="C85" s="11">
        <f>C84+B85</f>
        <v/>
      </c>
      <c r="D85" s="11">
        <f>D84-(1-C84)</f>
        <v/>
      </c>
      <c r="E85" s="11">
        <f>E84-D85</f>
        <v/>
      </c>
      <c r="F85" s="11">
        <f>F84*($C$17+53-1)*(1-$C$16)/53</f>
        <v/>
      </c>
      <c r="G85" s="11">
        <f>G84+F85</f>
        <v/>
      </c>
      <c r="H85" s="11">
        <f>H84-(1-G84)</f>
        <v/>
      </c>
      <c r="I85" s="11">
        <f>I84-H85</f>
        <v/>
      </c>
      <c r="J85" s="11">
        <f>J84*($D$17+53-1)*(1-$D$16)/53</f>
        <v/>
      </c>
      <c r="K85" s="11">
        <f>K84+J85</f>
        <v/>
      </c>
      <c r="L85" s="11">
        <f>L84-(1-K84)</f>
        <v/>
      </c>
      <c r="M85" s="11">
        <f>M84-L85</f>
        <v/>
      </c>
      <c r="R85" s="18">
        <f>IF($A85-0*$B$6&gt;=0,_xlfn.POISSON.DIST($A85-0*$B$6,$B$5,FALSE),0)</f>
        <v/>
      </c>
      <c r="S85" s="18">
        <f>IF($A85-1*$B$6&gt;=0,_xlfn.POISSON.DIST($A85-1*$B$6,$B$5,FALSE),0)</f>
        <v/>
      </c>
      <c r="T85" s="18">
        <f>IF($A85-2*$B$6&gt;=0,_xlfn.POISSON.DIST($A85-2*$B$6,$B$5,FALSE),0)</f>
        <v/>
      </c>
      <c r="U85" s="18">
        <f>IF($A85-3*$B$6&gt;=0,_xlfn.POISSON.DIST($A85-3*$B$6,$B$5,FALSE),0)</f>
        <v/>
      </c>
      <c r="V85" s="18">
        <f>IF($A85-4*$B$6&gt;=0,_xlfn.POISSON.DIST($A85-4*$B$6,$B$5,FALSE),0)</f>
        <v/>
      </c>
      <c r="W85" s="18">
        <f>IF($A85-5*$B$6&gt;=0,_xlfn.POISSON.DIST($A85-5*$B$6,$B$5,FALSE),0)</f>
        <v/>
      </c>
      <c r="X85" s="18">
        <f>IF($A85-6*$B$6&gt;=0,_xlfn.POISSON.DIST($A85-6*$B$6,$B$5,FALSE),0)</f>
        <v/>
      </c>
      <c r="Y85" s="18">
        <f>IF($A85-7*$B$6&gt;=0,_xlfn.POISSON.DIST($A85-7*$B$6,$B$5,FALSE),0)</f>
        <v/>
      </c>
      <c r="Z85" s="18">
        <f>IF($A85-8*$B$6&gt;=0,_xlfn.POISSON.DIST($A85-8*$B$6,$B$5,FALSE),0)</f>
        <v/>
      </c>
      <c r="AA85" s="18">
        <f>IF($A85-9*$B$6&gt;=0,_xlfn.POISSON.DIST($A85-9*$B$6,$B$5,FALSE),0)</f>
        <v/>
      </c>
      <c r="AB85" s="18">
        <f>IF($A85-10*$B$6&gt;=0,_xlfn.POISSON.DIST($A85-10*$B$6,$B$5,FALSE),0)</f>
        <v/>
      </c>
      <c r="AC85" s="18">
        <f>IF($A85-11*$B$6&gt;=0,_xlfn.POISSON.DIST($A85-11*$B$6,$B$5,FALSE),0)</f>
        <v/>
      </c>
      <c r="AD85" s="18">
        <f>IF($A85-12*$B$6&gt;=0,_xlfn.POISSON.DIST($A85-12*$B$6,$B$5,FALSE),0)</f>
        <v/>
      </c>
      <c r="AE85" s="18">
        <f>IF($A85-13*$B$6&gt;=0,_xlfn.POISSON.DIST($A85-13*$B$6,$B$5,FALSE),0)</f>
        <v/>
      </c>
      <c r="AF85" s="18">
        <f>IF($A85-14*$B$6&gt;=0,_xlfn.POISSON.DIST($A85-14*$B$6,$B$5,FALSE),0)</f>
        <v/>
      </c>
    </row>
    <row r="86">
      <c r="A86" s="10" t="n">
        <v>54</v>
      </c>
      <c r="B86" s="11">
        <f>SUMPRODUCT(R86:AF86,$R$29:$AF$29)</f>
        <v/>
      </c>
      <c r="C86" s="11">
        <f>C85+B86</f>
        <v/>
      </c>
      <c r="D86" s="11">
        <f>D85-(1-C85)</f>
        <v/>
      </c>
      <c r="E86" s="11">
        <f>E85-D86</f>
        <v/>
      </c>
      <c r="F86" s="11">
        <f>F85*($C$17+54-1)*(1-$C$16)/54</f>
        <v/>
      </c>
      <c r="G86" s="11">
        <f>G85+F86</f>
        <v/>
      </c>
      <c r="H86" s="11">
        <f>H85-(1-G85)</f>
        <v/>
      </c>
      <c r="I86" s="11">
        <f>I85-H86</f>
        <v/>
      </c>
      <c r="J86" s="11">
        <f>J85*($D$17+54-1)*(1-$D$16)/54</f>
        <v/>
      </c>
      <c r="K86" s="11">
        <f>K85+J86</f>
        <v/>
      </c>
      <c r="L86" s="11">
        <f>L85-(1-K85)</f>
        <v/>
      </c>
      <c r="M86" s="11">
        <f>M85-L86</f>
        <v/>
      </c>
      <c r="R86" s="18">
        <f>IF($A86-0*$B$6&gt;=0,_xlfn.POISSON.DIST($A86-0*$B$6,$B$5,FALSE),0)</f>
        <v/>
      </c>
      <c r="S86" s="18">
        <f>IF($A86-1*$B$6&gt;=0,_xlfn.POISSON.DIST($A86-1*$B$6,$B$5,FALSE),0)</f>
        <v/>
      </c>
      <c r="T86" s="18">
        <f>IF($A86-2*$B$6&gt;=0,_xlfn.POISSON.DIST($A86-2*$B$6,$B$5,FALSE),0)</f>
        <v/>
      </c>
      <c r="U86" s="18">
        <f>IF($A86-3*$B$6&gt;=0,_xlfn.POISSON.DIST($A86-3*$B$6,$B$5,FALSE),0)</f>
        <v/>
      </c>
      <c r="V86" s="18">
        <f>IF($A86-4*$B$6&gt;=0,_xlfn.POISSON.DIST($A86-4*$B$6,$B$5,FALSE),0)</f>
        <v/>
      </c>
      <c r="W86" s="18">
        <f>IF($A86-5*$B$6&gt;=0,_xlfn.POISSON.DIST($A86-5*$B$6,$B$5,FALSE),0)</f>
        <v/>
      </c>
      <c r="X86" s="18">
        <f>IF($A86-6*$B$6&gt;=0,_xlfn.POISSON.DIST($A86-6*$B$6,$B$5,FALSE),0)</f>
        <v/>
      </c>
      <c r="Y86" s="18">
        <f>IF($A86-7*$B$6&gt;=0,_xlfn.POISSON.DIST($A86-7*$B$6,$B$5,FALSE),0)</f>
        <v/>
      </c>
      <c r="Z86" s="18">
        <f>IF($A86-8*$B$6&gt;=0,_xlfn.POISSON.DIST($A86-8*$B$6,$B$5,FALSE),0)</f>
        <v/>
      </c>
      <c r="AA86" s="18">
        <f>IF($A86-9*$B$6&gt;=0,_xlfn.POISSON.DIST($A86-9*$B$6,$B$5,FALSE),0)</f>
        <v/>
      </c>
      <c r="AB86" s="18">
        <f>IF($A86-10*$B$6&gt;=0,_xlfn.POISSON.DIST($A86-10*$B$6,$B$5,FALSE),0)</f>
        <v/>
      </c>
      <c r="AC86" s="18">
        <f>IF($A86-11*$B$6&gt;=0,_xlfn.POISSON.DIST($A86-11*$B$6,$B$5,FALSE),0)</f>
        <v/>
      </c>
      <c r="AD86" s="18">
        <f>IF($A86-12*$B$6&gt;=0,_xlfn.POISSON.DIST($A86-12*$B$6,$B$5,FALSE),0)</f>
        <v/>
      </c>
      <c r="AE86" s="18">
        <f>IF($A86-13*$B$6&gt;=0,_xlfn.POISSON.DIST($A86-13*$B$6,$B$5,FALSE),0)</f>
        <v/>
      </c>
      <c r="AF86" s="18">
        <f>IF($A86-14*$B$6&gt;=0,_xlfn.POISSON.DIST($A86-14*$B$6,$B$5,FALSE),0)</f>
        <v/>
      </c>
    </row>
    <row r="87">
      <c r="A87" s="10" t="n">
        <v>55</v>
      </c>
      <c r="B87" s="11">
        <f>SUMPRODUCT(R87:AF87,$R$29:$AF$29)</f>
        <v/>
      </c>
      <c r="C87" s="11">
        <f>C86+B87</f>
        <v/>
      </c>
      <c r="D87" s="11">
        <f>D86-(1-C86)</f>
        <v/>
      </c>
      <c r="E87" s="11">
        <f>E86-D87</f>
        <v/>
      </c>
      <c r="F87" s="11">
        <f>F86*($C$17+55-1)*(1-$C$16)/55</f>
        <v/>
      </c>
      <c r="G87" s="11">
        <f>G86+F87</f>
        <v/>
      </c>
      <c r="H87" s="11">
        <f>H86-(1-G86)</f>
        <v/>
      </c>
      <c r="I87" s="11">
        <f>I86-H87</f>
        <v/>
      </c>
      <c r="J87" s="11">
        <f>J86*($D$17+55-1)*(1-$D$16)/55</f>
        <v/>
      </c>
      <c r="K87" s="11">
        <f>K86+J87</f>
        <v/>
      </c>
      <c r="L87" s="11">
        <f>L86-(1-K86)</f>
        <v/>
      </c>
      <c r="M87" s="11">
        <f>M86-L87</f>
        <v/>
      </c>
      <c r="R87" s="18">
        <f>IF($A87-0*$B$6&gt;=0,_xlfn.POISSON.DIST($A87-0*$B$6,$B$5,FALSE),0)</f>
        <v/>
      </c>
      <c r="S87" s="18">
        <f>IF($A87-1*$B$6&gt;=0,_xlfn.POISSON.DIST($A87-1*$B$6,$B$5,FALSE),0)</f>
        <v/>
      </c>
      <c r="T87" s="18">
        <f>IF($A87-2*$B$6&gt;=0,_xlfn.POISSON.DIST($A87-2*$B$6,$B$5,FALSE),0)</f>
        <v/>
      </c>
      <c r="U87" s="18">
        <f>IF($A87-3*$B$6&gt;=0,_xlfn.POISSON.DIST($A87-3*$B$6,$B$5,FALSE),0)</f>
        <v/>
      </c>
      <c r="V87" s="18">
        <f>IF($A87-4*$B$6&gt;=0,_xlfn.POISSON.DIST($A87-4*$B$6,$B$5,FALSE),0)</f>
        <v/>
      </c>
      <c r="W87" s="18">
        <f>IF($A87-5*$B$6&gt;=0,_xlfn.POISSON.DIST($A87-5*$B$6,$B$5,FALSE),0)</f>
        <v/>
      </c>
      <c r="X87" s="18">
        <f>IF($A87-6*$B$6&gt;=0,_xlfn.POISSON.DIST($A87-6*$B$6,$B$5,FALSE),0)</f>
        <v/>
      </c>
      <c r="Y87" s="18">
        <f>IF($A87-7*$B$6&gt;=0,_xlfn.POISSON.DIST($A87-7*$B$6,$B$5,FALSE),0)</f>
        <v/>
      </c>
      <c r="Z87" s="18">
        <f>IF($A87-8*$B$6&gt;=0,_xlfn.POISSON.DIST($A87-8*$B$6,$B$5,FALSE),0)</f>
        <v/>
      </c>
      <c r="AA87" s="18">
        <f>IF($A87-9*$B$6&gt;=0,_xlfn.POISSON.DIST($A87-9*$B$6,$B$5,FALSE),0)</f>
        <v/>
      </c>
      <c r="AB87" s="18">
        <f>IF($A87-10*$B$6&gt;=0,_xlfn.POISSON.DIST($A87-10*$B$6,$B$5,FALSE),0)</f>
        <v/>
      </c>
      <c r="AC87" s="18">
        <f>IF($A87-11*$B$6&gt;=0,_xlfn.POISSON.DIST($A87-11*$B$6,$B$5,FALSE),0)</f>
        <v/>
      </c>
      <c r="AD87" s="18">
        <f>IF($A87-12*$B$6&gt;=0,_xlfn.POISSON.DIST($A87-12*$B$6,$B$5,FALSE),0)</f>
        <v/>
      </c>
      <c r="AE87" s="18">
        <f>IF($A87-13*$B$6&gt;=0,_xlfn.POISSON.DIST($A87-13*$B$6,$B$5,FALSE),0)</f>
        <v/>
      </c>
      <c r="AF87" s="18">
        <f>IF($A87-14*$B$6&gt;=0,_xlfn.POISSON.DIST($A87-14*$B$6,$B$5,FALSE),0)</f>
        <v/>
      </c>
    </row>
    <row r="88">
      <c r="A88" s="10" t="n">
        <v>56</v>
      </c>
      <c r="B88" s="11">
        <f>SUMPRODUCT(R88:AF88,$R$29:$AF$29)</f>
        <v/>
      </c>
      <c r="C88" s="11">
        <f>C87+B88</f>
        <v/>
      </c>
      <c r="D88" s="11">
        <f>D87-(1-C87)</f>
        <v/>
      </c>
      <c r="E88" s="11">
        <f>E87-D88</f>
        <v/>
      </c>
      <c r="F88" s="11">
        <f>F87*($C$17+56-1)*(1-$C$16)/56</f>
        <v/>
      </c>
      <c r="G88" s="11">
        <f>G87+F88</f>
        <v/>
      </c>
      <c r="H88" s="11">
        <f>H87-(1-G87)</f>
        <v/>
      </c>
      <c r="I88" s="11">
        <f>I87-H88</f>
        <v/>
      </c>
      <c r="J88" s="11">
        <f>J87*($D$17+56-1)*(1-$D$16)/56</f>
        <v/>
      </c>
      <c r="K88" s="11">
        <f>K87+J88</f>
        <v/>
      </c>
      <c r="L88" s="11">
        <f>L87-(1-K87)</f>
        <v/>
      </c>
      <c r="M88" s="11">
        <f>M87-L88</f>
        <v/>
      </c>
      <c r="R88" s="18">
        <f>IF($A88-0*$B$6&gt;=0,_xlfn.POISSON.DIST($A88-0*$B$6,$B$5,FALSE),0)</f>
        <v/>
      </c>
      <c r="S88" s="18">
        <f>IF($A88-1*$B$6&gt;=0,_xlfn.POISSON.DIST($A88-1*$B$6,$B$5,FALSE),0)</f>
        <v/>
      </c>
      <c r="T88" s="18">
        <f>IF($A88-2*$B$6&gt;=0,_xlfn.POISSON.DIST($A88-2*$B$6,$B$5,FALSE),0)</f>
        <v/>
      </c>
      <c r="U88" s="18">
        <f>IF($A88-3*$B$6&gt;=0,_xlfn.POISSON.DIST($A88-3*$B$6,$B$5,FALSE),0)</f>
        <v/>
      </c>
      <c r="V88" s="18">
        <f>IF($A88-4*$B$6&gt;=0,_xlfn.POISSON.DIST($A88-4*$B$6,$B$5,FALSE),0)</f>
        <v/>
      </c>
      <c r="W88" s="18">
        <f>IF($A88-5*$B$6&gt;=0,_xlfn.POISSON.DIST($A88-5*$B$6,$B$5,FALSE),0)</f>
        <v/>
      </c>
      <c r="X88" s="18">
        <f>IF($A88-6*$B$6&gt;=0,_xlfn.POISSON.DIST($A88-6*$B$6,$B$5,FALSE),0)</f>
        <v/>
      </c>
      <c r="Y88" s="18">
        <f>IF($A88-7*$B$6&gt;=0,_xlfn.POISSON.DIST($A88-7*$B$6,$B$5,FALSE),0)</f>
        <v/>
      </c>
      <c r="Z88" s="18">
        <f>IF($A88-8*$B$6&gt;=0,_xlfn.POISSON.DIST($A88-8*$B$6,$B$5,FALSE),0)</f>
        <v/>
      </c>
      <c r="AA88" s="18">
        <f>IF($A88-9*$B$6&gt;=0,_xlfn.POISSON.DIST($A88-9*$B$6,$B$5,FALSE),0)</f>
        <v/>
      </c>
      <c r="AB88" s="18">
        <f>IF($A88-10*$B$6&gt;=0,_xlfn.POISSON.DIST($A88-10*$B$6,$B$5,FALSE),0)</f>
        <v/>
      </c>
      <c r="AC88" s="18">
        <f>IF($A88-11*$B$6&gt;=0,_xlfn.POISSON.DIST($A88-11*$B$6,$B$5,FALSE),0)</f>
        <v/>
      </c>
      <c r="AD88" s="18">
        <f>IF($A88-12*$B$6&gt;=0,_xlfn.POISSON.DIST($A88-12*$B$6,$B$5,FALSE),0)</f>
        <v/>
      </c>
      <c r="AE88" s="18">
        <f>IF($A88-13*$B$6&gt;=0,_xlfn.POISSON.DIST($A88-13*$B$6,$B$5,FALSE),0)</f>
        <v/>
      </c>
      <c r="AF88" s="18">
        <f>IF($A88-14*$B$6&gt;=0,_xlfn.POISSON.DIST($A88-14*$B$6,$B$5,FALSE),0)</f>
        <v/>
      </c>
    </row>
    <row r="89">
      <c r="A89" s="10" t="n">
        <v>57</v>
      </c>
      <c r="B89" s="11">
        <f>SUMPRODUCT(R89:AF89,$R$29:$AF$29)</f>
        <v/>
      </c>
      <c r="C89" s="11">
        <f>C88+B89</f>
        <v/>
      </c>
      <c r="D89" s="11">
        <f>D88-(1-C88)</f>
        <v/>
      </c>
      <c r="E89" s="11">
        <f>E88-D89</f>
        <v/>
      </c>
      <c r="F89" s="11">
        <f>F88*($C$17+57-1)*(1-$C$16)/57</f>
        <v/>
      </c>
      <c r="G89" s="11">
        <f>G88+F89</f>
        <v/>
      </c>
      <c r="H89" s="11">
        <f>H88-(1-G88)</f>
        <v/>
      </c>
      <c r="I89" s="11">
        <f>I88-H89</f>
        <v/>
      </c>
      <c r="J89" s="11">
        <f>J88*($D$17+57-1)*(1-$D$16)/57</f>
        <v/>
      </c>
      <c r="K89" s="11">
        <f>K88+J89</f>
        <v/>
      </c>
      <c r="L89" s="11">
        <f>L88-(1-K88)</f>
        <v/>
      </c>
      <c r="M89" s="11">
        <f>M88-L89</f>
        <v/>
      </c>
      <c r="R89" s="18">
        <f>IF($A89-0*$B$6&gt;=0,_xlfn.POISSON.DIST($A89-0*$B$6,$B$5,FALSE),0)</f>
        <v/>
      </c>
      <c r="S89" s="18">
        <f>IF($A89-1*$B$6&gt;=0,_xlfn.POISSON.DIST($A89-1*$B$6,$B$5,FALSE),0)</f>
        <v/>
      </c>
      <c r="T89" s="18">
        <f>IF($A89-2*$B$6&gt;=0,_xlfn.POISSON.DIST($A89-2*$B$6,$B$5,FALSE),0)</f>
        <v/>
      </c>
      <c r="U89" s="18">
        <f>IF($A89-3*$B$6&gt;=0,_xlfn.POISSON.DIST($A89-3*$B$6,$B$5,FALSE),0)</f>
        <v/>
      </c>
      <c r="V89" s="18">
        <f>IF($A89-4*$B$6&gt;=0,_xlfn.POISSON.DIST($A89-4*$B$6,$B$5,FALSE),0)</f>
        <v/>
      </c>
      <c r="W89" s="18">
        <f>IF($A89-5*$B$6&gt;=0,_xlfn.POISSON.DIST($A89-5*$B$6,$B$5,FALSE),0)</f>
        <v/>
      </c>
      <c r="X89" s="18">
        <f>IF($A89-6*$B$6&gt;=0,_xlfn.POISSON.DIST($A89-6*$B$6,$B$5,FALSE),0)</f>
        <v/>
      </c>
      <c r="Y89" s="18">
        <f>IF($A89-7*$B$6&gt;=0,_xlfn.POISSON.DIST($A89-7*$B$6,$B$5,FALSE),0)</f>
        <v/>
      </c>
      <c r="Z89" s="18">
        <f>IF($A89-8*$B$6&gt;=0,_xlfn.POISSON.DIST($A89-8*$B$6,$B$5,FALSE),0)</f>
        <v/>
      </c>
      <c r="AA89" s="18">
        <f>IF($A89-9*$B$6&gt;=0,_xlfn.POISSON.DIST($A89-9*$B$6,$B$5,FALSE),0)</f>
        <v/>
      </c>
      <c r="AB89" s="18">
        <f>IF($A89-10*$B$6&gt;=0,_xlfn.POISSON.DIST($A89-10*$B$6,$B$5,FALSE),0)</f>
        <v/>
      </c>
      <c r="AC89" s="18">
        <f>IF($A89-11*$B$6&gt;=0,_xlfn.POISSON.DIST($A89-11*$B$6,$B$5,FALSE),0)</f>
        <v/>
      </c>
      <c r="AD89" s="18">
        <f>IF($A89-12*$B$6&gt;=0,_xlfn.POISSON.DIST($A89-12*$B$6,$B$5,FALSE),0)</f>
        <v/>
      </c>
      <c r="AE89" s="18">
        <f>IF($A89-13*$B$6&gt;=0,_xlfn.POISSON.DIST($A89-13*$B$6,$B$5,FALSE),0)</f>
        <v/>
      </c>
      <c r="AF89" s="18">
        <f>IF($A89-14*$B$6&gt;=0,_xlfn.POISSON.DIST($A89-14*$B$6,$B$5,FALSE),0)</f>
        <v/>
      </c>
    </row>
    <row r="90">
      <c r="A90" s="10" t="n">
        <v>58</v>
      </c>
      <c r="B90" s="11">
        <f>SUMPRODUCT(R90:AF90,$R$29:$AF$29)</f>
        <v/>
      </c>
      <c r="C90" s="11">
        <f>C89+B90</f>
        <v/>
      </c>
      <c r="D90" s="11">
        <f>D89-(1-C89)</f>
        <v/>
      </c>
      <c r="E90" s="11">
        <f>E89-D90</f>
        <v/>
      </c>
      <c r="F90" s="11">
        <f>F89*($C$17+58-1)*(1-$C$16)/58</f>
        <v/>
      </c>
      <c r="G90" s="11">
        <f>G89+F90</f>
        <v/>
      </c>
      <c r="H90" s="11">
        <f>H89-(1-G89)</f>
        <v/>
      </c>
      <c r="I90" s="11">
        <f>I89-H90</f>
        <v/>
      </c>
      <c r="J90" s="11">
        <f>J89*($D$17+58-1)*(1-$D$16)/58</f>
        <v/>
      </c>
      <c r="K90" s="11">
        <f>K89+J90</f>
        <v/>
      </c>
      <c r="L90" s="11">
        <f>L89-(1-K89)</f>
        <v/>
      </c>
      <c r="M90" s="11">
        <f>M89-L90</f>
        <v/>
      </c>
      <c r="R90" s="18">
        <f>IF($A90-0*$B$6&gt;=0,_xlfn.POISSON.DIST($A90-0*$B$6,$B$5,FALSE),0)</f>
        <v/>
      </c>
      <c r="S90" s="18">
        <f>IF($A90-1*$B$6&gt;=0,_xlfn.POISSON.DIST($A90-1*$B$6,$B$5,FALSE),0)</f>
        <v/>
      </c>
      <c r="T90" s="18">
        <f>IF($A90-2*$B$6&gt;=0,_xlfn.POISSON.DIST($A90-2*$B$6,$B$5,FALSE),0)</f>
        <v/>
      </c>
      <c r="U90" s="18">
        <f>IF($A90-3*$B$6&gt;=0,_xlfn.POISSON.DIST($A90-3*$B$6,$B$5,FALSE),0)</f>
        <v/>
      </c>
      <c r="V90" s="18">
        <f>IF($A90-4*$B$6&gt;=0,_xlfn.POISSON.DIST($A90-4*$B$6,$B$5,FALSE),0)</f>
        <v/>
      </c>
      <c r="W90" s="18">
        <f>IF($A90-5*$B$6&gt;=0,_xlfn.POISSON.DIST($A90-5*$B$6,$B$5,FALSE),0)</f>
        <v/>
      </c>
      <c r="X90" s="18">
        <f>IF($A90-6*$B$6&gt;=0,_xlfn.POISSON.DIST($A90-6*$B$6,$B$5,FALSE),0)</f>
        <v/>
      </c>
      <c r="Y90" s="18">
        <f>IF($A90-7*$B$6&gt;=0,_xlfn.POISSON.DIST($A90-7*$B$6,$B$5,FALSE),0)</f>
        <v/>
      </c>
      <c r="Z90" s="18">
        <f>IF($A90-8*$B$6&gt;=0,_xlfn.POISSON.DIST($A90-8*$B$6,$B$5,FALSE),0)</f>
        <v/>
      </c>
      <c r="AA90" s="18">
        <f>IF($A90-9*$B$6&gt;=0,_xlfn.POISSON.DIST($A90-9*$B$6,$B$5,FALSE),0)</f>
        <v/>
      </c>
      <c r="AB90" s="18">
        <f>IF($A90-10*$B$6&gt;=0,_xlfn.POISSON.DIST($A90-10*$B$6,$B$5,FALSE),0)</f>
        <v/>
      </c>
      <c r="AC90" s="18">
        <f>IF($A90-11*$B$6&gt;=0,_xlfn.POISSON.DIST($A90-11*$B$6,$B$5,FALSE),0)</f>
        <v/>
      </c>
      <c r="AD90" s="18">
        <f>IF($A90-12*$B$6&gt;=0,_xlfn.POISSON.DIST($A90-12*$B$6,$B$5,FALSE),0)</f>
        <v/>
      </c>
      <c r="AE90" s="18">
        <f>IF($A90-13*$B$6&gt;=0,_xlfn.POISSON.DIST($A90-13*$B$6,$B$5,FALSE),0)</f>
        <v/>
      </c>
      <c r="AF90" s="18">
        <f>IF($A90-14*$B$6&gt;=0,_xlfn.POISSON.DIST($A90-14*$B$6,$B$5,FALSE),0)</f>
        <v/>
      </c>
    </row>
    <row r="91">
      <c r="A91" s="10" t="n">
        <v>59</v>
      </c>
      <c r="B91" s="11">
        <f>SUMPRODUCT(R91:AF91,$R$29:$AF$29)</f>
        <v/>
      </c>
      <c r="C91" s="11">
        <f>C90+B91</f>
        <v/>
      </c>
      <c r="D91" s="11">
        <f>D90-(1-C90)</f>
        <v/>
      </c>
      <c r="E91" s="11">
        <f>E90-D91</f>
        <v/>
      </c>
      <c r="F91" s="11">
        <f>F90*($C$17+59-1)*(1-$C$16)/59</f>
        <v/>
      </c>
      <c r="G91" s="11">
        <f>G90+F91</f>
        <v/>
      </c>
      <c r="H91" s="11">
        <f>H90-(1-G90)</f>
        <v/>
      </c>
      <c r="I91" s="11">
        <f>I90-H91</f>
        <v/>
      </c>
      <c r="J91" s="11">
        <f>J90*($D$17+59-1)*(1-$D$16)/59</f>
        <v/>
      </c>
      <c r="K91" s="11">
        <f>K90+J91</f>
        <v/>
      </c>
      <c r="L91" s="11">
        <f>L90-(1-K90)</f>
        <v/>
      </c>
      <c r="M91" s="11">
        <f>M90-L91</f>
        <v/>
      </c>
      <c r="R91" s="18">
        <f>IF($A91-0*$B$6&gt;=0,_xlfn.POISSON.DIST($A91-0*$B$6,$B$5,FALSE),0)</f>
        <v/>
      </c>
      <c r="S91" s="18">
        <f>IF($A91-1*$B$6&gt;=0,_xlfn.POISSON.DIST($A91-1*$B$6,$B$5,FALSE),0)</f>
        <v/>
      </c>
      <c r="T91" s="18">
        <f>IF($A91-2*$B$6&gt;=0,_xlfn.POISSON.DIST($A91-2*$B$6,$B$5,FALSE),0)</f>
        <v/>
      </c>
      <c r="U91" s="18">
        <f>IF($A91-3*$B$6&gt;=0,_xlfn.POISSON.DIST($A91-3*$B$6,$B$5,FALSE),0)</f>
        <v/>
      </c>
      <c r="V91" s="18">
        <f>IF($A91-4*$B$6&gt;=0,_xlfn.POISSON.DIST($A91-4*$B$6,$B$5,FALSE),0)</f>
        <v/>
      </c>
      <c r="W91" s="18">
        <f>IF($A91-5*$B$6&gt;=0,_xlfn.POISSON.DIST($A91-5*$B$6,$B$5,FALSE),0)</f>
        <v/>
      </c>
      <c r="X91" s="18">
        <f>IF($A91-6*$B$6&gt;=0,_xlfn.POISSON.DIST($A91-6*$B$6,$B$5,FALSE),0)</f>
        <v/>
      </c>
      <c r="Y91" s="18">
        <f>IF($A91-7*$B$6&gt;=0,_xlfn.POISSON.DIST($A91-7*$B$6,$B$5,FALSE),0)</f>
        <v/>
      </c>
      <c r="Z91" s="18">
        <f>IF($A91-8*$B$6&gt;=0,_xlfn.POISSON.DIST($A91-8*$B$6,$B$5,FALSE),0)</f>
        <v/>
      </c>
      <c r="AA91" s="18">
        <f>IF($A91-9*$B$6&gt;=0,_xlfn.POISSON.DIST($A91-9*$B$6,$B$5,FALSE),0)</f>
        <v/>
      </c>
      <c r="AB91" s="18">
        <f>IF($A91-10*$B$6&gt;=0,_xlfn.POISSON.DIST($A91-10*$B$6,$B$5,FALSE),0)</f>
        <v/>
      </c>
      <c r="AC91" s="18">
        <f>IF($A91-11*$B$6&gt;=0,_xlfn.POISSON.DIST($A91-11*$B$6,$B$5,FALSE),0)</f>
        <v/>
      </c>
      <c r="AD91" s="18">
        <f>IF($A91-12*$B$6&gt;=0,_xlfn.POISSON.DIST($A91-12*$B$6,$B$5,FALSE),0)</f>
        <v/>
      </c>
      <c r="AE91" s="18">
        <f>IF($A91-13*$B$6&gt;=0,_xlfn.POISSON.DIST($A91-13*$B$6,$B$5,FALSE),0)</f>
        <v/>
      </c>
      <c r="AF91" s="18">
        <f>IF($A91-14*$B$6&gt;=0,_xlfn.POISSON.DIST($A91-14*$B$6,$B$5,FALSE),0)</f>
        <v/>
      </c>
    </row>
    <row r="92">
      <c r="A92" s="10" t="n">
        <v>60</v>
      </c>
      <c r="B92" s="11">
        <f>SUMPRODUCT(R92:AF92,$R$29:$AF$29)</f>
        <v/>
      </c>
      <c r="C92" s="11">
        <f>C91+B92</f>
        <v/>
      </c>
      <c r="D92" s="11">
        <f>D91-(1-C91)</f>
        <v/>
      </c>
      <c r="E92" s="11">
        <f>E91-D92</f>
        <v/>
      </c>
      <c r="F92" s="11">
        <f>F91*($C$17+60-1)*(1-$C$16)/60</f>
        <v/>
      </c>
      <c r="G92" s="11">
        <f>G91+F92</f>
        <v/>
      </c>
      <c r="H92" s="11">
        <f>H91-(1-G91)</f>
        <v/>
      </c>
      <c r="I92" s="11">
        <f>I91-H92</f>
        <v/>
      </c>
      <c r="J92" s="11">
        <f>J91*($D$17+60-1)*(1-$D$16)/60</f>
        <v/>
      </c>
      <c r="K92" s="11">
        <f>K91+J92</f>
        <v/>
      </c>
      <c r="L92" s="11">
        <f>L91-(1-K91)</f>
        <v/>
      </c>
      <c r="M92" s="11">
        <f>M91-L92</f>
        <v/>
      </c>
      <c r="R92" s="18">
        <f>IF($A92-0*$B$6&gt;=0,_xlfn.POISSON.DIST($A92-0*$B$6,$B$5,FALSE),0)</f>
        <v/>
      </c>
      <c r="S92" s="18">
        <f>IF($A92-1*$B$6&gt;=0,_xlfn.POISSON.DIST($A92-1*$B$6,$B$5,FALSE),0)</f>
        <v/>
      </c>
      <c r="T92" s="18">
        <f>IF($A92-2*$B$6&gt;=0,_xlfn.POISSON.DIST($A92-2*$B$6,$B$5,FALSE),0)</f>
        <v/>
      </c>
      <c r="U92" s="18">
        <f>IF($A92-3*$B$6&gt;=0,_xlfn.POISSON.DIST($A92-3*$B$6,$B$5,FALSE),0)</f>
        <v/>
      </c>
      <c r="V92" s="18">
        <f>IF($A92-4*$B$6&gt;=0,_xlfn.POISSON.DIST($A92-4*$B$6,$B$5,FALSE),0)</f>
        <v/>
      </c>
      <c r="W92" s="18">
        <f>IF($A92-5*$B$6&gt;=0,_xlfn.POISSON.DIST($A92-5*$B$6,$B$5,FALSE),0)</f>
        <v/>
      </c>
      <c r="X92" s="18">
        <f>IF($A92-6*$B$6&gt;=0,_xlfn.POISSON.DIST($A92-6*$B$6,$B$5,FALSE),0)</f>
        <v/>
      </c>
      <c r="Y92" s="18">
        <f>IF($A92-7*$B$6&gt;=0,_xlfn.POISSON.DIST($A92-7*$B$6,$B$5,FALSE),0)</f>
        <v/>
      </c>
      <c r="Z92" s="18">
        <f>IF($A92-8*$B$6&gt;=0,_xlfn.POISSON.DIST($A92-8*$B$6,$B$5,FALSE),0)</f>
        <v/>
      </c>
      <c r="AA92" s="18">
        <f>IF($A92-9*$B$6&gt;=0,_xlfn.POISSON.DIST($A92-9*$B$6,$B$5,FALSE),0)</f>
        <v/>
      </c>
      <c r="AB92" s="18">
        <f>IF($A92-10*$B$6&gt;=0,_xlfn.POISSON.DIST($A92-10*$B$6,$B$5,FALSE),0)</f>
        <v/>
      </c>
      <c r="AC92" s="18">
        <f>IF($A92-11*$B$6&gt;=0,_xlfn.POISSON.DIST($A92-11*$B$6,$B$5,FALSE),0)</f>
        <v/>
      </c>
      <c r="AD92" s="18">
        <f>IF($A92-12*$B$6&gt;=0,_xlfn.POISSON.DIST($A92-12*$B$6,$B$5,FALSE),0)</f>
        <v/>
      </c>
      <c r="AE92" s="18">
        <f>IF($A92-13*$B$6&gt;=0,_xlfn.POISSON.DIST($A92-13*$B$6,$B$5,FALSE),0)</f>
        <v/>
      </c>
      <c r="AF92" s="18">
        <f>IF($A92-14*$B$6&gt;=0,_xlfn.POISSON.DIST($A92-14*$B$6,$B$5,FALSE),0)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Two waits at the hub: a lone customer's and the storeroom's order</t>
        </is>
      </c>
    </row>
    <row r="2">
      <c r="A2" s="2" t="inlineStr">
        <is>
          <t>@sec-batchedmultiechelon. At whole weeks w, the window is L_0 - w long.</t>
        </is>
      </c>
    </row>
    <row r="4">
      <c r="A4" s="3" t="inlineStr">
        <is>
          <t>Read from the Orders sheet</t>
        </is>
      </c>
    </row>
    <row r="5">
      <c r="A5" t="inlineStr">
        <is>
          <t>lambda_j</t>
        </is>
      </c>
      <c r="B5" s="7">
        <f>Orders!B5</f>
        <v/>
      </c>
    </row>
    <row r="6">
      <c r="A6" t="inlineStr">
        <is>
          <t>Q_j</t>
        </is>
      </c>
      <c r="B6" s="12">
        <f>Orders!B6</f>
        <v/>
      </c>
    </row>
    <row r="7">
      <c r="A7" t="inlineStr">
        <is>
          <t>lambda_o</t>
        </is>
      </c>
      <c r="B7" s="7">
        <f>Orders!B7</f>
        <v/>
      </c>
    </row>
    <row r="8">
      <c r="A8" t="inlineStr">
        <is>
          <t>L_0</t>
        </is>
      </c>
      <c r="B8" s="7">
        <f>Orders!B8</f>
        <v/>
      </c>
    </row>
    <row r="9">
      <c r="A9" t="inlineStr">
        <is>
          <t>r_0</t>
        </is>
      </c>
      <c r="B9" s="12">
        <f>Orders!B9</f>
        <v/>
      </c>
    </row>
    <row r="10">
      <c r="A10" t="inlineStr">
        <is>
          <t>Q_0</t>
        </is>
      </c>
      <c r="B10" s="12">
        <f>Orders!B10</f>
        <v/>
      </c>
    </row>
    <row r="12">
      <c r="A12" s="3" t="inlineStr">
        <is>
          <t>The answers</t>
        </is>
      </c>
    </row>
    <row r="13">
      <c r="A13" s="9" t="inlineStr">
        <is>
          <t>w, weeks</t>
        </is>
      </c>
      <c r="B13" s="9" t="inlineStr">
        <is>
          <t>a lone customer</t>
        </is>
      </c>
      <c r="C13" s="9" t="inlineStr">
        <is>
          <t>the storeroom's order</t>
        </is>
      </c>
    </row>
    <row r="14">
      <c r="A14" s="10" t="n">
        <v>0</v>
      </c>
      <c r="B14" s="13">
        <f>IF(0&gt;=$B$8,1,SUM(D26:K40)/$B$10)</f>
        <v/>
      </c>
      <c r="C14" s="13">
        <f>IF(0&gt;=$B$8,1,SUM(L26:S40)/$B$10)</f>
        <v/>
      </c>
    </row>
    <row r="15">
      <c r="A15" s="10" t="n">
        <v>1</v>
      </c>
      <c r="B15" s="13">
        <f>IF(1&gt;=$B$8,1,SUM(D92:K106)/$B$10)</f>
        <v/>
      </c>
      <c r="C15" s="13">
        <f>IF(1&gt;=$B$8,1,SUM(L92:S106)/$B$10)</f>
        <v/>
      </c>
    </row>
    <row r="16">
      <c r="A16" s="10" t="n">
        <v>2</v>
      </c>
      <c r="B16" s="13">
        <f>IF(2&gt;=$B$8,1,SUM(D158:K172)/$B$10)</f>
        <v/>
      </c>
      <c r="C16" s="13">
        <f>IF(2&gt;=$B$8,1,SUM(L158:S172)/$B$10)</f>
        <v/>
      </c>
    </row>
    <row r="18">
      <c r="A18" s="2" t="inlineStr">
        <is>
          <t>Averaged over the hub's positions, which are uniform because some demand at the hub comes one unit at a time.</t>
        </is>
      </c>
    </row>
    <row r="20">
      <c r="A20" s="3" t="inlineStr">
        <is>
          <t>w = 0, a window of L_0 - 0 weeks</t>
        </is>
      </c>
    </row>
    <row r="21">
      <c r="A21" t="inlineStr">
        <is>
          <t>window</t>
        </is>
      </c>
      <c r="B21" s="7">
        <f>$B$8-0</f>
        <v/>
      </c>
    </row>
    <row r="22">
      <c r="A22" t="inlineStr">
        <is>
          <t>storeroom demand in it</t>
        </is>
      </c>
      <c r="B22" s="7">
        <f>$B$5*B21</f>
        <v/>
      </c>
    </row>
    <row r="23">
      <c r="A23" t="inlineStr">
        <is>
          <t>other demand in it</t>
        </is>
      </c>
      <c r="B23" s="7">
        <f>$B$7*B21</f>
        <v/>
      </c>
    </row>
    <row r="25">
      <c r="A25" s="9" t="inlineStr">
        <is>
          <t>n</t>
        </is>
      </c>
      <c r="B25" s="9" t="inlineStr">
        <is>
          <t>P(N = n)</t>
        </is>
      </c>
      <c r="C25" s="9" t="inlineStr">
        <is>
          <t>seen from order</t>
        </is>
      </c>
      <c r="D25" s="9" t="inlineStr">
        <is>
          <t>u=r_0+1</t>
        </is>
      </c>
      <c r="E25" s="9" t="inlineStr">
        <is>
          <t>u=r_0+2</t>
        </is>
      </c>
      <c r="F25" s="9" t="inlineStr">
        <is>
          <t>u=r_0+3</t>
        </is>
      </c>
      <c r="G25" s="9" t="inlineStr">
        <is>
          <t>u=r_0+4</t>
        </is>
      </c>
      <c r="H25" s="9" t="inlineStr">
        <is>
          <t>u=r_0+5</t>
        </is>
      </c>
      <c r="I25" s="9" t="inlineStr">
        <is>
          <t>u=r_0+6</t>
        </is>
      </c>
      <c r="J25" s="9" t="inlineStr">
        <is>
          <t>u=r_0+7</t>
        </is>
      </c>
      <c r="K25" s="9" t="inlineStr">
        <is>
          <t>u=r_0+8</t>
        </is>
      </c>
      <c r="L25" s="9" t="inlineStr">
        <is>
          <t>order, u=r_0+1</t>
        </is>
      </c>
      <c r="M25" s="9" t="inlineStr">
        <is>
          <t>order, u=r_0+2</t>
        </is>
      </c>
      <c r="N25" s="9" t="inlineStr">
        <is>
          <t>order, u=r_0+3</t>
        </is>
      </c>
      <c r="O25" s="9" t="inlineStr">
        <is>
          <t>order, u=r_0+4</t>
        </is>
      </c>
      <c r="P25" s="9" t="inlineStr">
        <is>
          <t>order, u=r_0+5</t>
        </is>
      </c>
      <c r="Q25" s="9" t="inlineStr">
        <is>
          <t>order, u=r_0+6</t>
        </is>
      </c>
      <c r="R25" s="9" t="inlineStr">
        <is>
          <t>order, u=r_0+7</t>
        </is>
      </c>
      <c r="S25" s="9" t="inlineStr">
        <is>
          <t>order, u=r_0+8</t>
        </is>
      </c>
      <c r="T25" s="9" t="inlineStr">
        <is>
          <t>P(N &gt;= n)</t>
        </is>
      </c>
      <c r="U25" s="9" t="inlineStr">
        <is>
          <t>y</t>
        </is>
      </c>
      <c r="V25" s="9" t="inlineStr">
        <is>
          <t>P(D &gt;= y)</t>
        </is>
      </c>
    </row>
    <row r="26">
      <c r="A26" s="10" t="n">
        <v>0</v>
      </c>
      <c r="B26" s="11">
        <f>T26-T27</f>
        <v/>
      </c>
      <c r="C26" s="11">
        <f>_xlfn.POISSON.DIST(0*$B$6+$B$6-1,$B$22,TRUE)-0</f>
        <v/>
      </c>
      <c r="D26" s="18">
        <f>IF($B$9+1-1-0*$B$6&gt;=0,B26*_xlfn.POISSON.DIST($B$9+1-1-0*$B$6,$B$23,TRUE),0)</f>
        <v/>
      </c>
      <c r="E26" s="18">
        <f>IF($B$9+2-1-0*$B$6&gt;=0,B26*_xlfn.POISSON.DIST($B$9+2-1-0*$B$6,$B$23,TRUE),0)</f>
        <v/>
      </c>
      <c r="F26" s="18">
        <f>IF($B$9+3-1-0*$B$6&gt;=0,B26*_xlfn.POISSON.DIST($B$9+3-1-0*$B$6,$B$23,TRUE),0)</f>
        <v/>
      </c>
      <c r="G26" s="18">
        <f>IF($B$9+4-1-0*$B$6&gt;=0,B26*_xlfn.POISSON.DIST($B$9+4-1-0*$B$6,$B$23,TRUE),0)</f>
        <v/>
      </c>
      <c r="H26" s="18">
        <f>IF($B$9+5-1-0*$B$6&gt;=0,B26*_xlfn.POISSON.DIST($B$9+5-1-0*$B$6,$B$23,TRUE),0)</f>
        <v/>
      </c>
      <c r="I26" s="18">
        <f>IF($B$9+6-1-0*$B$6&gt;=0,B26*_xlfn.POISSON.DIST($B$9+6-1-0*$B$6,$B$23,TRUE),0)</f>
        <v/>
      </c>
      <c r="J26" s="18">
        <f>IF($B$9+7-1-0*$B$6&gt;=0,B26*_xlfn.POISSON.DIST($B$9+7-1-0*$B$6,$B$23,TRUE),0)</f>
        <v/>
      </c>
      <c r="K26" s="18">
        <f>IF($B$9+8-1-0*$B$6&gt;=0,B26*_xlfn.POISSON.DIST($B$9+8-1-0*$B$6,$B$23,TRUE),0)</f>
        <v/>
      </c>
      <c r="L26" s="18">
        <f>IF($B$9+1-$B$6-0*$B$6&gt;=0,C26*_xlfn.POISSON.DIST($B$9+1-$B$6-0*$B$6,$B$23,TRUE),0)</f>
        <v/>
      </c>
      <c r="M26" s="18">
        <f>IF($B$9+2-$B$6-0*$B$6&gt;=0,C26*_xlfn.POISSON.DIST($B$9+2-$B$6-0*$B$6,$B$23,TRUE),0)</f>
        <v/>
      </c>
      <c r="N26" s="18">
        <f>IF($B$9+3-$B$6-0*$B$6&gt;=0,C26*_xlfn.POISSON.DIST($B$9+3-$B$6-0*$B$6,$B$23,TRUE),0)</f>
        <v/>
      </c>
      <c r="O26" s="18">
        <f>IF($B$9+4-$B$6-0*$B$6&gt;=0,C26*_xlfn.POISSON.DIST($B$9+4-$B$6-0*$B$6,$B$23,TRUE),0)</f>
        <v/>
      </c>
      <c r="P26" s="18">
        <f>IF($B$9+5-$B$6-0*$B$6&gt;=0,C26*_xlfn.POISSON.DIST($B$9+5-$B$6-0*$B$6,$B$23,TRUE),0)</f>
        <v/>
      </c>
      <c r="Q26" s="18">
        <f>IF($B$9+6-$B$6-0*$B$6&gt;=0,C26*_xlfn.POISSON.DIST($B$9+6-$B$6-0*$B$6,$B$23,TRUE),0)</f>
        <v/>
      </c>
      <c r="R26" s="18">
        <f>IF($B$9+7-$B$6-0*$B$6&gt;=0,C26*_xlfn.POISSON.DIST($B$9+7-$B$6-0*$B$6,$B$23,TRUE),0)</f>
        <v/>
      </c>
      <c r="S26" s="18">
        <f>IF($B$9+8-$B$6-0*$B$6&gt;=0,C26*_xlfn.POISSON.DIST($B$9+8-$B$6-0*$B$6,$B$23,TRUE),0)</f>
        <v/>
      </c>
      <c r="T26" s="18">
        <f>1</f>
        <v/>
      </c>
      <c r="U26" s="10" t="n">
        <v>1</v>
      </c>
      <c r="V26" s="18">
        <f>1-_xlfn.POISSON.DIST(U26-1,$B$22,TRUE)</f>
        <v/>
      </c>
    </row>
    <row r="27">
      <c r="A27" s="10" t="n">
        <v>1</v>
      </c>
      <c r="B27" s="11">
        <f>T27-T28</f>
        <v/>
      </c>
      <c r="C27" s="11">
        <f>_xlfn.POISSON.DIST(1*$B$6+$B$6-1,$B$22,TRUE)-_xlfn.POISSON.DIST(1*$B$6-1,$B$22,TRUE)</f>
        <v/>
      </c>
      <c r="D27" s="18">
        <f>IF($B$9+1-1-1*$B$6&gt;=0,B27*_xlfn.POISSON.DIST($B$9+1-1-1*$B$6,$B$23,TRUE),0)</f>
        <v/>
      </c>
      <c r="E27" s="18">
        <f>IF($B$9+2-1-1*$B$6&gt;=0,B27*_xlfn.POISSON.DIST($B$9+2-1-1*$B$6,$B$23,TRUE),0)</f>
        <v/>
      </c>
      <c r="F27" s="18">
        <f>IF($B$9+3-1-1*$B$6&gt;=0,B27*_xlfn.POISSON.DIST($B$9+3-1-1*$B$6,$B$23,TRUE),0)</f>
        <v/>
      </c>
      <c r="G27" s="18">
        <f>IF($B$9+4-1-1*$B$6&gt;=0,B27*_xlfn.POISSON.DIST($B$9+4-1-1*$B$6,$B$23,TRUE),0)</f>
        <v/>
      </c>
      <c r="H27" s="18">
        <f>IF($B$9+5-1-1*$B$6&gt;=0,B27*_xlfn.POISSON.DIST($B$9+5-1-1*$B$6,$B$23,TRUE),0)</f>
        <v/>
      </c>
      <c r="I27" s="18">
        <f>IF($B$9+6-1-1*$B$6&gt;=0,B27*_xlfn.POISSON.DIST($B$9+6-1-1*$B$6,$B$23,TRUE),0)</f>
        <v/>
      </c>
      <c r="J27" s="18">
        <f>IF($B$9+7-1-1*$B$6&gt;=0,B27*_xlfn.POISSON.DIST($B$9+7-1-1*$B$6,$B$23,TRUE),0)</f>
        <v/>
      </c>
      <c r="K27" s="18">
        <f>IF($B$9+8-1-1*$B$6&gt;=0,B27*_xlfn.POISSON.DIST($B$9+8-1-1*$B$6,$B$23,TRUE),0)</f>
        <v/>
      </c>
      <c r="L27" s="18">
        <f>IF($B$9+1-$B$6-1*$B$6&gt;=0,C27*_xlfn.POISSON.DIST($B$9+1-$B$6-1*$B$6,$B$23,TRUE),0)</f>
        <v/>
      </c>
      <c r="M27" s="18">
        <f>IF($B$9+2-$B$6-1*$B$6&gt;=0,C27*_xlfn.POISSON.DIST($B$9+2-$B$6-1*$B$6,$B$23,TRUE),0)</f>
        <v/>
      </c>
      <c r="N27" s="18">
        <f>IF($B$9+3-$B$6-1*$B$6&gt;=0,C27*_xlfn.POISSON.DIST($B$9+3-$B$6-1*$B$6,$B$23,TRUE),0)</f>
        <v/>
      </c>
      <c r="O27" s="18">
        <f>IF($B$9+4-$B$6-1*$B$6&gt;=0,C27*_xlfn.POISSON.DIST($B$9+4-$B$6-1*$B$6,$B$23,TRUE),0)</f>
        <v/>
      </c>
      <c r="P27" s="18">
        <f>IF($B$9+5-$B$6-1*$B$6&gt;=0,C27*_xlfn.POISSON.DIST($B$9+5-$B$6-1*$B$6,$B$23,TRUE),0)</f>
        <v/>
      </c>
      <c r="Q27" s="18">
        <f>IF($B$9+6-$B$6-1*$B$6&gt;=0,C27*_xlfn.POISSON.DIST($B$9+6-$B$6-1*$B$6,$B$23,TRUE),0)</f>
        <v/>
      </c>
      <c r="R27" s="18">
        <f>IF($B$9+7-$B$6-1*$B$6&gt;=0,C27*_xlfn.POISSON.DIST($B$9+7-$B$6-1*$B$6,$B$23,TRUE),0)</f>
        <v/>
      </c>
      <c r="S27" s="18">
        <f>IF($B$9+8-$B$6-1*$B$6&gt;=0,C27*_xlfn.POISSON.DIST($B$9+8-$B$6-1*$B$6,$B$23,TRUE),0)</f>
        <v/>
      </c>
      <c r="T27" s="18">
        <f>AVERAGE(INDEX($V$26:$V$70,(1-1)*$B$6+1):INDEX($V$26:$V$70,1*$B$6))</f>
        <v/>
      </c>
      <c r="U27" s="10" t="n">
        <v>2</v>
      </c>
      <c r="V27" s="18">
        <f>1-_xlfn.POISSON.DIST(U27-1,$B$22,TRUE)</f>
        <v/>
      </c>
    </row>
    <row r="28">
      <c r="A28" s="10" t="n">
        <v>2</v>
      </c>
      <c r="B28" s="11">
        <f>T28-T29</f>
        <v/>
      </c>
      <c r="C28" s="11">
        <f>_xlfn.POISSON.DIST(2*$B$6+$B$6-1,$B$22,TRUE)-_xlfn.POISSON.DIST(2*$B$6-1,$B$22,TRUE)</f>
        <v/>
      </c>
      <c r="D28" s="18">
        <f>IF($B$9+1-1-2*$B$6&gt;=0,B28*_xlfn.POISSON.DIST($B$9+1-1-2*$B$6,$B$23,TRUE),0)</f>
        <v/>
      </c>
      <c r="E28" s="18">
        <f>IF($B$9+2-1-2*$B$6&gt;=0,B28*_xlfn.POISSON.DIST($B$9+2-1-2*$B$6,$B$23,TRUE),0)</f>
        <v/>
      </c>
      <c r="F28" s="18">
        <f>IF($B$9+3-1-2*$B$6&gt;=0,B28*_xlfn.POISSON.DIST($B$9+3-1-2*$B$6,$B$23,TRUE),0)</f>
        <v/>
      </c>
      <c r="G28" s="18">
        <f>IF($B$9+4-1-2*$B$6&gt;=0,B28*_xlfn.POISSON.DIST($B$9+4-1-2*$B$6,$B$23,TRUE),0)</f>
        <v/>
      </c>
      <c r="H28" s="18">
        <f>IF($B$9+5-1-2*$B$6&gt;=0,B28*_xlfn.POISSON.DIST($B$9+5-1-2*$B$6,$B$23,TRUE),0)</f>
        <v/>
      </c>
      <c r="I28" s="18">
        <f>IF($B$9+6-1-2*$B$6&gt;=0,B28*_xlfn.POISSON.DIST($B$9+6-1-2*$B$6,$B$23,TRUE),0)</f>
        <v/>
      </c>
      <c r="J28" s="18">
        <f>IF($B$9+7-1-2*$B$6&gt;=0,B28*_xlfn.POISSON.DIST($B$9+7-1-2*$B$6,$B$23,TRUE),0)</f>
        <v/>
      </c>
      <c r="K28" s="18">
        <f>IF($B$9+8-1-2*$B$6&gt;=0,B28*_xlfn.POISSON.DIST($B$9+8-1-2*$B$6,$B$23,TRUE),0)</f>
        <v/>
      </c>
      <c r="L28" s="18">
        <f>IF($B$9+1-$B$6-2*$B$6&gt;=0,C28*_xlfn.POISSON.DIST($B$9+1-$B$6-2*$B$6,$B$23,TRUE),0)</f>
        <v/>
      </c>
      <c r="M28" s="18">
        <f>IF($B$9+2-$B$6-2*$B$6&gt;=0,C28*_xlfn.POISSON.DIST($B$9+2-$B$6-2*$B$6,$B$23,TRUE),0)</f>
        <v/>
      </c>
      <c r="N28" s="18">
        <f>IF($B$9+3-$B$6-2*$B$6&gt;=0,C28*_xlfn.POISSON.DIST($B$9+3-$B$6-2*$B$6,$B$23,TRUE),0)</f>
        <v/>
      </c>
      <c r="O28" s="18">
        <f>IF($B$9+4-$B$6-2*$B$6&gt;=0,C28*_xlfn.POISSON.DIST($B$9+4-$B$6-2*$B$6,$B$23,TRUE),0)</f>
        <v/>
      </c>
      <c r="P28" s="18">
        <f>IF($B$9+5-$B$6-2*$B$6&gt;=0,C28*_xlfn.POISSON.DIST($B$9+5-$B$6-2*$B$6,$B$23,TRUE),0)</f>
        <v/>
      </c>
      <c r="Q28" s="18">
        <f>IF($B$9+6-$B$6-2*$B$6&gt;=0,C28*_xlfn.POISSON.DIST($B$9+6-$B$6-2*$B$6,$B$23,TRUE),0)</f>
        <v/>
      </c>
      <c r="R28" s="18">
        <f>IF($B$9+7-$B$6-2*$B$6&gt;=0,C28*_xlfn.POISSON.DIST($B$9+7-$B$6-2*$B$6,$B$23,TRUE),0)</f>
        <v/>
      </c>
      <c r="S28" s="18">
        <f>IF($B$9+8-$B$6-2*$B$6&gt;=0,C28*_xlfn.POISSON.DIST($B$9+8-$B$6-2*$B$6,$B$23,TRUE),0)</f>
        <v/>
      </c>
      <c r="T28" s="18">
        <f>AVERAGE(INDEX($V$26:$V$70,(2-1)*$B$6+1):INDEX($V$26:$V$70,2*$B$6))</f>
        <v/>
      </c>
      <c r="U28" s="10" t="n">
        <v>3</v>
      </c>
      <c r="V28" s="18">
        <f>1-_xlfn.POISSON.DIST(U28-1,$B$22,TRUE)</f>
        <v/>
      </c>
    </row>
    <row r="29">
      <c r="A29" s="10" t="n">
        <v>3</v>
      </c>
      <c r="B29" s="11">
        <f>T29-T30</f>
        <v/>
      </c>
      <c r="C29" s="11">
        <f>_xlfn.POISSON.DIST(3*$B$6+$B$6-1,$B$22,TRUE)-_xlfn.POISSON.DIST(3*$B$6-1,$B$22,TRUE)</f>
        <v/>
      </c>
      <c r="D29" s="18">
        <f>IF($B$9+1-1-3*$B$6&gt;=0,B29*_xlfn.POISSON.DIST($B$9+1-1-3*$B$6,$B$23,TRUE),0)</f>
        <v/>
      </c>
      <c r="E29" s="18">
        <f>IF($B$9+2-1-3*$B$6&gt;=0,B29*_xlfn.POISSON.DIST($B$9+2-1-3*$B$6,$B$23,TRUE),0)</f>
        <v/>
      </c>
      <c r="F29" s="18">
        <f>IF($B$9+3-1-3*$B$6&gt;=0,B29*_xlfn.POISSON.DIST($B$9+3-1-3*$B$6,$B$23,TRUE),0)</f>
        <v/>
      </c>
      <c r="G29" s="18">
        <f>IF($B$9+4-1-3*$B$6&gt;=0,B29*_xlfn.POISSON.DIST($B$9+4-1-3*$B$6,$B$23,TRUE),0)</f>
        <v/>
      </c>
      <c r="H29" s="18">
        <f>IF($B$9+5-1-3*$B$6&gt;=0,B29*_xlfn.POISSON.DIST($B$9+5-1-3*$B$6,$B$23,TRUE),0)</f>
        <v/>
      </c>
      <c r="I29" s="18">
        <f>IF($B$9+6-1-3*$B$6&gt;=0,B29*_xlfn.POISSON.DIST($B$9+6-1-3*$B$6,$B$23,TRUE),0)</f>
        <v/>
      </c>
      <c r="J29" s="18">
        <f>IF($B$9+7-1-3*$B$6&gt;=0,B29*_xlfn.POISSON.DIST($B$9+7-1-3*$B$6,$B$23,TRUE),0)</f>
        <v/>
      </c>
      <c r="K29" s="18">
        <f>IF($B$9+8-1-3*$B$6&gt;=0,B29*_xlfn.POISSON.DIST($B$9+8-1-3*$B$6,$B$23,TRUE),0)</f>
        <v/>
      </c>
      <c r="L29" s="18">
        <f>IF($B$9+1-$B$6-3*$B$6&gt;=0,C29*_xlfn.POISSON.DIST($B$9+1-$B$6-3*$B$6,$B$23,TRUE),0)</f>
        <v/>
      </c>
      <c r="M29" s="18">
        <f>IF($B$9+2-$B$6-3*$B$6&gt;=0,C29*_xlfn.POISSON.DIST($B$9+2-$B$6-3*$B$6,$B$23,TRUE),0)</f>
        <v/>
      </c>
      <c r="N29" s="18">
        <f>IF($B$9+3-$B$6-3*$B$6&gt;=0,C29*_xlfn.POISSON.DIST($B$9+3-$B$6-3*$B$6,$B$23,TRUE),0)</f>
        <v/>
      </c>
      <c r="O29" s="18">
        <f>IF($B$9+4-$B$6-3*$B$6&gt;=0,C29*_xlfn.POISSON.DIST($B$9+4-$B$6-3*$B$6,$B$23,TRUE),0)</f>
        <v/>
      </c>
      <c r="P29" s="18">
        <f>IF($B$9+5-$B$6-3*$B$6&gt;=0,C29*_xlfn.POISSON.DIST($B$9+5-$B$6-3*$B$6,$B$23,TRUE),0)</f>
        <v/>
      </c>
      <c r="Q29" s="18">
        <f>IF($B$9+6-$B$6-3*$B$6&gt;=0,C29*_xlfn.POISSON.DIST($B$9+6-$B$6-3*$B$6,$B$23,TRUE),0)</f>
        <v/>
      </c>
      <c r="R29" s="18">
        <f>IF($B$9+7-$B$6-3*$B$6&gt;=0,C29*_xlfn.POISSON.DIST($B$9+7-$B$6-3*$B$6,$B$23,TRUE),0)</f>
        <v/>
      </c>
      <c r="S29" s="18">
        <f>IF($B$9+8-$B$6-3*$B$6&gt;=0,C29*_xlfn.POISSON.DIST($B$9+8-$B$6-3*$B$6,$B$23,TRUE),0)</f>
        <v/>
      </c>
      <c r="T29" s="18">
        <f>AVERAGE(INDEX($V$26:$V$70,(3-1)*$B$6+1):INDEX($V$26:$V$70,3*$B$6))</f>
        <v/>
      </c>
      <c r="U29" s="10" t="n">
        <v>4</v>
      </c>
      <c r="V29" s="18">
        <f>1-_xlfn.POISSON.DIST(U29-1,$B$22,TRUE)</f>
        <v/>
      </c>
    </row>
    <row r="30">
      <c r="A30" s="10" t="n">
        <v>4</v>
      </c>
      <c r="B30" s="11">
        <f>T30-T31</f>
        <v/>
      </c>
      <c r="C30" s="11">
        <f>_xlfn.POISSON.DIST(4*$B$6+$B$6-1,$B$22,TRUE)-_xlfn.POISSON.DIST(4*$B$6-1,$B$22,TRUE)</f>
        <v/>
      </c>
      <c r="D30" s="18">
        <f>IF($B$9+1-1-4*$B$6&gt;=0,B30*_xlfn.POISSON.DIST($B$9+1-1-4*$B$6,$B$23,TRUE),0)</f>
        <v/>
      </c>
      <c r="E30" s="18">
        <f>IF($B$9+2-1-4*$B$6&gt;=0,B30*_xlfn.POISSON.DIST($B$9+2-1-4*$B$6,$B$23,TRUE),0)</f>
        <v/>
      </c>
      <c r="F30" s="18">
        <f>IF($B$9+3-1-4*$B$6&gt;=0,B30*_xlfn.POISSON.DIST($B$9+3-1-4*$B$6,$B$23,TRUE),0)</f>
        <v/>
      </c>
      <c r="G30" s="18">
        <f>IF($B$9+4-1-4*$B$6&gt;=0,B30*_xlfn.POISSON.DIST($B$9+4-1-4*$B$6,$B$23,TRUE),0)</f>
        <v/>
      </c>
      <c r="H30" s="18">
        <f>IF($B$9+5-1-4*$B$6&gt;=0,B30*_xlfn.POISSON.DIST($B$9+5-1-4*$B$6,$B$23,TRUE),0)</f>
        <v/>
      </c>
      <c r="I30" s="18">
        <f>IF($B$9+6-1-4*$B$6&gt;=0,B30*_xlfn.POISSON.DIST($B$9+6-1-4*$B$6,$B$23,TRUE),0)</f>
        <v/>
      </c>
      <c r="J30" s="18">
        <f>IF($B$9+7-1-4*$B$6&gt;=0,B30*_xlfn.POISSON.DIST($B$9+7-1-4*$B$6,$B$23,TRUE),0)</f>
        <v/>
      </c>
      <c r="K30" s="18">
        <f>IF($B$9+8-1-4*$B$6&gt;=0,B30*_xlfn.POISSON.DIST($B$9+8-1-4*$B$6,$B$23,TRUE),0)</f>
        <v/>
      </c>
      <c r="L30" s="18">
        <f>IF($B$9+1-$B$6-4*$B$6&gt;=0,C30*_xlfn.POISSON.DIST($B$9+1-$B$6-4*$B$6,$B$23,TRUE),0)</f>
        <v/>
      </c>
      <c r="M30" s="18">
        <f>IF($B$9+2-$B$6-4*$B$6&gt;=0,C30*_xlfn.POISSON.DIST($B$9+2-$B$6-4*$B$6,$B$23,TRUE),0)</f>
        <v/>
      </c>
      <c r="N30" s="18">
        <f>IF($B$9+3-$B$6-4*$B$6&gt;=0,C30*_xlfn.POISSON.DIST($B$9+3-$B$6-4*$B$6,$B$23,TRUE),0)</f>
        <v/>
      </c>
      <c r="O30" s="18">
        <f>IF($B$9+4-$B$6-4*$B$6&gt;=0,C30*_xlfn.POISSON.DIST($B$9+4-$B$6-4*$B$6,$B$23,TRUE),0)</f>
        <v/>
      </c>
      <c r="P30" s="18">
        <f>IF($B$9+5-$B$6-4*$B$6&gt;=0,C30*_xlfn.POISSON.DIST($B$9+5-$B$6-4*$B$6,$B$23,TRUE),0)</f>
        <v/>
      </c>
      <c r="Q30" s="18">
        <f>IF($B$9+6-$B$6-4*$B$6&gt;=0,C30*_xlfn.POISSON.DIST($B$9+6-$B$6-4*$B$6,$B$23,TRUE),0)</f>
        <v/>
      </c>
      <c r="R30" s="18">
        <f>IF($B$9+7-$B$6-4*$B$6&gt;=0,C30*_xlfn.POISSON.DIST($B$9+7-$B$6-4*$B$6,$B$23,TRUE),0)</f>
        <v/>
      </c>
      <c r="S30" s="18">
        <f>IF($B$9+8-$B$6-4*$B$6&gt;=0,C30*_xlfn.POISSON.DIST($B$9+8-$B$6-4*$B$6,$B$23,TRUE),0)</f>
        <v/>
      </c>
      <c r="T30" s="18">
        <f>AVERAGE(INDEX($V$26:$V$70,(4-1)*$B$6+1):INDEX($V$26:$V$70,4*$B$6))</f>
        <v/>
      </c>
      <c r="U30" s="10" t="n">
        <v>5</v>
      </c>
      <c r="V30" s="18">
        <f>1-_xlfn.POISSON.DIST(U30-1,$B$22,TRUE)</f>
        <v/>
      </c>
    </row>
    <row r="31">
      <c r="A31" s="10" t="n">
        <v>5</v>
      </c>
      <c r="B31" s="11">
        <f>T31-T32</f>
        <v/>
      </c>
      <c r="C31" s="11">
        <f>_xlfn.POISSON.DIST(5*$B$6+$B$6-1,$B$22,TRUE)-_xlfn.POISSON.DIST(5*$B$6-1,$B$22,TRUE)</f>
        <v/>
      </c>
      <c r="D31" s="18">
        <f>IF($B$9+1-1-5*$B$6&gt;=0,B31*_xlfn.POISSON.DIST($B$9+1-1-5*$B$6,$B$23,TRUE),0)</f>
        <v/>
      </c>
      <c r="E31" s="18">
        <f>IF($B$9+2-1-5*$B$6&gt;=0,B31*_xlfn.POISSON.DIST($B$9+2-1-5*$B$6,$B$23,TRUE),0)</f>
        <v/>
      </c>
      <c r="F31" s="18">
        <f>IF($B$9+3-1-5*$B$6&gt;=0,B31*_xlfn.POISSON.DIST($B$9+3-1-5*$B$6,$B$23,TRUE),0)</f>
        <v/>
      </c>
      <c r="G31" s="18">
        <f>IF($B$9+4-1-5*$B$6&gt;=0,B31*_xlfn.POISSON.DIST($B$9+4-1-5*$B$6,$B$23,TRUE),0)</f>
        <v/>
      </c>
      <c r="H31" s="18">
        <f>IF($B$9+5-1-5*$B$6&gt;=0,B31*_xlfn.POISSON.DIST($B$9+5-1-5*$B$6,$B$23,TRUE),0)</f>
        <v/>
      </c>
      <c r="I31" s="18">
        <f>IF($B$9+6-1-5*$B$6&gt;=0,B31*_xlfn.POISSON.DIST($B$9+6-1-5*$B$6,$B$23,TRUE),0)</f>
        <v/>
      </c>
      <c r="J31" s="18">
        <f>IF($B$9+7-1-5*$B$6&gt;=0,B31*_xlfn.POISSON.DIST($B$9+7-1-5*$B$6,$B$23,TRUE),0)</f>
        <v/>
      </c>
      <c r="K31" s="18">
        <f>IF($B$9+8-1-5*$B$6&gt;=0,B31*_xlfn.POISSON.DIST($B$9+8-1-5*$B$6,$B$23,TRUE),0)</f>
        <v/>
      </c>
      <c r="L31" s="18">
        <f>IF($B$9+1-$B$6-5*$B$6&gt;=0,C31*_xlfn.POISSON.DIST($B$9+1-$B$6-5*$B$6,$B$23,TRUE),0)</f>
        <v/>
      </c>
      <c r="M31" s="18">
        <f>IF($B$9+2-$B$6-5*$B$6&gt;=0,C31*_xlfn.POISSON.DIST($B$9+2-$B$6-5*$B$6,$B$23,TRUE),0)</f>
        <v/>
      </c>
      <c r="N31" s="18">
        <f>IF($B$9+3-$B$6-5*$B$6&gt;=0,C31*_xlfn.POISSON.DIST($B$9+3-$B$6-5*$B$6,$B$23,TRUE),0)</f>
        <v/>
      </c>
      <c r="O31" s="18">
        <f>IF($B$9+4-$B$6-5*$B$6&gt;=0,C31*_xlfn.POISSON.DIST($B$9+4-$B$6-5*$B$6,$B$23,TRUE),0)</f>
        <v/>
      </c>
      <c r="P31" s="18">
        <f>IF($B$9+5-$B$6-5*$B$6&gt;=0,C31*_xlfn.POISSON.DIST($B$9+5-$B$6-5*$B$6,$B$23,TRUE),0)</f>
        <v/>
      </c>
      <c r="Q31" s="18">
        <f>IF($B$9+6-$B$6-5*$B$6&gt;=0,C31*_xlfn.POISSON.DIST($B$9+6-$B$6-5*$B$6,$B$23,TRUE),0)</f>
        <v/>
      </c>
      <c r="R31" s="18">
        <f>IF($B$9+7-$B$6-5*$B$6&gt;=0,C31*_xlfn.POISSON.DIST($B$9+7-$B$6-5*$B$6,$B$23,TRUE),0)</f>
        <v/>
      </c>
      <c r="S31" s="18">
        <f>IF($B$9+8-$B$6-5*$B$6&gt;=0,C31*_xlfn.POISSON.DIST($B$9+8-$B$6-5*$B$6,$B$23,TRUE),0)</f>
        <v/>
      </c>
      <c r="T31" s="18">
        <f>AVERAGE(INDEX($V$26:$V$70,(5-1)*$B$6+1):INDEX($V$26:$V$70,5*$B$6))</f>
        <v/>
      </c>
      <c r="U31" s="10" t="n">
        <v>6</v>
      </c>
      <c r="V31" s="18">
        <f>1-_xlfn.POISSON.DIST(U31-1,$B$22,TRUE)</f>
        <v/>
      </c>
    </row>
    <row r="32">
      <c r="A32" s="10" t="n">
        <v>6</v>
      </c>
      <c r="B32" s="11">
        <f>T32-T33</f>
        <v/>
      </c>
      <c r="C32" s="11">
        <f>_xlfn.POISSON.DIST(6*$B$6+$B$6-1,$B$22,TRUE)-_xlfn.POISSON.DIST(6*$B$6-1,$B$22,TRUE)</f>
        <v/>
      </c>
      <c r="D32" s="18">
        <f>IF($B$9+1-1-6*$B$6&gt;=0,B32*_xlfn.POISSON.DIST($B$9+1-1-6*$B$6,$B$23,TRUE),0)</f>
        <v/>
      </c>
      <c r="E32" s="18">
        <f>IF($B$9+2-1-6*$B$6&gt;=0,B32*_xlfn.POISSON.DIST($B$9+2-1-6*$B$6,$B$23,TRUE),0)</f>
        <v/>
      </c>
      <c r="F32" s="18">
        <f>IF($B$9+3-1-6*$B$6&gt;=0,B32*_xlfn.POISSON.DIST($B$9+3-1-6*$B$6,$B$23,TRUE),0)</f>
        <v/>
      </c>
      <c r="G32" s="18">
        <f>IF($B$9+4-1-6*$B$6&gt;=0,B32*_xlfn.POISSON.DIST($B$9+4-1-6*$B$6,$B$23,TRUE),0)</f>
        <v/>
      </c>
      <c r="H32" s="18">
        <f>IF($B$9+5-1-6*$B$6&gt;=0,B32*_xlfn.POISSON.DIST($B$9+5-1-6*$B$6,$B$23,TRUE),0)</f>
        <v/>
      </c>
      <c r="I32" s="18">
        <f>IF($B$9+6-1-6*$B$6&gt;=0,B32*_xlfn.POISSON.DIST($B$9+6-1-6*$B$6,$B$23,TRUE),0)</f>
        <v/>
      </c>
      <c r="J32" s="18">
        <f>IF($B$9+7-1-6*$B$6&gt;=0,B32*_xlfn.POISSON.DIST($B$9+7-1-6*$B$6,$B$23,TRUE),0)</f>
        <v/>
      </c>
      <c r="K32" s="18">
        <f>IF($B$9+8-1-6*$B$6&gt;=0,B32*_xlfn.POISSON.DIST($B$9+8-1-6*$B$6,$B$23,TRUE),0)</f>
        <v/>
      </c>
      <c r="L32" s="18">
        <f>IF($B$9+1-$B$6-6*$B$6&gt;=0,C32*_xlfn.POISSON.DIST($B$9+1-$B$6-6*$B$6,$B$23,TRUE),0)</f>
        <v/>
      </c>
      <c r="M32" s="18">
        <f>IF($B$9+2-$B$6-6*$B$6&gt;=0,C32*_xlfn.POISSON.DIST($B$9+2-$B$6-6*$B$6,$B$23,TRUE),0)</f>
        <v/>
      </c>
      <c r="N32" s="18">
        <f>IF($B$9+3-$B$6-6*$B$6&gt;=0,C32*_xlfn.POISSON.DIST($B$9+3-$B$6-6*$B$6,$B$23,TRUE),0)</f>
        <v/>
      </c>
      <c r="O32" s="18">
        <f>IF($B$9+4-$B$6-6*$B$6&gt;=0,C32*_xlfn.POISSON.DIST($B$9+4-$B$6-6*$B$6,$B$23,TRUE),0)</f>
        <v/>
      </c>
      <c r="P32" s="18">
        <f>IF($B$9+5-$B$6-6*$B$6&gt;=0,C32*_xlfn.POISSON.DIST($B$9+5-$B$6-6*$B$6,$B$23,TRUE),0)</f>
        <v/>
      </c>
      <c r="Q32" s="18">
        <f>IF($B$9+6-$B$6-6*$B$6&gt;=0,C32*_xlfn.POISSON.DIST($B$9+6-$B$6-6*$B$6,$B$23,TRUE),0)</f>
        <v/>
      </c>
      <c r="R32" s="18">
        <f>IF($B$9+7-$B$6-6*$B$6&gt;=0,C32*_xlfn.POISSON.DIST($B$9+7-$B$6-6*$B$6,$B$23,TRUE),0)</f>
        <v/>
      </c>
      <c r="S32" s="18">
        <f>IF($B$9+8-$B$6-6*$B$6&gt;=0,C32*_xlfn.POISSON.DIST($B$9+8-$B$6-6*$B$6,$B$23,TRUE),0)</f>
        <v/>
      </c>
      <c r="T32" s="18">
        <f>AVERAGE(INDEX($V$26:$V$70,(6-1)*$B$6+1):INDEX($V$26:$V$70,6*$B$6))</f>
        <v/>
      </c>
      <c r="U32" s="10" t="n">
        <v>7</v>
      </c>
      <c r="V32" s="18">
        <f>1-_xlfn.POISSON.DIST(U32-1,$B$22,TRUE)</f>
        <v/>
      </c>
    </row>
    <row r="33">
      <c r="A33" s="10" t="n">
        <v>7</v>
      </c>
      <c r="B33" s="11">
        <f>T33-T34</f>
        <v/>
      </c>
      <c r="C33" s="11">
        <f>_xlfn.POISSON.DIST(7*$B$6+$B$6-1,$B$22,TRUE)-_xlfn.POISSON.DIST(7*$B$6-1,$B$22,TRUE)</f>
        <v/>
      </c>
      <c r="D33" s="18">
        <f>IF($B$9+1-1-7*$B$6&gt;=0,B33*_xlfn.POISSON.DIST($B$9+1-1-7*$B$6,$B$23,TRUE),0)</f>
        <v/>
      </c>
      <c r="E33" s="18">
        <f>IF($B$9+2-1-7*$B$6&gt;=0,B33*_xlfn.POISSON.DIST($B$9+2-1-7*$B$6,$B$23,TRUE),0)</f>
        <v/>
      </c>
      <c r="F33" s="18">
        <f>IF($B$9+3-1-7*$B$6&gt;=0,B33*_xlfn.POISSON.DIST($B$9+3-1-7*$B$6,$B$23,TRUE),0)</f>
        <v/>
      </c>
      <c r="G33" s="18">
        <f>IF($B$9+4-1-7*$B$6&gt;=0,B33*_xlfn.POISSON.DIST($B$9+4-1-7*$B$6,$B$23,TRUE),0)</f>
        <v/>
      </c>
      <c r="H33" s="18">
        <f>IF($B$9+5-1-7*$B$6&gt;=0,B33*_xlfn.POISSON.DIST($B$9+5-1-7*$B$6,$B$23,TRUE),0)</f>
        <v/>
      </c>
      <c r="I33" s="18">
        <f>IF($B$9+6-1-7*$B$6&gt;=0,B33*_xlfn.POISSON.DIST($B$9+6-1-7*$B$6,$B$23,TRUE),0)</f>
        <v/>
      </c>
      <c r="J33" s="18">
        <f>IF($B$9+7-1-7*$B$6&gt;=0,B33*_xlfn.POISSON.DIST($B$9+7-1-7*$B$6,$B$23,TRUE),0)</f>
        <v/>
      </c>
      <c r="K33" s="18">
        <f>IF($B$9+8-1-7*$B$6&gt;=0,B33*_xlfn.POISSON.DIST($B$9+8-1-7*$B$6,$B$23,TRUE),0)</f>
        <v/>
      </c>
      <c r="L33" s="18">
        <f>IF($B$9+1-$B$6-7*$B$6&gt;=0,C33*_xlfn.POISSON.DIST($B$9+1-$B$6-7*$B$6,$B$23,TRUE),0)</f>
        <v/>
      </c>
      <c r="M33" s="18">
        <f>IF($B$9+2-$B$6-7*$B$6&gt;=0,C33*_xlfn.POISSON.DIST($B$9+2-$B$6-7*$B$6,$B$23,TRUE),0)</f>
        <v/>
      </c>
      <c r="N33" s="18">
        <f>IF($B$9+3-$B$6-7*$B$6&gt;=0,C33*_xlfn.POISSON.DIST($B$9+3-$B$6-7*$B$6,$B$23,TRUE),0)</f>
        <v/>
      </c>
      <c r="O33" s="18">
        <f>IF($B$9+4-$B$6-7*$B$6&gt;=0,C33*_xlfn.POISSON.DIST($B$9+4-$B$6-7*$B$6,$B$23,TRUE),0)</f>
        <v/>
      </c>
      <c r="P33" s="18">
        <f>IF($B$9+5-$B$6-7*$B$6&gt;=0,C33*_xlfn.POISSON.DIST($B$9+5-$B$6-7*$B$6,$B$23,TRUE),0)</f>
        <v/>
      </c>
      <c r="Q33" s="18">
        <f>IF($B$9+6-$B$6-7*$B$6&gt;=0,C33*_xlfn.POISSON.DIST($B$9+6-$B$6-7*$B$6,$B$23,TRUE),0)</f>
        <v/>
      </c>
      <c r="R33" s="18">
        <f>IF($B$9+7-$B$6-7*$B$6&gt;=0,C33*_xlfn.POISSON.DIST($B$9+7-$B$6-7*$B$6,$B$23,TRUE),0)</f>
        <v/>
      </c>
      <c r="S33" s="18">
        <f>IF($B$9+8-$B$6-7*$B$6&gt;=0,C33*_xlfn.POISSON.DIST($B$9+8-$B$6-7*$B$6,$B$23,TRUE),0)</f>
        <v/>
      </c>
      <c r="T33" s="18">
        <f>AVERAGE(INDEX($V$26:$V$70,(7-1)*$B$6+1):INDEX($V$26:$V$70,7*$B$6))</f>
        <v/>
      </c>
      <c r="U33" s="10" t="n">
        <v>8</v>
      </c>
      <c r="V33" s="18">
        <f>1-_xlfn.POISSON.DIST(U33-1,$B$22,TRUE)</f>
        <v/>
      </c>
    </row>
    <row r="34">
      <c r="A34" s="10" t="n">
        <v>8</v>
      </c>
      <c r="B34" s="11">
        <f>T34-T35</f>
        <v/>
      </c>
      <c r="C34" s="11">
        <f>_xlfn.POISSON.DIST(8*$B$6+$B$6-1,$B$22,TRUE)-_xlfn.POISSON.DIST(8*$B$6-1,$B$22,TRUE)</f>
        <v/>
      </c>
      <c r="D34" s="18">
        <f>IF($B$9+1-1-8*$B$6&gt;=0,B34*_xlfn.POISSON.DIST($B$9+1-1-8*$B$6,$B$23,TRUE),0)</f>
        <v/>
      </c>
      <c r="E34" s="18">
        <f>IF($B$9+2-1-8*$B$6&gt;=0,B34*_xlfn.POISSON.DIST($B$9+2-1-8*$B$6,$B$23,TRUE),0)</f>
        <v/>
      </c>
      <c r="F34" s="18">
        <f>IF($B$9+3-1-8*$B$6&gt;=0,B34*_xlfn.POISSON.DIST($B$9+3-1-8*$B$6,$B$23,TRUE),0)</f>
        <v/>
      </c>
      <c r="G34" s="18">
        <f>IF($B$9+4-1-8*$B$6&gt;=0,B34*_xlfn.POISSON.DIST($B$9+4-1-8*$B$6,$B$23,TRUE),0)</f>
        <v/>
      </c>
      <c r="H34" s="18">
        <f>IF($B$9+5-1-8*$B$6&gt;=0,B34*_xlfn.POISSON.DIST($B$9+5-1-8*$B$6,$B$23,TRUE),0)</f>
        <v/>
      </c>
      <c r="I34" s="18">
        <f>IF($B$9+6-1-8*$B$6&gt;=0,B34*_xlfn.POISSON.DIST($B$9+6-1-8*$B$6,$B$23,TRUE),0)</f>
        <v/>
      </c>
      <c r="J34" s="18">
        <f>IF($B$9+7-1-8*$B$6&gt;=0,B34*_xlfn.POISSON.DIST($B$9+7-1-8*$B$6,$B$23,TRUE),0)</f>
        <v/>
      </c>
      <c r="K34" s="18">
        <f>IF($B$9+8-1-8*$B$6&gt;=0,B34*_xlfn.POISSON.DIST($B$9+8-1-8*$B$6,$B$23,TRUE),0)</f>
        <v/>
      </c>
      <c r="L34" s="18">
        <f>IF($B$9+1-$B$6-8*$B$6&gt;=0,C34*_xlfn.POISSON.DIST($B$9+1-$B$6-8*$B$6,$B$23,TRUE),0)</f>
        <v/>
      </c>
      <c r="M34" s="18">
        <f>IF($B$9+2-$B$6-8*$B$6&gt;=0,C34*_xlfn.POISSON.DIST($B$9+2-$B$6-8*$B$6,$B$23,TRUE),0)</f>
        <v/>
      </c>
      <c r="N34" s="18">
        <f>IF($B$9+3-$B$6-8*$B$6&gt;=0,C34*_xlfn.POISSON.DIST($B$9+3-$B$6-8*$B$6,$B$23,TRUE),0)</f>
        <v/>
      </c>
      <c r="O34" s="18">
        <f>IF($B$9+4-$B$6-8*$B$6&gt;=0,C34*_xlfn.POISSON.DIST($B$9+4-$B$6-8*$B$6,$B$23,TRUE),0)</f>
        <v/>
      </c>
      <c r="P34" s="18">
        <f>IF($B$9+5-$B$6-8*$B$6&gt;=0,C34*_xlfn.POISSON.DIST($B$9+5-$B$6-8*$B$6,$B$23,TRUE),0)</f>
        <v/>
      </c>
      <c r="Q34" s="18">
        <f>IF($B$9+6-$B$6-8*$B$6&gt;=0,C34*_xlfn.POISSON.DIST($B$9+6-$B$6-8*$B$6,$B$23,TRUE),0)</f>
        <v/>
      </c>
      <c r="R34" s="18">
        <f>IF($B$9+7-$B$6-8*$B$6&gt;=0,C34*_xlfn.POISSON.DIST($B$9+7-$B$6-8*$B$6,$B$23,TRUE),0)</f>
        <v/>
      </c>
      <c r="S34" s="18">
        <f>IF($B$9+8-$B$6-8*$B$6&gt;=0,C34*_xlfn.POISSON.DIST($B$9+8-$B$6-8*$B$6,$B$23,TRUE),0)</f>
        <v/>
      </c>
      <c r="T34" s="18">
        <f>AVERAGE(INDEX($V$26:$V$70,(8-1)*$B$6+1):INDEX($V$26:$V$70,8*$B$6))</f>
        <v/>
      </c>
      <c r="U34" s="10" t="n">
        <v>9</v>
      </c>
      <c r="V34" s="18">
        <f>1-_xlfn.POISSON.DIST(U34-1,$B$22,TRUE)</f>
        <v/>
      </c>
    </row>
    <row r="35">
      <c r="A35" s="10" t="n">
        <v>9</v>
      </c>
      <c r="B35" s="11">
        <f>T35-T36</f>
        <v/>
      </c>
      <c r="C35" s="11">
        <f>_xlfn.POISSON.DIST(9*$B$6+$B$6-1,$B$22,TRUE)-_xlfn.POISSON.DIST(9*$B$6-1,$B$22,TRUE)</f>
        <v/>
      </c>
      <c r="D35" s="18">
        <f>IF($B$9+1-1-9*$B$6&gt;=0,B35*_xlfn.POISSON.DIST($B$9+1-1-9*$B$6,$B$23,TRUE),0)</f>
        <v/>
      </c>
      <c r="E35" s="18">
        <f>IF($B$9+2-1-9*$B$6&gt;=0,B35*_xlfn.POISSON.DIST($B$9+2-1-9*$B$6,$B$23,TRUE),0)</f>
        <v/>
      </c>
      <c r="F35" s="18">
        <f>IF($B$9+3-1-9*$B$6&gt;=0,B35*_xlfn.POISSON.DIST($B$9+3-1-9*$B$6,$B$23,TRUE),0)</f>
        <v/>
      </c>
      <c r="G35" s="18">
        <f>IF($B$9+4-1-9*$B$6&gt;=0,B35*_xlfn.POISSON.DIST($B$9+4-1-9*$B$6,$B$23,TRUE),0)</f>
        <v/>
      </c>
      <c r="H35" s="18">
        <f>IF($B$9+5-1-9*$B$6&gt;=0,B35*_xlfn.POISSON.DIST($B$9+5-1-9*$B$6,$B$23,TRUE),0)</f>
        <v/>
      </c>
      <c r="I35" s="18">
        <f>IF($B$9+6-1-9*$B$6&gt;=0,B35*_xlfn.POISSON.DIST($B$9+6-1-9*$B$6,$B$23,TRUE),0)</f>
        <v/>
      </c>
      <c r="J35" s="18">
        <f>IF($B$9+7-1-9*$B$6&gt;=0,B35*_xlfn.POISSON.DIST($B$9+7-1-9*$B$6,$B$23,TRUE),0)</f>
        <v/>
      </c>
      <c r="K35" s="18">
        <f>IF($B$9+8-1-9*$B$6&gt;=0,B35*_xlfn.POISSON.DIST($B$9+8-1-9*$B$6,$B$23,TRUE),0)</f>
        <v/>
      </c>
      <c r="L35" s="18">
        <f>IF($B$9+1-$B$6-9*$B$6&gt;=0,C35*_xlfn.POISSON.DIST($B$9+1-$B$6-9*$B$6,$B$23,TRUE),0)</f>
        <v/>
      </c>
      <c r="M35" s="18">
        <f>IF($B$9+2-$B$6-9*$B$6&gt;=0,C35*_xlfn.POISSON.DIST($B$9+2-$B$6-9*$B$6,$B$23,TRUE),0)</f>
        <v/>
      </c>
      <c r="N35" s="18">
        <f>IF($B$9+3-$B$6-9*$B$6&gt;=0,C35*_xlfn.POISSON.DIST($B$9+3-$B$6-9*$B$6,$B$23,TRUE),0)</f>
        <v/>
      </c>
      <c r="O35" s="18">
        <f>IF($B$9+4-$B$6-9*$B$6&gt;=0,C35*_xlfn.POISSON.DIST($B$9+4-$B$6-9*$B$6,$B$23,TRUE),0)</f>
        <v/>
      </c>
      <c r="P35" s="18">
        <f>IF($B$9+5-$B$6-9*$B$6&gt;=0,C35*_xlfn.POISSON.DIST($B$9+5-$B$6-9*$B$6,$B$23,TRUE),0)</f>
        <v/>
      </c>
      <c r="Q35" s="18">
        <f>IF($B$9+6-$B$6-9*$B$6&gt;=0,C35*_xlfn.POISSON.DIST($B$9+6-$B$6-9*$B$6,$B$23,TRUE),0)</f>
        <v/>
      </c>
      <c r="R35" s="18">
        <f>IF($B$9+7-$B$6-9*$B$6&gt;=0,C35*_xlfn.POISSON.DIST($B$9+7-$B$6-9*$B$6,$B$23,TRUE),0)</f>
        <v/>
      </c>
      <c r="S35" s="18">
        <f>IF($B$9+8-$B$6-9*$B$6&gt;=0,C35*_xlfn.POISSON.DIST($B$9+8-$B$6-9*$B$6,$B$23,TRUE),0)</f>
        <v/>
      </c>
      <c r="T35" s="18">
        <f>AVERAGE(INDEX($V$26:$V$70,(9-1)*$B$6+1):INDEX($V$26:$V$70,9*$B$6))</f>
        <v/>
      </c>
      <c r="U35" s="10" t="n">
        <v>10</v>
      </c>
      <c r="V35" s="18">
        <f>1-_xlfn.POISSON.DIST(U35-1,$B$22,TRUE)</f>
        <v/>
      </c>
    </row>
    <row r="36">
      <c r="A36" s="10" t="n">
        <v>10</v>
      </c>
      <c r="B36" s="11">
        <f>T36-T37</f>
        <v/>
      </c>
      <c r="C36" s="11">
        <f>_xlfn.POISSON.DIST(10*$B$6+$B$6-1,$B$22,TRUE)-_xlfn.POISSON.DIST(10*$B$6-1,$B$22,TRUE)</f>
        <v/>
      </c>
      <c r="D36" s="18">
        <f>IF($B$9+1-1-10*$B$6&gt;=0,B36*_xlfn.POISSON.DIST($B$9+1-1-10*$B$6,$B$23,TRUE),0)</f>
        <v/>
      </c>
      <c r="E36" s="18">
        <f>IF($B$9+2-1-10*$B$6&gt;=0,B36*_xlfn.POISSON.DIST($B$9+2-1-10*$B$6,$B$23,TRUE),0)</f>
        <v/>
      </c>
      <c r="F36" s="18">
        <f>IF($B$9+3-1-10*$B$6&gt;=0,B36*_xlfn.POISSON.DIST($B$9+3-1-10*$B$6,$B$23,TRUE),0)</f>
        <v/>
      </c>
      <c r="G36" s="18">
        <f>IF($B$9+4-1-10*$B$6&gt;=0,B36*_xlfn.POISSON.DIST($B$9+4-1-10*$B$6,$B$23,TRUE),0)</f>
        <v/>
      </c>
      <c r="H36" s="18">
        <f>IF($B$9+5-1-10*$B$6&gt;=0,B36*_xlfn.POISSON.DIST($B$9+5-1-10*$B$6,$B$23,TRUE),0)</f>
        <v/>
      </c>
      <c r="I36" s="18">
        <f>IF($B$9+6-1-10*$B$6&gt;=0,B36*_xlfn.POISSON.DIST($B$9+6-1-10*$B$6,$B$23,TRUE),0)</f>
        <v/>
      </c>
      <c r="J36" s="18">
        <f>IF($B$9+7-1-10*$B$6&gt;=0,B36*_xlfn.POISSON.DIST($B$9+7-1-10*$B$6,$B$23,TRUE),0)</f>
        <v/>
      </c>
      <c r="K36" s="18">
        <f>IF($B$9+8-1-10*$B$6&gt;=0,B36*_xlfn.POISSON.DIST($B$9+8-1-10*$B$6,$B$23,TRUE),0)</f>
        <v/>
      </c>
      <c r="L36" s="18">
        <f>IF($B$9+1-$B$6-10*$B$6&gt;=0,C36*_xlfn.POISSON.DIST($B$9+1-$B$6-10*$B$6,$B$23,TRUE),0)</f>
        <v/>
      </c>
      <c r="M36" s="18">
        <f>IF($B$9+2-$B$6-10*$B$6&gt;=0,C36*_xlfn.POISSON.DIST($B$9+2-$B$6-10*$B$6,$B$23,TRUE),0)</f>
        <v/>
      </c>
      <c r="N36" s="18">
        <f>IF($B$9+3-$B$6-10*$B$6&gt;=0,C36*_xlfn.POISSON.DIST($B$9+3-$B$6-10*$B$6,$B$23,TRUE),0)</f>
        <v/>
      </c>
      <c r="O36" s="18">
        <f>IF($B$9+4-$B$6-10*$B$6&gt;=0,C36*_xlfn.POISSON.DIST($B$9+4-$B$6-10*$B$6,$B$23,TRUE),0)</f>
        <v/>
      </c>
      <c r="P36" s="18">
        <f>IF($B$9+5-$B$6-10*$B$6&gt;=0,C36*_xlfn.POISSON.DIST($B$9+5-$B$6-10*$B$6,$B$23,TRUE),0)</f>
        <v/>
      </c>
      <c r="Q36" s="18">
        <f>IF($B$9+6-$B$6-10*$B$6&gt;=0,C36*_xlfn.POISSON.DIST($B$9+6-$B$6-10*$B$6,$B$23,TRUE),0)</f>
        <v/>
      </c>
      <c r="R36" s="18">
        <f>IF($B$9+7-$B$6-10*$B$6&gt;=0,C36*_xlfn.POISSON.DIST($B$9+7-$B$6-10*$B$6,$B$23,TRUE),0)</f>
        <v/>
      </c>
      <c r="S36" s="18">
        <f>IF($B$9+8-$B$6-10*$B$6&gt;=0,C36*_xlfn.POISSON.DIST($B$9+8-$B$6-10*$B$6,$B$23,TRUE),0)</f>
        <v/>
      </c>
      <c r="T36" s="18">
        <f>AVERAGE(INDEX($V$26:$V$70,(10-1)*$B$6+1):INDEX($V$26:$V$70,10*$B$6))</f>
        <v/>
      </c>
      <c r="U36" s="10" t="n">
        <v>11</v>
      </c>
      <c r="V36" s="18">
        <f>1-_xlfn.POISSON.DIST(U36-1,$B$22,TRUE)</f>
        <v/>
      </c>
    </row>
    <row r="37">
      <c r="A37" s="10" t="n">
        <v>11</v>
      </c>
      <c r="B37" s="11">
        <f>T37-T38</f>
        <v/>
      </c>
      <c r="C37" s="11">
        <f>_xlfn.POISSON.DIST(11*$B$6+$B$6-1,$B$22,TRUE)-_xlfn.POISSON.DIST(11*$B$6-1,$B$22,TRUE)</f>
        <v/>
      </c>
      <c r="D37" s="18">
        <f>IF($B$9+1-1-11*$B$6&gt;=0,B37*_xlfn.POISSON.DIST($B$9+1-1-11*$B$6,$B$23,TRUE),0)</f>
        <v/>
      </c>
      <c r="E37" s="18">
        <f>IF($B$9+2-1-11*$B$6&gt;=0,B37*_xlfn.POISSON.DIST($B$9+2-1-11*$B$6,$B$23,TRUE),0)</f>
        <v/>
      </c>
      <c r="F37" s="18">
        <f>IF($B$9+3-1-11*$B$6&gt;=0,B37*_xlfn.POISSON.DIST($B$9+3-1-11*$B$6,$B$23,TRUE),0)</f>
        <v/>
      </c>
      <c r="G37" s="18">
        <f>IF($B$9+4-1-11*$B$6&gt;=0,B37*_xlfn.POISSON.DIST($B$9+4-1-11*$B$6,$B$23,TRUE),0)</f>
        <v/>
      </c>
      <c r="H37" s="18">
        <f>IF($B$9+5-1-11*$B$6&gt;=0,B37*_xlfn.POISSON.DIST($B$9+5-1-11*$B$6,$B$23,TRUE),0)</f>
        <v/>
      </c>
      <c r="I37" s="18">
        <f>IF($B$9+6-1-11*$B$6&gt;=0,B37*_xlfn.POISSON.DIST($B$9+6-1-11*$B$6,$B$23,TRUE),0)</f>
        <v/>
      </c>
      <c r="J37" s="18">
        <f>IF($B$9+7-1-11*$B$6&gt;=0,B37*_xlfn.POISSON.DIST($B$9+7-1-11*$B$6,$B$23,TRUE),0)</f>
        <v/>
      </c>
      <c r="K37" s="18">
        <f>IF($B$9+8-1-11*$B$6&gt;=0,B37*_xlfn.POISSON.DIST($B$9+8-1-11*$B$6,$B$23,TRUE),0)</f>
        <v/>
      </c>
      <c r="L37" s="18">
        <f>IF($B$9+1-$B$6-11*$B$6&gt;=0,C37*_xlfn.POISSON.DIST($B$9+1-$B$6-11*$B$6,$B$23,TRUE),0)</f>
        <v/>
      </c>
      <c r="M37" s="18">
        <f>IF($B$9+2-$B$6-11*$B$6&gt;=0,C37*_xlfn.POISSON.DIST($B$9+2-$B$6-11*$B$6,$B$23,TRUE),0)</f>
        <v/>
      </c>
      <c r="N37" s="18">
        <f>IF($B$9+3-$B$6-11*$B$6&gt;=0,C37*_xlfn.POISSON.DIST($B$9+3-$B$6-11*$B$6,$B$23,TRUE),0)</f>
        <v/>
      </c>
      <c r="O37" s="18">
        <f>IF($B$9+4-$B$6-11*$B$6&gt;=0,C37*_xlfn.POISSON.DIST($B$9+4-$B$6-11*$B$6,$B$23,TRUE),0)</f>
        <v/>
      </c>
      <c r="P37" s="18">
        <f>IF($B$9+5-$B$6-11*$B$6&gt;=0,C37*_xlfn.POISSON.DIST($B$9+5-$B$6-11*$B$6,$B$23,TRUE),0)</f>
        <v/>
      </c>
      <c r="Q37" s="18">
        <f>IF($B$9+6-$B$6-11*$B$6&gt;=0,C37*_xlfn.POISSON.DIST($B$9+6-$B$6-11*$B$6,$B$23,TRUE),0)</f>
        <v/>
      </c>
      <c r="R37" s="18">
        <f>IF($B$9+7-$B$6-11*$B$6&gt;=0,C37*_xlfn.POISSON.DIST($B$9+7-$B$6-11*$B$6,$B$23,TRUE),0)</f>
        <v/>
      </c>
      <c r="S37" s="18">
        <f>IF($B$9+8-$B$6-11*$B$6&gt;=0,C37*_xlfn.POISSON.DIST($B$9+8-$B$6-11*$B$6,$B$23,TRUE),0)</f>
        <v/>
      </c>
      <c r="T37" s="18">
        <f>AVERAGE(INDEX($V$26:$V$70,(11-1)*$B$6+1):INDEX($V$26:$V$70,11*$B$6))</f>
        <v/>
      </c>
      <c r="U37" s="10" t="n">
        <v>12</v>
      </c>
      <c r="V37" s="18">
        <f>1-_xlfn.POISSON.DIST(U37-1,$B$22,TRUE)</f>
        <v/>
      </c>
    </row>
    <row r="38">
      <c r="A38" s="10" t="n">
        <v>12</v>
      </c>
      <c r="B38" s="11">
        <f>T38-T39</f>
        <v/>
      </c>
      <c r="C38" s="11">
        <f>_xlfn.POISSON.DIST(12*$B$6+$B$6-1,$B$22,TRUE)-_xlfn.POISSON.DIST(12*$B$6-1,$B$22,TRUE)</f>
        <v/>
      </c>
      <c r="D38" s="18">
        <f>IF($B$9+1-1-12*$B$6&gt;=0,B38*_xlfn.POISSON.DIST($B$9+1-1-12*$B$6,$B$23,TRUE),0)</f>
        <v/>
      </c>
      <c r="E38" s="18">
        <f>IF($B$9+2-1-12*$B$6&gt;=0,B38*_xlfn.POISSON.DIST($B$9+2-1-12*$B$6,$B$23,TRUE),0)</f>
        <v/>
      </c>
      <c r="F38" s="18">
        <f>IF($B$9+3-1-12*$B$6&gt;=0,B38*_xlfn.POISSON.DIST($B$9+3-1-12*$B$6,$B$23,TRUE),0)</f>
        <v/>
      </c>
      <c r="G38" s="18">
        <f>IF($B$9+4-1-12*$B$6&gt;=0,B38*_xlfn.POISSON.DIST($B$9+4-1-12*$B$6,$B$23,TRUE),0)</f>
        <v/>
      </c>
      <c r="H38" s="18">
        <f>IF($B$9+5-1-12*$B$6&gt;=0,B38*_xlfn.POISSON.DIST($B$9+5-1-12*$B$6,$B$23,TRUE),0)</f>
        <v/>
      </c>
      <c r="I38" s="18">
        <f>IF($B$9+6-1-12*$B$6&gt;=0,B38*_xlfn.POISSON.DIST($B$9+6-1-12*$B$6,$B$23,TRUE),0)</f>
        <v/>
      </c>
      <c r="J38" s="18">
        <f>IF($B$9+7-1-12*$B$6&gt;=0,B38*_xlfn.POISSON.DIST($B$9+7-1-12*$B$6,$B$23,TRUE),0)</f>
        <v/>
      </c>
      <c r="K38" s="18">
        <f>IF($B$9+8-1-12*$B$6&gt;=0,B38*_xlfn.POISSON.DIST($B$9+8-1-12*$B$6,$B$23,TRUE),0)</f>
        <v/>
      </c>
      <c r="L38" s="18">
        <f>IF($B$9+1-$B$6-12*$B$6&gt;=0,C38*_xlfn.POISSON.DIST($B$9+1-$B$6-12*$B$6,$B$23,TRUE),0)</f>
        <v/>
      </c>
      <c r="M38" s="18">
        <f>IF($B$9+2-$B$6-12*$B$6&gt;=0,C38*_xlfn.POISSON.DIST($B$9+2-$B$6-12*$B$6,$B$23,TRUE),0)</f>
        <v/>
      </c>
      <c r="N38" s="18">
        <f>IF($B$9+3-$B$6-12*$B$6&gt;=0,C38*_xlfn.POISSON.DIST($B$9+3-$B$6-12*$B$6,$B$23,TRUE),0)</f>
        <v/>
      </c>
      <c r="O38" s="18">
        <f>IF($B$9+4-$B$6-12*$B$6&gt;=0,C38*_xlfn.POISSON.DIST($B$9+4-$B$6-12*$B$6,$B$23,TRUE),0)</f>
        <v/>
      </c>
      <c r="P38" s="18">
        <f>IF($B$9+5-$B$6-12*$B$6&gt;=0,C38*_xlfn.POISSON.DIST($B$9+5-$B$6-12*$B$6,$B$23,TRUE),0)</f>
        <v/>
      </c>
      <c r="Q38" s="18">
        <f>IF($B$9+6-$B$6-12*$B$6&gt;=0,C38*_xlfn.POISSON.DIST($B$9+6-$B$6-12*$B$6,$B$23,TRUE),0)</f>
        <v/>
      </c>
      <c r="R38" s="18">
        <f>IF($B$9+7-$B$6-12*$B$6&gt;=0,C38*_xlfn.POISSON.DIST($B$9+7-$B$6-12*$B$6,$B$23,TRUE),0)</f>
        <v/>
      </c>
      <c r="S38" s="18">
        <f>IF($B$9+8-$B$6-12*$B$6&gt;=0,C38*_xlfn.POISSON.DIST($B$9+8-$B$6-12*$B$6,$B$23,TRUE),0)</f>
        <v/>
      </c>
      <c r="T38" s="18">
        <f>AVERAGE(INDEX($V$26:$V$70,(12-1)*$B$6+1):INDEX($V$26:$V$70,12*$B$6))</f>
        <v/>
      </c>
      <c r="U38" s="10" t="n">
        <v>13</v>
      </c>
      <c r="V38" s="18">
        <f>1-_xlfn.POISSON.DIST(U38-1,$B$22,TRUE)</f>
        <v/>
      </c>
    </row>
    <row r="39">
      <c r="A39" s="10" t="n">
        <v>13</v>
      </c>
      <c r="B39" s="11">
        <f>T39-T40</f>
        <v/>
      </c>
      <c r="C39" s="11">
        <f>_xlfn.POISSON.DIST(13*$B$6+$B$6-1,$B$22,TRUE)-_xlfn.POISSON.DIST(13*$B$6-1,$B$22,TRUE)</f>
        <v/>
      </c>
      <c r="D39" s="18">
        <f>IF($B$9+1-1-13*$B$6&gt;=0,B39*_xlfn.POISSON.DIST($B$9+1-1-13*$B$6,$B$23,TRUE),0)</f>
        <v/>
      </c>
      <c r="E39" s="18">
        <f>IF($B$9+2-1-13*$B$6&gt;=0,B39*_xlfn.POISSON.DIST($B$9+2-1-13*$B$6,$B$23,TRUE),0)</f>
        <v/>
      </c>
      <c r="F39" s="18">
        <f>IF($B$9+3-1-13*$B$6&gt;=0,B39*_xlfn.POISSON.DIST($B$9+3-1-13*$B$6,$B$23,TRUE),0)</f>
        <v/>
      </c>
      <c r="G39" s="18">
        <f>IF($B$9+4-1-13*$B$6&gt;=0,B39*_xlfn.POISSON.DIST($B$9+4-1-13*$B$6,$B$23,TRUE),0)</f>
        <v/>
      </c>
      <c r="H39" s="18">
        <f>IF($B$9+5-1-13*$B$6&gt;=0,B39*_xlfn.POISSON.DIST($B$9+5-1-13*$B$6,$B$23,TRUE),0)</f>
        <v/>
      </c>
      <c r="I39" s="18">
        <f>IF($B$9+6-1-13*$B$6&gt;=0,B39*_xlfn.POISSON.DIST($B$9+6-1-13*$B$6,$B$23,TRUE),0)</f>
        <v/>
      </c>
      <c r="J39" s="18">
        <f>IF($B$9+7-1-13*$B$6&gt;=0,B39*_xlfn.POISSON.DIST($B$9+7-1-13*$B$6,$B$23,TRUE),0)</f>
        <v/>
      </c>
      <c r="K39" s="18">
        <f>IF($B$9+8-1-13*$B$6&gt;=0,B39*_xlfn.POISSON.DIST($B$9+8-1-13*$B$6,$B$23,TRUE),0)</f>
        <v/>
      </c>
      <c r="L39" s="18">
        <f>IF($B$9+1-$B$6-13*$B$6&gt;=0,C39*_xlfn.POISSON.DIST($B$9+1-$B$6-13*$B$6,$B$23,TRUE),0)</f>
        <v/>
      </c>
      <c r="M39" s="18">
        <f>IF($B$9+2-$B$6-13*$B$6&gt;=0,C39*_xlfn.POISSON.DIST($B$9+2-$B$6-13*$B$6,$B$23,TRUE),0)</f>
        <v/>
      </c>
      <c r="N39" s="18">
        <f>IF($B$9+3-$B$6-13*$B$6&gt;=0,C39*_xlfn.POISSON.DIST($B$9+3-$B$6-13*$B$6,$B$23,TRUE),0)</f>
        <v/>
      </c>
      <c r="O39" s="18">
        <f>IF($B$9+4-$B$6-13*$B$6&gt;=0,C39*_xlfn.POISSON.DIST($B$9+4-$B$6-13*$B$6,$B$23,TRUE),0)</f>
        <v/>
      </c>
      <c r="P39" s="18">
        <f>IF($B$9+5-$B$6-13*$B$6&gt;=0,C39*_xlfn.POISSON.DIST($B$9+5-$B$6-13*$B$6,$B$23,TRUE),0)</f>
        <v/>
      </c>
      <c r="Q39" s="18">
        <f>IF($B$9+6-$B$6-13*$B$6&gt;=0,C39*_xlfn.POISSON.DIST($B$9+6-$B$6-13*$B$6,$B$23,TRUE),0)</f>
        <v/>
      </c>
      <c r="R39" s="18">
        <f>IF($B$9+7-$B$6-13*$B$6&gt;=0,C39*_xlfn.POISSON.DIST($B$9+7-$B$6-13*$B$6,$B$23,TRUE),0)</f>
        <v/>
      </c>
      <c r="S39" s="18">
        <f>IF($B$9+8-$B$6-13*$B$6&gt;=0,C39*_xlfn.POISSON.DIST($B$9+8-$B$6-13*$B$6,$B$23,TRUE),0)</f>
        <v/>
      </c>
      <c r="T39" s="18">
        <f>AVERAGE(INDEX($V$26:$V$70,(13-1)*$B$6+1):INDEX($V$26:$V$70,13*$B$6))</f>
        <v/>
      </c>
      <c r="U39" s="10" t="n">
        <v>14</v>
      </c>
      <c r="V39" s="18">
        <f>1-_xlfn.POISSON.DIST(U39-1,$B$22,TRUE)</f>
        <v/>
      </c>
    </row>
    <row r="40">
      <c r="A40" s="10" t="n">
        <v>14</v>
      </c>
      <c r="B40" s="11">
        <f>T40-T41</f>
        <v/>
      </c>
      <c r="C40" s="11">
        <f>_xlfn.POISSON.DIST(14*$B$6+$B$6-1,$B$22,TRUE)-_xlfn.POISSON.DIST(14*$B$6-1,$B$22,TRUE)</f>
        <v/>
      </c>
      <c r="D40" s="18">
        <f>IF($B$9+1-1-14*$B$6&gt;=0,B40*_xlfn.POISSON.DIST($B$9+1-1-14*$B$6,$B$23,TRUE),0)</f>
        <v/>
      </c>
      <c r="E40" s="18">
        <f>IF($B$9+2-1-14*$B$6&gt;=0,B40*_xlfn.POISSON.DIST($B$9+2-1-14*$B$6,$B$23,TRUE),0)</f>
        <v/>
      </c>
      <c r="F40" s="18">
        <f>IF($B$9+3-1-14*$B$6&gt;=0,B40*_xlfn.POISSON.DIST($B$9+3-1-14*$B$6,$B$23,TRUE),0)</f>
        <v/>
      </c>
      <c r="G40" s="18">
        <f>IF($B$9+4-1-14*$B$6&gt;=0,B40*_xlfn.POISSON.DIST($B$9+4-1-14*$B$6,$B$23,TRUE),0)</f>
        <v/>
      </c>
      <c r="H40" s="18">
        <f>IF($B$9+5-1-14*$B$6&gt;=0,B40*_xlfn.POISSON.DIST($B$9+5-1-14*$B$6,$B$23,TRUE),0)</f>
        <v/>
      </c>
      <c r="I40" s="18">
        <f>IF($B$9+6-1-14*$B$6&gt;=0,B40*_xlfn.POISSON.DIST($B$9+6-1-14*$B$6,$B$23,TRUE),0)</f>
        <v/>
      </c>
      <c r="J40" s="18">
        <f>IF($B$9+7-1-14*$B$6&gt;=0,B40*_xlfn.POISSON.DIST($B$9+7-1-14*$B$6,$B$23,TRUE),0)</f>
        <v/>
      </c>
      <c r="K40" s="18">
        <f>IF($B$9+8-1-14*$B$6&gt;=0,B40*_xlfn.POISSON.DIST($B$9+8-1-14*$B$6,$B$23,TRUE),0)</f>
        <v/>
      </c>
      <c r="L40" s="18">
        <f>IF($B$9+1-$B$6-14*$B$6&gt;=0,C40*_xlfn.POISSON.DIST($B$9+1-$B$6-14*$B$6,$B$23,TRUE),0)</f>
        <v/>
      </c>
      <c r="M40" s="18">
        <f>IF($B$9+2-$B$6-14*$B$6&gt;=0,C40*_xlfn.POISSON.DIST($B$9+2-$B$6-14*$B$6,$B$23,TRUE),0)</f>
        <v/>
      </c>
      <c r="N40" s="18">
        <f>IF($B$9+3-$B$6-14*$B$6&gt;=0,C40*_xlfn.POISSON.DIST($B$9+3-$B$6-14*$B$6,$B$23,TRUE),0)</f>
        <v/>
      </c>
      <c r="O40" s="18">
        <f>IF($B$9+4-$B$6-14*$B$6&gt;=0,C40*_xlfn.POISSON.DIST($B$9+4-$B$6-14*$B$6,$B$23,TRUE),0)</f>
        <v/>
      </c>
      <c r="P40" s="18">
        <f>IF($B$9+5-$B$6-14*$B$6&gt;=0,C40*_xlfn.POISSON.DIST($B$9+5-$B$6-14*$B$6,$B$23,TRUE),0)</f>
        <v/>
      </c>
      <c r="Q40" s="18">
        <f>IF($B$9+6-$B$6-14*$B$6&gt;=0,C40*_xlfn.POISSON.DIST($B$9+6-$B$6-14*$B$6,$B$23,TRUE),0)</f>
        <v/>
      </c>
      <c r="R40" s="18">
        <f>IF($B$9+7-$B$6-14*$B$6&gt;=0,C40*_xlfn.POISSON.DIST($B$9+7-$B$6-14*$B$6,$B$23,TRUE),0)</f>
        <v/>
      </c>
      <c r="S40" s="18">
        <f>IF($B$9+8-$B$6-14*$B$6&gt;=0,C40*_xlfn.POISSON.DIST($B$9+8-$B$6-14*$B$6,$B$23,TRUE),0)</f>
        <v/>
      </c>
      <c r="T40" s="18">
        <f>AVERAGE(INDEX($V$26:$V$70,(14-1)*$B$6+1):INDEX($V$26:$V$70,14*$B$6))</f>
        <v/>
      </c>
      <c r="U40" s="10" t="n">
        <v>15</v>
      </c>
      <c r="V40" s="18">
        <f>1-_xlfn.POISSON.DIST(U40-1,$B$22,TRUE)</f>
        <v/>
      </c>
    </row>
    <row r="41">
      <c r="T41" s="18">
        <f>AVERAGE(INDEX($V$26:$V$70,(15-1)*$B$6+1):INDEX($V$26:$V$70,15*$B$6))</f>
        <v/>
      </c>
      <c r="U41" s="10" t="n">
        <v>16</v>
      </c>
      <c r="V41" s="18">
        <f>1-_xlfn.POISSON.DIST(U41-1,$B$22,TRUE)</f>
        <v/>
      </c>
    </row>
    <row r="42">
      <c r="U42" s="10" t="n">
        <v>17</v>
      </c>
      <c r="V42" s="18">
        <f>1-_xlfn.POISSON.DIST(U42-1,$B$22,TRUE)</f>
        <v/>
      </c>
    </row>
    <row r="43">
      <c r="U43" s="10" t="n">
        <v>18</v>
      </c>
      <c r="V43" s="18">
        <f>1-_xlfn.POISSON.DIST(U43-1,$B$22,TRUE)</f>
        <v/>
      </c>
    </row>
    <row r="44">
      <c r="U44" s="10" t="n">
        <v>19</v>
      </c>
      <c r="V44" s="18">
        <f>1-_xlfn.POISSON.DIST(U44-1,$B$22,TRUE)</f>
        <v/>
      </c>
    </row>
    <row r="45">
      <c r="U45" s="10" t="n">
        <v>20</v>
      </c>
      <c r="V45" s="18">
        <f>1-_xlfn.POISSON.DIST(U45-1,$B$22,TRUE)</f>
        <v/>
      </c>
    </row>
    <row r="46">
      <c r="U46" s="10" t="n">
        <v>21</v>
      </c>
      <c r="V46" s="18">
        <f>1-_xlfn.POISSON.DIST(U46-1,$B$22,TRUE)</f>
        <v/>
      </c>
    </row>
    <row r="47">
      <c r="U47" s="10" t="n">
        <v>22</v>
      </c>
      <c r="V47" s="18">
        <f>1-_xlfn.POISSON.DIST(U47-1,$B$22,TRUE)</f>
        <v/>
      </c>
    </row>
    <row r="48">
      <c r="U48" s="10" t="n">
        <v>23</v>
      </c>
      <c r="V48" s="18">
        <f>1-_xlfn.POISSON.DIST(U48-1,$B$22,TRUE)</f>
        <v/>
      </c>
    </row>
    <row r="49">
      <c r="U49" s="10" t="n">
        <v>24</v>
      </c>
      <c r="V49" s="18">
        <f>1-_xlfn.POISSON.DIST(U49-1,$B$22,TRUE)</f>
        <v/>
      </c>
    </row>
    <row r="50">
      <c r="U50" s="10" t="n">
        <v>25</v>
      </c>
      <c r="V50" s="18">
        <f>1-_xlfn.POISSON.DIST(U50-1,$B$22,TRUE)</f>
        <v/>
      </c>
    </row>
    <row r="51">
      <c r="U51" s="10" t="n">
        <v>26</v>
      </c>
      <c r="V51" s="18">
        <f>1-_xlfn.POISSON.DIST(U51-1,$B$22,TRUE)</f>
        <v/>
      </c>
    </row>
    <row r="52">
      <c r="U52" s="10" t="n">
        <v>27</v>
      </c>
      <c r="V52" s="18">
        <f>1-_xlfn.POISSON.DIST(U52-1,$B$22,TRUE)</f>
        <v/>
      </c>
    </row>
    <row r="53">
      <c r="U53" s="10" t="n">
        <v>28</v>
      </c>
      <c r="V53" s="18">
        <f>1-_xlfn.POISSON.DIST(U53-1,$B$22,TRUE)</f>
        <v/>
      </c>
    </row>
    <row r="54">
      <c r="U54" s="10" t="n">
        <v>29</v>
      </c>
      <c r="V54" s="18">
        <f>1-_xlfn.POISSON.DIST(U54-1,$B$22,TRUE)</f>
        <v/>
      </c>
    </row>
    <row r="55">
      <c r="U55" s="10" t="n">
        <v>30</v>
      </c>
      <c r="V55" s="18">
        <f>1-_xlfn.POISSON.DIST(U55-1,$B$22,TRUE)</f>
        <v/>
      </c>
    </row>
    <row r="56">
      <c r="U56" s="10" t="n">
        <v>31</v>
      </c>
      <c r="V56" s="18">
        <f>1-_xlfn.POISSON.DIST(U56-1,$B$22,TRUE)</f>
        <v/>
      </c>
    </row>
    <row r="57">
      <c r="U57" s="10" t="n">
        <v>32</v>
      </c>
      <c r="V57" s="18">
        <f>1-_xlfn.POISSON.DIST(U57-1,$B$22,TRUE)</f>
        <v/>
      </c>
    </row>
    <row r="58">
      <c r="U58" s="10" t="n">
        <v>33</v>
      </c>
      <c r="V58" s="18">
        <f>1-_xlfn.POISSON.DIST(U58-1,$B$22,TRUE)</f>
        <v/>
      </c>
    </row>
    <row r="59">
      <c r="U59" s="10" t="n">
        <v>34</v>
      </c>
      <c r="V59" s="18">
        <f>1-_xlfn.POISSON.DIST(U59-1,$B$22,TRUE)</f>
        <v/>
      </c>
    </row>
    <row r="60">
      <c r="U60" s="10" t="n">
        <v>35</v>
      </c>
      <c r="V60" s="18">
        <f>1-_xlfn.POISSON.DIST(U60-1,$B$22,TRUE)</f>
        <v/>
      </c>
    </row>
    <row r="61">
      <c r="U61" s="10" t="n">
        <v>36</v>
      </c>
      <c r="V61" s="18">
        <f>1-_xlfn.POISSON.DIST(U61-1,$B$22,TRUE)</f>
        <v/>
      </c>
    </row>
    <row r="62">
      <c r="U62" s="10" t="n">
        <v>37</v>
      </c>
      <c r="V62" s="18">
        <f>1-_xlfn.POISSON.DIST(U62-1,$B$22,TRUE)</f>
        <v/>
      </c>
    </row>
    <row r="63">
      <c r="U63" s="10" t="n">
        <v>38</v>
      </c>
      <c r="V63" s="18">
        <f>1-_xlfn.POISSON.DIST(U63-1,$B$22,TRUE)</f>
        <v/>
      </c>
    </row>
    <row r="64">
      <c r="U64" s="10" t="n">
        <v>39</v>
      </c>
      <c r="V64" s="18">
        <f>1-_xlfn.POISSON.DIST(U64-1,$B$22,TRUE)</f>
        <v/>
      </c>
    </row>
    <row r="65">
      <c r="U65" s="10" t="n">
        <v>40</v>
      </c>
      <c r="V65" s="18">
        <f>1-_xlfn.POISSON.DIST(U65-1,$B$22,TRUE)</f>
        <v/>
      </c>
    </row>
    <row r="66">
      <c r="U66" s="10" t="n">
        <v>41</v>
      </c>
      <c r="V66" s="18">
        <f>1-_xlfn.POISSON.DIST(U66-1,$B$22,TRUE)</f>
        <v/>
      </c>
    </row>
    <row r="67">
      <c r="U67" s="10" t="n">
        <v>42</v>
      </c>
      <c r="V67" s="18">
        <f>1-_xlfn.POISSON.DIST(U67-1,$B$22,TRUE)</f>
        <v/>
      </c>
    </row>
    <row r="68">
      <c r="U68" s="10" t="n">
        <v>43</v>
      </c>
      <c r="V68" s="18">
        <f>1-_xlfn.POISSON.DIST(U68-1,$B$22,TRUE)</f>
        <v/>
      </c>
    </row>
    <row r="69">
      <c r="U69" s="10" t="n">
        <v>44</v>
      </c>
      <c r="V69" s="18">
        <f>1-_xlfn.POISSON.DIST(U69-1,$B$22,TRUE)</f>
        <v/>
      </c>
    </row>
    <row r="70">
      <c r="U70" s="10" t="n">
        <v>45</v>
      </c>
      <c r="V70" s="18">
        <f>1-_xlfn.POISSON.DIST(U70-1,$B$22,TRUE)</f>
        <v/>
      </c>
    </row>
    <row r="86">
      <c r="A86" s="3" t="inlineStr">
        <is>
          <t>w = 1, a window of L_0 - 1 weeks</t>
        </is>
      </c>
    </row>
    <row r="87">
      <c r="A87" t="inlineStr">
        <is>
          <t>window</t>
        </is>
      </c>
      <c r="B87" s="7">
        <f>$B$8-1</f>
        <v/>
      </c>
    </row>
    <row r="88">
      <c r="A88" t="inlineStr">
        <is>
          <t>storeroom demand in it</t>
        </is>
      </c>
      <c r="B88" s="7">
        <f>$B$5*B87</f>
        <v/>
      </c>
    </row>
    <row r="89">
      <c r="A89" t="inlineStr">
        <is>
          <t>other demand in it</t>
        </is>
      </c>
      <c r="B89" s="7">
        <f>$B$7*B87</f>
        <v/>
      </c>
    </row>
    <row r="91">
      <c r="A91" s="9" t="inlineStr">
        <is>
          <t>n</t>
        </is>
      </c>
      <c r="B91" s="9" t="inlineStr">
        <is>
          <t>P(N = n)</t>
        </is>
      </c>
      <c r="C91" s="9" t="inlineStr">
        <is>
          <t>seen from order</t>
        </is>
      </c>
      <c r="D91" s="9" t="inlineStr">
        <is>
          <t>u=r_0+1</t>
        </is>
      </c>
      <c r="E91" s="9" t="inlineStr">
        <is>
          <t>u=r_0+2</t>
        </is>
      </c>
      <c r="F91" s="9" t="inlineStr">
        <is>
          <t>u=r_0+3</t>
        </is>
      </c>
      <c r="G91" s="9" t="inlineStr">
        <is>
          <t>u=r_0+4</t>
        </is>
      </c>
      <c r="H91" s="9" t="inlineStr">
        <is>
          <t>u=r_0+5</t>
        </is>
      </c>
      <c r="I91" s="9" t="inlineStr">
        <is>
          <t>u=r_0+6</t>
        </is>
      </c>
      <c r="J91" s="9" t="inlineStr">
        <is>
          <t>u=r_0+7</t>
        </is>
      </c>
      <c r="K91" s="9" t="inlineStr">
        <is>
          <t>u=r_0+8</t>
        </is>
      </c>
      <c r="L91" s="9" t="inlineStr">
        <is>
          <t>order, u=r_0+1</t>
        </is>
      </c>
      <c r="M91" s="9" t="inlineStr">
        <is>
          <t>order, u=r_0+2</t>
        </is>
      </c>
      <c r="N91" s="9" t="inlineStr">
        <is>
          <t>order, u=r_0+3</t>
        </is>
      </c>
      <c r="O91" s="9" t="inlineStr">
        <is>
          <t>order, u=r_0+4</t>
        </is>
      </c>
      <c r="P91" s="9" t="inlineStr">
        <is>
          <t>order, u=r_0+5</t>
        </is>
      </c>
      <c r="Q91" s="9" t="inlineStr">
        <is>
          <t>order, u=r_0+6</t>
        </is>
      </c>
      <c r="R91" s="9" t="inlineStr">
        <is>
          <t>order, u=r_0+7</t>
        </is>
      </c>
      <c r="S91" s="9" t="inlineStr">
        <is>
          <t>order, u=r_0+8</t>
        </is>
      </c>
      <c r="T91" s="9" t="inlineStr">
        <is>
          <t>P(N &gt;= n)</t>
        </is>
      </c>
      <c r="U91" s="9" t="inlineStr">
        <is>
          <t>y</t>
        </is>
      </c>
      <c r="V91" s="9" t="inlineStr">
        <is>
          <t>P(D &gt;= y)</t>
        </is>
      </c>
    </row>
    <row r="92">
      <c r="A92" s="10" t="n">
        <v>0</v>
      </c>
      <c r="B92" s="11">
        <f>T92-T93</f>
        <v/>
      </c>
      <c r="C92" s="11">
        <f>_xlfn.POISSON.DIST(0*$B$6+$B$6-1,$B$88,TRUE)-0</f>
        <v/>
      </c>
      <c r="D92" s="18">
        <f>IF($B$9+1-1-0*$B$6&gt;=0,B92*_xlfn.POISSON.DIST($B$9+1-1-0*$B$6,$B$89,TRUE),0)</f>
        <v/>
      </c>
      <c r="E92" s="18">
        <f>IF($B$9+2-1-0*$B$6&gt;=0,B92*_xlfn.POISSON.DIST($B$9+2-1-0*$B$6,$B$89,TRUE),0)</f>
        <v/>
      </c>
      <c r="F92" s="18">
        <f>IF($B$9+3-1-0*$B$6&gt;=0,B92*_xlfn.POISSON.DIST($B$9+3-1-0*$B$6,$B$89,TRUE),0)</f>
        <v/>
      </c>
      <c r="G92" s="18">
        <f>IF($B$9+4-1-0*$B$6&gt;=0,B92*_xlfn.POISSON.DIST($B$9+4-1-0*$B$6,$B$89,TRUE),0)</f>
        <v/>
      </c>
      <c r="H92" s="18">
        <f>IF($B$9+5-1-0*$B$6&gt;=0,B92*_xlfn.POISSON.DIST($B$9+5-1-0*$B$6,$B$89,TRUE),0)</f>
        <v/>
      </c>
      <c r="I92" s="18">
        <f>IF($B$9+6-1-0*$B$6&gt;=0,B92*_xlfn.POISSON.DIST($B$9+6-1-0*$B$6,$B$89,TRUE),0)</f>
        <v/>
      </c>
      <c r="J92" s="18">
        <f>IF($B$9+7-1-0*$B$6&gt;=0,B92*_xlfn.POISSON.DIST($B$9+7-1-0*$B$6,$B$89,TRUE),0)</f>
        <v/>
      </c>
      <c r="K92" s="18">
        <f>IF($B$9+8-1-0*$B$6&gt;=0,B92*_xlfn.POISSON.DIST($B$9+8-1-0*$B$6,$B$89,TRUE),0)</f>
        <v/>
      </c>
      <c r="L92" s="18">
        <f>IF($B$9+1-$B$6-0*$B$6&gt;=0,C92*_xlfn.POISSON.DIST($B$9+1-$B$6-0*$B$6,$B$89,TRUE),0)</f>
        <v/>
      </c>
      <c r="M92" s="18">
        <f>IF($B$9+2-$B$6-0*$B$6&gt;=0,C92*_xlfn.POISSON.DIST($B$9+2-$B$6-0*$B$6,$B$89,TRUE),0)</f>
        <v/>
      </c>
      <c r="N92" s="18">
        <f>IF($B$9+3-$B$6-0*$B$6&gt;=0,C92*_xlfn.POISSON.DIST($B$9+3-$B$6-0*$B$6,$B$89,TRUE),0)</f>
        <v/>
      </c>
      <c r="O92" s="18">
        <f>IF($B$9+4-$B$6-0*$B$6&gt;=0,C92*_xlfn.POISSON.DIST($B$9+4-$B$6-0*$B$6,$B$89,TRUE),0)</f>
        <v/>
      </c>
      <c r="P92" s="18">
        <f>IF($B$9+5-$B$6-0*$B$6&gt;=0,C92*_xlfn.POISSON.DIST($B$9+5-$B$6-0*$B$6,$B$89,TRUE),0)</f>
        <v/>
      </c>
      <c r="Q92" s="18">
        <f>IF($B$9+6-$B$6-0*$B$6&gt;=0,C92*_xlfn.POISSON.DIST($B$9+6-$B$6-0*$B$6,$B$89,TRUE),0)</f>
        <v/>
      </c>
      <c r="R92" s="18">
        <f>IF($B$9+7-$B$6-0*$B$6&gt;=0,C92*_xlfn.POISSON.DIST($B$9+7-$B$6-0*$B$6,$B$89,TRUE),0)</f>
        <v/>
      </c>
      <c r="S92" s="18">
        <f>IF($B$9+8-$B$6-0*$B$6&gt;=0,C92*_xlfn.POISSON.DIST($B$9+8-$B$6-0*$B$6,$B$89,TRUE),0)</f>
        <v/>
      </c>
      <c r="T92" s="18">
        <f>1</f>
        <v/>
      </c>
      <c r="U92" s="10" t="n">
        <v>1</v>
      </c>
      <c r="V92" s="18">
        <f>1-_xlfn.POISSON.DIST(U92-1,$B$88,TRUE)</f>
        <v/>
      </c>
    </row>
    <row r="93">
      <c r="A93" s="10" t="n">
        <v>1</v>
      </c>
      <c r="B93" s="11">
        <f>T93-T94</f>
        <v/>
      </c>
      <c r="C93" s="11">
        <f>_xlfn.POISSON.DIST(1*$B$6+$B$6-1,$B$88,TRUE)-_xlfn.POISSON.DIST(1*$B$6-1,$B$88,TRUE)</f>
        <v/>
      </c>
      <c r="D93" s="18">
        <f>IF($B$9+1-1-1*$B$6&gt;=0,B93*_xlfn.POISSON.DIST($B$9+1-1-1*$B$6,$B$89,TRUE),0)</f>
        <v/>
      </c>
      <c r="E93" s="18">
        <f>IF($B$9+2-1-1*$B$6&gt;=0,B93*_xlfn.POISSON.DIST($B$9+2-1-1*$B$6,$B$89,TRUE),0)</f>
        <v/>
      </c>
      <c r="F93" s="18">
        <f>IF($B$9+3-1-1*$B$6&gt;=0,B93*_xlfn.POISSON.DIST($B$9+3-1-1*$B$6,$B$89,TRUE),0)</f>
        <v/>
      </c>
      <c r="G93" s="18">
        <f>IF($B$9+4-1-1*$B$6&gt;=0,B93*_xlfn.POISSON.DIST($B$9+4-1-1*$B$6,$B$89,TRUE),0)</f>
        <v/>
      </c>
      <c r="H93" s="18">
        <f>IF($B$9+5-1-1*$B$6&gt;=0,B93*_xlfn.POISSON.DIST($B$9+5-1-1*$B$6,$B$89,TRUE),0)</f>
        <v/>
      </c>
      <c r="I93" s="18">
        <f>IF($B$9+6-1-1*$B$6&gt;=0,B93*_xlfn.POISSON.DIST($B$9+6-1-1*$B$6,$B$89,TRUE),0)</f>
        <v/>
      </c>
      <c r="J93" s="18">
        <f>IF($B$9+7-1-1*$B$6&gt;=0,B93*_xlfn.POISSON.DIST($B$9+7-1-1*$B$6,$B$89,TRUE),0)</f>
        <v/>
      </c>
      <c r="K93" s="18">
        <f>IF($B$9+8-1-1*$B$6&gt;=0,B93*_xlfn.POISSON.DIST($B$9+8-1-1*$B$6,$B$89,TRUE),0)</f>
        <v/>
      </c>
      <c r="L93" s="18">
        <f>IF($B$9+1-$B$6-1*$B$6&gt;=0,C93*_xlfn.POISSON.DIST($B$9+1-$B$6-1*$B$6,$B$89,TRUE),0)</f>
        <v/>
      </c>
      <c r="M93" s="18">
        <f>IF($B$9+2-$B$6-1*$B$6&gt;=0,C93*_xlfn.POISSON.DIST($B$9+2-$B$6-1*$B$6,$B$89,TRUE),0)</f>
        <v/>
      </c>
      <c r="N93" s="18">
        <f>IF($B$9+3-$B$6-1*$B$6&gt;=0,C93*_xlfn.POISSON.DIST($B$9+3-$B$6-1*$B$6,$B$89,TRUE),0)</f>
        <v/>
      </c>
      <c r="O93" s="18">
        <f>IF($B$9+4-$B$6-1*$B$6&gt;=0,C93*_xlfn.POISSON.DIST($B$9+4-$B$6-1*$B$6,$B$89,TRUE),0)</f>
        <v/>
      </c>
      <c r="P93" s="18">
        <f>IF($B$9+5-$B$6-1*$B$6&gt;=0,C93*_xlfn.POISSON.DIST($B$9+5-$B$6-1*$B$6,$B$89,TRUE),0)</f>
        <v/>
      </c>
      <c r="Q93" s="18">
        <f>IF($B$9+6-$B$6-1*$B$6&gt;=0,C93*_xlfn.POISSON.DIST($B$9+6-$B$6-1*$B$6,$B$89,TRUE),0)</f>
        <v/>
      </c>
      <c r="R93" s="18">
        <f>IF($B$9+7-$B$6-1*$B$6&gt;=0,C93*_xlfn.POISSON.DIST($B$9+7-$B$6-1*$B$6,$B$89,TRUE),0)</f>
        <v/>
      </c>
      <c r="S93" s="18">
        <f>IF($B$9+8-$B$6-1*$B$6&gt;=0,C93*_xlfn.POISSON.DIST($B$9+8-$B$6-1*$B$6,$B$89,TRUE),0)</f>
        <v/>
      </c>
      <c r="T93" s="18">
        <f>AVERAGE(INDEX($V$92:$V$136,(1-1)*$B$6+1):INDEX($V$92:$V$136,1*$B$6))</f>
        <v/>
      </c>
      <c r="U93" s="10" t="n">
        <v>2</v>
      </c>
      <c r="V93" s="18">
        <f>1-_xlfn.POISSON.DIST(U93-1,$B$88,TRUE)</f>
        <v/>
      </c>
    </row>
    <row r="94">
      <c r="A94" s="10" t="n">
        <v>2</v>
      </c>
      <c r="B94" s="11">
        <f>T94-T95</f>
        <v/>
      </c>
      <c r="C94" s="11">
        <f>_xlfn.POISSON.DIST(2*$B$6+$B$6-1,$B$88,TRUE)-_xlfn.POISSON.DIST(2*$B$6-1,$B$88,TRUE)</f>
        <v/>
      </c>
      <c r="D94" s="18">
        <f>IF($B$9+1-1-2*$B$6&gt;=0,B94*_xlfn.POISSON.DIST($B$9+1-1-2*$B$6,$B$89,TRUE),0)</f>
        <v/>
      </c>
      <c r="E94" s="18">
        <f>IF($B$9+2-1-2*$B$6&gt;=0,B94*_xlfn.POISSON.DIST($B$9+2-1-2*$B$6,$B$89,TRUE),0)</f>
        <v/>
      </c>
      <c r="F94" s="18">
        <f>IF($B$9+3-1-2*$B$6&gt;=0,B94*_xlfn.POISSON.DIST($B$9+3-1-2*$B$6,$B$89,TRUE),0)</f>
        <v/>
      </c>
      <c r="G94" s="18">
        <f>IF($B$9+4-1-2*$B$6&gt;=0,B94*_xlfn.POISSON.DIST($B$9+4-1-2*$B$6,$B$89,TRUE),0)</f>
        <v/>
      </c>
      <c r="H94" s="18">
        <f>IF($B$9+5-1-2*$B$6&gt;=0,B94*_xlfn.POISSON.DIST($B$9+5-1-2*$B$6,$B$89,TRUE),0)</f>
        <v/>
      </c>
      <c r="I94" s="18">
        <f>IF($B$9+6-1-2*$B$6&gt;=0,B94*_xlfn.POISSON.DIST($B$9+6-1-2*$B$6,$B$89,TRUE),0)</f>
        <v/>
      </c>
      <c r="J94" s="18">
        <f>IF($B$9+7-1-2*$B$6&gt;=0,B94*_xlfn.POISSON.DIST($B$9+7-1-2*$B$6,$B$89,TRUE),0)</f>
        <v/>
      </c>
      <c r="K94" s="18">
        <f>IF($B$9+8-1-2*$B$6&gt;=0,B94*_xlfn.POISSON.DIST($B$9+8-1-2*$B$6,$B$89,TRUE),0)</f>
        <v/>
      </c>
      <c r="L94" s="18">
        <f>IF($B$9+1-$B$6-2*$B$6&gt;=0,C94*_xlfn.POISSON.DIST($B$9+1-$B$6-2*$B$6,$B$89,TRUE),0)</f>
        <v/>
      </c>
      <c r="M94" s="18">
        <f>IF($B$9+2-$B$6-2*$B$6&gt;=0,C94*_xlfn.POISSON.DIST($B$9+2-$B$6-2*$B$6,$B$89,TRUE),0)</f>
        <v/>
      </c>
      <c r="N94" s="18">
        <f>IF($B$9+3-$B$6-2*$B$6&gt;=0,C94*_xlfn.POISSON.DIST($B$9+3-$B$6-2*$B$6,$B$89,TRUE),0)</f>
        <v/>
      </c>
      <c r="O94" s="18">
        <f>IF($B$9+4-$B$6-2*$B$6&gt;=0,C94*_xlfn.POISSON.DIST($B$9+4-$B$6-2*$B$6,$B$89,TRUE),0)</f>
        <v/>
      </c>
      <c r="P94" s="18">
        <f>IF($B$9+5-$B$6-2*$B$6&gt;=0,C94*_xlfn.POISSON.DIST($B$9+5-$B$6-2*$B$6,$B$89,TRUE),0)</f>
        <v/>
      </c>
      <c r="Q94" s="18">
        <f>IF($B$9+6-$B$6-2*$B$6&gt;=0,C94*_xlfn.POISSON.DIST($B$9+6-$B$6-2*$B$6,$B$89,TRUE),0)</f>
        <v/>
      </c>
      <c r="R94" s="18">
        <f>IF($B$9+7-$B$6-2*$B$6&gt;=0,C94*_xlfn.POISSON.DIST($B$9+7-$B$6-2*$B$6,$B$89,TRUE),0)</f>
        <v/>
      </c>
      <c r="S94" s="18">
        <f>IF($B$9+8-$B$6-2*$B$6&gt;=0,C94*_xlfn.POISSON.DIST($B$9+8-$B$6-2*$B$6,$B$89,TRUE),0)</f>
        <v/>
      </c>
      <c r="T94" s="18">
        <f>AVERAGE(INDEX($V$92:$V$136,(2-1)*$B$6+1):INDEX($V$92:$V$136,2*$B$6))</f>
        <v/>
      </c>
      <c r="U94" s="10" t="n">
        <v>3</v>
      </c>
      <c r="V94" s="18">
        <f>1-_xlfn.POISSON.DIST(U94-1,$B$88,TRUE)</f>
        <v/>
      </c>
    </row>
    <row r="95">
      <c r="A95" s="10" t="n">
        <v>3</v>
      </c>
      <c r="B95" s="11">
        <f>T95-T96</f>
        <v/>
      </c>
      <c r="C95" s="11">
        <f>_xlfn.POISSON.DIST(3*$B$6+$B$6-1,$B$88,TRUE)-_xlfn.POISSON.DIST(3*$B$6-1,$B$88,TRUE)</f>
        <v/>
      </c>
      <c r="D95" s="18">
        <f>IF($B$9+1-1-3*$B$6&gt;=0,B95*_xlfn.POISSON.DIST($B$9+1-1-3*$B$6,$B$89,TRUE),0)</f>
        <v/>
      </c>
      <c r="E95" s="18">
        <f>IF($B$9+2-1-3*$B$6&gt;=0,B95*_xlfn.POISSON.DIST($B$9+2-1-3*$B$6,$B$89,TRUE),0)</f>
        <v/>
      </c>
      <c r="F95" s="18">
        <f>IF($B$9+3-1-3*$B$6&gt;=0,B95*_xlfn.POISSON.DIST($B$9+3-1-3*$B$6,$B$89,TRUE),0)</f>
        <v/>
      </c>
      <c r="G95" s="18">
        <f>IF($B$9+4-1-3*$B$6&gt;=0,B95*_xlfn.POISSON.DIST($B$9+4-1-3*$B$6,$B$89,TRUE),0)</f>
        <v/>
      </c>
      <c r="H95" s="18">
        <f>IF($B$9+5-1-3*$B$6&gt;=0,B95*_xlfn.POISSON.DIST($B$9+5-1-3*$B$6,$B$89,TRUE),0)</f>
        <v/>
      </c>
      <c r="I95" s="18">
        <f>IF($B$9+6-1-3*$B$6&gt;=0,B95*_xlfn.POISSON.DIST($B$9+6-1-3*$B$6,$B$89,TRUE),0)</f>
        <v/>
      </c>
      <c r="J95" s="18">
        <f>IF($B$9+7-1-3*$B$6&gt;=0,B95*_xlfn.POISSON.DIST($B$9+7-1-3*$B$6,$B$89,TRUE),0)</f>
        <v/>
      </c>
      <c r="K95" s="18">
        <f>IF($B$9+8-1-3*$B$6&gt;=0,B95*_xlfn.POISSON.DIST($B$9+8-1-3*$B$6,$B$89,TRUE),0)</f>
        <v/>
      </c>
      <c r="L95" s="18">
        <f>IF($B$9+1-$B$6-3*$B$6&gt;=0,C95*_xlfn.POISSON.DIST($B$9+1-$B$6-3*$B$6,$B$89,TRUE),0)</f>
        <v/>
      </c>
      <c r="M95" s="18">
        <f>IF($B$9+2-$B$6-3*$B$6&gt;=0,C95*_xlfn.POISSON.DIST($B$9+2-$B$6-3*$B$6,$B$89,TRUE),0)</f>
        <v/>
      </c>
      <c r="N95" s="18">
        <f>IF($B$9+3-$B$6-3*$B$6&gt;=0,C95*_xlfn.POISSON.DIST($B$9+3-$B$6-3*$B$6,$B$89,TRUE),0)</f>
        <v/>
      </c>
      <c r="O95" s="18">
        <f>IF($B$9+4-$B$6-3*$B$6&gt;=0,C95*_xlfn.POISSON.DIST($B$9+4-$B$6-3*$B$6,$B$89,TRUE),0)</f>
        <v/>
      </c>
      <c r="P95" s="18">
        <f>IF($B$9+5-$B$6-3*$B$6&gt;=0,C95*_xlfn.POISSON.DIST($B$9+5-$B$6-3*$B$6,$B$89,TRUE),0)</f>
        <v/>
      </c>
      <c r="Q95" s="18">
        <f>IF($B$9+6-$B$6-3*$B$6&gt;=0,C95*_xlfn.POISSON.DIST($B$9+6-$B$6-3*$B$6,$B$89,TRUE),0)</f>
        <v/>
      </c>
      <c r="R95" s="18">
        <f>IF($B$9+7-$B$6-3*$B$6&gt;=0,C95*_xlfn.POISSON.DIST($B$9+7-$B$6-3*$B$6,$B$89,TRUE),0)</f>
        <v/>
      </c>
      <c r="S95" s="18">
        <f>IF($B$9+8-$B$6-3*$B$6&gt;=0,C95*_xlfn.POISSON.DIST($B$9+8-$B$6-3*$B$6,$B$89,TRUE),0)</f>
        <v/>
      </c>
      <c r="T95" s="18">
        <f>AVERAGE(INDEX($V$92:$V$136,(3-1)*$B$6+1):INDEX($V$92:$V$136,3*$B$6))</f>
        <v/>
      </c>
      <c r="U95" s="10" t="n">
        <v>4</v>
      </c>
      <c r="V95" s="18">
        <f>1-_xlfn.POISSON.DIST(U95-1,$B$88,TRUE)</f>
        <v/>
      </c>
    </row>
    <row r="96">
      <c r="A96" s="10" t="n">
        <v>4</v>
      </c>
      <c r="B96" s="11">
        <f>T96-T97</f>
        <v/>
      </c>
      <c r="C96" s="11">
        <f>_xlfn.POISSON.DIST(4*$B$6+$B$6-1,$B$88,TRUE)-_xlfn.POISSON.DIST(4*$B$6-1,$B$88,TRUE)</f>
        <v/>
      </c>
      <c r="D96" s="18">
        <f>IF($B$9+1-1-4*$B$6&gt;=0,B96*_xlfn.POISSON.DIST($B$9+1-1-4*$B$6,$B$89,TRUE),0)</f>
        <v/>
      </c>
      <c r="E96" s="18">
        <f>IF($B$9+2-1-4*$B$6&gt;=0,B96*_xlfn.POISSON.DIST($B$9+2-1-4*$B$6,$B$89,TRUE),0)</f>
        <v/>
      </c>
      <c r="F96" s="18">
        <f>IF($B$9+3-1-4*$B$6&gt;=0,B96*_xlfn.POISSON.DIST($B$9+3-1-4*$B$6,$B$89,TRUE),0)</f>
        <v/>
      </c>
      <c r="G96" s="18">
        <f>IF($B$9+4-1-4*$B$6&gt;=0,B96*_xlfn.POISSON.DIST($B$9+4-1-4*$B$6,$B$89,TRUE),0)</f>
        <v/>
      </c>
      <c r="H96" s="18">
        <f>IF($B$9+5-1-4*$B$6&gt;=0,B96*_xlfn.POISSON.DIST($B$9+5-1-4*$B$6,$B$89,TRUE),0)</f>
        <v/>
      </c>
      <c r="I96" s="18">
        <f>IF($B$9+6-1-4*$B$6&gt;=0,B96*_xlfn.POISSON.DIST($B$9+6-1-4*$B$6,$B$89,TRUE),0)</f>
        <v/>
      </c>
      <c r="J96" s="18">
        <f>IF($B$9+7-1-4*$B$6&gt;=0,B96*_xlfn.POISSON.DIST($B$9+7-1-4*$B$6,$B$89,TRUE),0)</f>
        <v/>
      </c>
      <c r="K96" s="18">
        <f>IF($B$9+8-1-4*$B$6&gt;=0,B96*_xlfn.POISSON.DIST($B$9+8-1-4*$B$6,$B$89,TRUE),0)</f>
        <v/>
      </c>
      <c r="L96" s="18">
        <f>IF($B$9+1-$B$6-4*$B$6&gt;=0,C96*_xlfn.POISSON.DIST($B$9+1-$B$6-4*$B$6,$B$89,TRUE),0)</f>
        <v/>
      </c>
      <c r="M96" s="18">
        <f>IF($B$9+2-$B$6-4*$B$6&gt;=0,C96*_xlfn.POISSON.DIST($B$9+2-$B$6-4*$B$6,$B$89,TRUE),0)</f>
        <v/>
      </c>
      <c r="N96" s="18">
        <f>IF($B$9+3-$B$6-4*$B$6&gt;=0,C96*_xlfn.POISSON.DIST($B$9+3-$B$6-4*$B$6,$B$89,TRUE),0)</f>
        <v/>
      </c>
      <c r="O96" s="18">
        <f>IF($B$9+4-$B$6-4*$B$6&gt;=0,C96*_xlfn.POISSON.DIST($B$9+4-$B$6-4*$B$6,$B$89,TRUE),0)</f>
        <v/>
      </c>
      <c r="P96" s="18">
        <f>IF($B$9+5-$B$6-4*$B$6&gt;=0,C96*_xlfn.POISSON.DIST($B$9+5-$B$6-4*$B$6,$B$89,TRUE),0)</f>
        <v/>
      </c>
      <c r="Q96" s="18">
        <f>IF($B$9+6-$B$6-4*$B$6&gt;=0,C96*_xlfn.POISSON.DIST($B$9+6-$B$6-4*$B$6,$B$89,TRUE),0)</f>
        <v/>
      </c>
      <c r="R96" s="18">
        <f>IF($B$9+7-$B$6-4*$B$6&gt;=0,C96*_xlfn.POISSON.DIST($B$9+7-$B$6-4*$B$6,$B$89,TRUE),0)</f>
        <v/>
      </c>
      <c r="S96" s="18">
        <f>IF($B$9+8-$B$6-4*$B$6&gt;=0,C96*_xlfn.POISSON.DIST($B$9+8-$B$6-4*$B$6,$B$89,TRUE),0)</f>
        <v/>
      </c>
      <c r="T96" s="18">
        <f>AVERAGE(INDEX($V$92:$V$136,(4-1)*$B$6+1):INDEX($V$92:$V$136,4*$B$6))</f>
        <v/>
      </c>
      <c r="U96" s="10" t="n">
        <v>5</v>
      </c>
      <c r="V96" s="18">
        <f>1-_xlfn.POISSON.DIST(U96-1,$B$88,TRUE)</f>
        <v/>
      </c>
    </row>
    <row r="97">
      <c r="A97" s="10" t="n">
        <v>5</v>
      </c>
      <c r="B97" s="11">
        <f>T97-T98</f>
        <v/>
      </c>
      <c r="C97" s="11">
        <f>_xlfn.POISSON.DIST(5*$B$6+$B$6-1,$B$88,TRUE)-_xlfn.POISSON.DIST(5*$B$6-1,$B$88,TRUE)</f>
        <v/>
      </c>
      <c r="D97" s="18">
        <f>IF($B$9+1-1-5*$B$6&gt;=0,B97*_xlfn.POISSON.DIST($B$9+1-1-5*$B$6,$B$89,TRUE),0)</f>
        <v/>
      </c>
      <c r="E97" s="18">
        <f>IF($B$9+2-1-5*$B$6&gt;=0,B97*_xlfn.POISSON.DIST($B$9+2-1-5*$B$6,$B$89,TRUE),0)</f>
        <v/>
      </c>
      <c r="F97" s="18">
        <f>IF($B$9+3-1-5*$B$6&gt;=0,B97*_xlfn.POISSON.DIST($B$9+3-1-5*$B$6,$B$89,TRUE),0)</f>
        <v/>
      </c>
      <c r="G97" s="18">
        <f>IF($B$9+4-1-5*$B$6&gt;=0,B97*_xlfn.POISSON.DIST($B$9+4-1-5*$B$6,$B$89,TRUE),0)</f>
        <v/>
      </c>
      <c r="H97" s="18">
        <f>IF($B$9+5-1-5*$B$6&gt;=0,B97*_xlfn.POISSON.DIST($B$9+5-1-5*$B$6,$B$89,TRUE),0)</f>
        <v/>
      </c>
      <c r="I97" s="18">
        <f>IF($B$9+6-1-5*$B$6&gt;=0,B97*_xlfn.POISSON.DIST($B$9+6-1-5*$B$6,$B$89,TRUE),0)</f>
        <v/>
      </c>
      <c r="J97" s="18">
        <f>IF($B$9+7-1-5*$B$6&gt;=0,B97*_xlfn.POISSON.DIST($B$9+7-1-5*$B$6,$B$89,TRUE),0)</f>
        <v/>
      </c>
      <c r="K97" s="18">
        <f>IF($B$9+8-1-5*$B$6&gt;=0,B97*_xlfn.POISSON.DIST($B$9+8-1-5*$B$6,$B$89,TRUE),0)</f>
        <v/>
      </c>
      <c r="L97" s="18">
        <f>IF($B$9+1-$B$6-5*$B$6&gt;=0,C97*_xlfn.POISSON.DIST($B$9+1-$B$6-5*$B$6,$B$89,TRUE),0)</f>
        <v/>
      </c>
      <c r="M97" s="18">
        <f>IF($B$9+2-$B$6-5*$B$6&gt;=0,C97*_xlfn.POISSON.DIST($B$9+2-$B$6-5*$B$6,$B$89,TRUE),0)</f>
        <v/>
      </c>
      <c r="N97" s="18">
        <f>IF($B$9+3-$B$6-5*$B$6&gt;=0,C97*_xlfn.POISSON.DIST($B$9+3-$B$6-5*$B$6,$B$89,TRUE),0)</f>
        <v/>
      </c>
      <c r="O97" s="18">
        <f>IF($B$9+4-$B$6-5*$B$6&gt;=0,C97*_xlfn.POISSON.DIST($B$9+4-$B$6-5*$B$6,$B$89,TRUE),0)</f>
        <v/>
      </c>
      <c r="P97" s="18">
        <f>IF($B$9+5-$B$6-5*$B$6&gt;=0,C97*_xlfn.POISSON.DIST($B$9+5-$B$6-5*$B$6,$B$89,TRUE),0)</f>
        <v/>
      </c>
      <c r="Q97" s="18">
        <f>IF($B$9+6-$B$6-5*$B$6&gt;=0,C97*_xlfn.POISSON.DIST($B$9+6-$B$6-5*$B$6,$B$89,TRUE),0)</f>
        <v/>
      </c>
      <c r="R97" s="18">
        <f>IF($B$9+7-$B$6-5*$B$6&gt;=0,C97*_xlfn.POISSON.DIST($B$9+7-$B$6-5*$B$6,$B$89,TRUE),0)</f>
        <v/>
      </c>
      <c r="S97" s="18">
        <f>IF($B$9+8-$B$6-5*$B$6&gt;=0,C97*_xlfn.POISSON.DIST($B$9+8-$B$6-5*$B$6,$B$89,TRUE),0)</f>
        <v/>
      </c>
      <c r="T97" s="18">
        <f>AVERAGE(INDEX($V$92:$V$136,(5-1)*$B$6+1):INDEX($V$92:$V$136,5*$B$6))</f>
        <v/>
      </c>
      <c r="U97" s="10" t="n">
        <v>6</v>
      </c>
      <c r="V97" s="18">
        <f>1-_xlfn.POISSON.DIST(U97-1,$B$88,TRUE)</f>
        <v/>
      </c>
    </row>
    <row r="98">
      <c r="A98" s="10" t="n">
        <v>6</v>
      </c>
      <c r="B98" s="11">
        <f>T98-T99</f>
        <v/>
      </c>
      <c r="C98" s="11">
        <f>_xlfn.POISSON.DIST(6*$B$6+$B$6-1,$B$88,TRUE)-_xlfn.POISSON.DIST(6*$B$6-1,$B$88,TRUE)</f>
        <v/>
      </c>
      <c r="D98" s="18">
        <f>IF($B$9+1-1-6*$B$6&gt;=0,B98*_xlfn.POISSON.DIST($B$9+1-1-6*$B$6,$B$89,TRUE),0)</f>
        <v/>
      </c>
      <c r="E98" s="18">
        <f>IF($B$9+2-1-6*$B$6&gt;=0,B98*_xlfn.POISSON.DIST($B$9+2-1-6*$B$6,$B$89,TRUE),0)</f>
        <v/>
      </c>
      <c r="F98" s="18">
        <f>IF($B$9+3-1-6*$B$6&gt;=0,B98*_xlfn.POISSON.DIST($B$9+3-1-6*$B$6,$B$89,TRUE),0)</f>
        <v/>
      </c>
      <c r="G98" s="18">
        <f>IF($B$9+4-1-6*$B$6&gt;=0,B98*_xlfn.POISSON.DIST($B$9+4-1-6*$B$6,$B$89,TRUE),0)</f>
        <v/>
      </c>
      <c r="H98" s="18">
        <f>IF($B$9+5-1-6*$B$6&gt;=0,B98*_xlfn.POISSON.DIST($B$9+5-1-6*$B$6,$B$89,TRUE),0)</f>
        <v/>
      </c>
      <c r="I98" s="18">
        <f>IF($B$9+6-1-6*$B$6&gt;=0,B98*_xlfn.POISSON.DIST($B$9+6-1-6*$B$6,$B$89,TRUE),0)</f>
        <v/>
      </c>
      <c r="J98" s="18">
        <f>IF($B$9+7-1-6*$B$6&gt;=0,B98*_xlfn.POISSON.DIST($B$9+7-1-6*$B$6,$B$89,TRUE),0)</f>
        <v/>
      </c>
      <c r="K98" s="18">
        <f>IF($B$9+8-1-6*$B$6&gt;=0,B98*_xlfn.POISSON.DIST($B$9+8-1-6*$B$6,$B$89,TRUE),0)</f>
        <v/>
      </c>
      <c r="L98" s="18">
        <f>IF($B$9+1-$B$6-6*$B$6&gt;=0,C98*_xlfn.POISSON.DIST($B$9+1-$B$6-6*$B$6,$B$89,TRUE),0)</f>
        <v/>
      </c>
      <c r="M98" s="18">
        <f>IF($B$9+2-$B$6-6*$B$6&gt;=0,C98*_xlfn.POISSON.DIST($B$9+2-$B$6-6*$B$6,$B$89,TRUE),0)</f>
        <v/>
      </c>
      <c r="N98" s="18">
        <f>IF($B$9+3-$B$6-6*$B$6&gt;=0,C98*_xlfn.POISSON.DIST($B$9+3-$B$6-6*$B$6,$B$89,TRUE),0)</f>
        <v/>
      </c>
      <c r="O98" s="18">
        <f>IF($B$9+4-$B$6-6*$B$6&gt;=0,C98*_xlfn.POISSON.DIST($B$9+4-$B$6-6*$B$6,$B$89,TRUE),0)</f>
        <v/>
      </c>
      <c r="P98" s="18">
        <f>IF($B$9+5-$B$6-6*$B$6&gt;=0,C98*_xlfn.POISSON.DIST($B$9+5-$B$6-6*$B$6,$B$89,TRUE),0)</f>
        <v/>
      </c>
      <c r="Q98" s="18">
        <f>IF($B$9+6-$B$6-6*$B$6&gt;=0,C98*_xlfn.POISSON.DIST($B$9+6-$B$6-6*$B$6,$B$89,TRUE),0)</f>
        <v/>
      </c>
      <c r="R98" s="18">
        <f>IF($B$9+7-$B$6-6*$B$6&gt;=0,C98*_xlfn.POISSON.DIST($B$9+7-$B$6-6*$B$6,$B$89,TRUE),0)</f>
        <v/>
      </c>
      <c r="S98" s="18">
        <f>IF($B$9+8-$B$6-6*$B$6&gt;=0,C98*_xlfn.POISSON.DIST($B$9+8-$B$6-6*$B$6,$B$89,TRUE),0)</f>
        <v/>
      </c>
      <c r="T98" s="18">
        <f>AVERAGE(INDEX($V$92:$V$136,(6-1)*$B$6+1):INDEX($V$92:$V$136,6*$B$6))</f>
        <v/>
      </c>
      <c r="U98" s="10" t="n">
        <v>7</v>
      </c>
      <c r="V98" s="18">
        <f>1-_xlfn.POISSON.DIST(U98-1,$B$88,TRUE)</f>
        <v/>
      </c>
    </row>
    <row r="99">
      <c r="A99" s="10" t="n">
        <v>7</v>
      </c>
      <c r="B99" s="11">
        <f>T99-T100</f>
        <v/>
      </c>
      <c r="C99" s="11">
        <f>_xlfn.POISSON.DIST(7*$B$6+$B$6-1,$B$88,TRUE)-_xlfn.POISSON.DIST(7*$B$6-1,$B$88,TRUE)</f>
        <v/>
      </c>
      <c r="D99" s="18">
        <f>IF($B$9+1-1-7*$B$6&gt;=0,B99*_xlfn.POISSON.DIST($B$9+1-1-7*$B$6,$B$89,TRUE),0)</f>
        <v/>
      </c>
      <c r="E99" s="18">
        <f>IF($B$9+2-1-7*$B$6&gt;=0,B99*_xlfn.POISSON.DIST($B$9+2-1-7*$B$6,$B$89,TRUE),0)</f>
        <v/>
      </c>
      <c r="F99" s="18">
        <f>IF($B$9+3-1-7*$B$6&gt;=0,B99*_xlfn.POISSON.DIST($B$9+3-1-7*$B$6,$B$89,TRUE),0)</f>
        <v/>
      </c>
      <c r="G99" s="18">
        <f>IF($B$9+4-1-7*$B$6&gt;=0,B99*_xlfn.POISSON.DIST($B$9+4-1-7*$B$6,$B$89,TRUE),0)</f>
        <v/>
      </c>
      <c r="H99" s="18">
        <f>IF($B$9+5-1-7*$B$6&gt;=0,B99*_xlfn.POISSON.DIST($B$9+5-1-7*$B$6,$B$89,TRUE),0)</f>
        <v/>
      </c>
      <c r="I99" s="18">
        <f>IF($B$9+6-1-7*$B$6&gt;=0,B99*_xlfn.POISSON.DIST($B$9+6-1-7*$B$6,$B$89,TRUE),0)</f>
        <v/>
      </c>
      <c r="J99" s="18">
        <f>IF($B$9+7-1-7*$B$6&gt;=0,B99*_xlfn.POISSON.DIST($B$9+7-1-7*$B$6,$B$89,TRUE),0)</f>
        <v/>
      </c>
      <c r="K99" s="18">
        <f>IF($B$9+8-1-7*$B$6&gt;=0,B99*_xlfn.POISSON.DIST($B$9+8-1-7*$B$6,$B$89,TRUE),0)</f>
        <v/>
      </c>
      <c r="L99" s="18">
        <f>IF($B$9+1-$B$6-7*$B$6&gt;=0,C99*_xlfn.POISSON.DIST($B$9+1-$B$6-7*$B$6,$B$89,TRUE),0)</f>
        <v/>
      </c>
      <c r="M99" s="18">
        <f>IF($B$9+2-$B$6-7*$B$6&gt;=0,C99*_xlfn.POISSON.DIST($B$9+2-$B$6-7*$B$6,$B$89,TRUE),0)</f>
        <v/>
      </c>
      <c r="N99" s="18">
        <f>IF($B$9+3-$B$6-7*$B$6&gt;=0,C99*_xlfn.POISSON.DIST($B$9+3-$B$6-7*$B$6,$B$89,TRUE),0)</f>
        <v/>
      </c>
      <c r="O99" s="18">
        <f>IF($B$9+4-$B$6-7*$B$6&gt;=0,C99*_xlfn.POISSON.DIST($B$9+4-$B$6-7*$B$6,$B$89,TRUE),0)</f>
        <v/>
      </c>
      <c r="P99" s="18">
        <f>IF($B$9+5-$B$6-7*$B$6&gt;=0,C99*_xlfn.POISSON.DIST($B$9+5-$B$6-7*$B$6,$B$89,TRUE),0)</f>
        <v/>
      </c>
      <c r="Q99" s="18">
        <f>IF($B$9+6-$B$6-7*$B$6&gt;=0,C99*_xlfn.POISSON.DIST($B$9+6-$B$6-7*$B$6,$B$89,TRUE),0)</f>
        <v/>
      </c>
      <c r="R99" s="18">
        <f>IF($B$9+7-$B$6-7*$B$6&gt;=0,C99*_xlfn.POISSON.DIST($B$9+7-$B$6-7*$B$6,$B$89,TRUE),0)</f>
        <v/>
      </c>
      <c r="S99" s="18">
        <f>IF($B$9+8-$B$6-7*$B$6&gt;=0,C99*_xlfn.POISSON.DIST($B$9+8-$B$6-7*$B$6,$B$89,TRUE),0)</f>
        <v/>
      </c>
      <c r="T99" s="18">
        <f>AVERAGE(INDEX($V$92:$V$136,(7-1)*$B$6+1):INDEX($V$92:$V$136,7*$B$6))</f>
        <v/>
      </c>
      <c r="U99" s="10" t="n">
        <v>8</v>
      </c>
      <c r="V99" s="18">
        <f>1-_xlfn.POISSON.DIST(U99-1,$B$88,TRUE)</f>
        <v/>
      </c>
    </row>
    <row r="100">
      <c r="A100" s="10" t="n">
        <v>8</v>
      </c>
      <c r="B100" s="11">
        <f>T100-T101</f>
        <v/>
      </c>
      <c r="C100" s="11">
        <f>_xlfn.POISSON.DIST(8*$B$6+$B$6-1,$B$88,TRUE)-_xlfn.POISSON.DIST(8*$B$6-1,$B$88,TRUE)</f>
        <v/>
      </c>
      <c r="D100" s="18">
        <f>IF($B$9+1-1-8*$B$6&gt;=0,B100*_xlfn.POISSON.DIST($B$9+1-1-8*$B$6,$B$89,TRUE),0)</f>
        <v/>
      </c>
      <c r="E100" s="18">
        <f>IF($B$9+2-1-8*$B$6&gt;=0,B100*_xlfn.POISSON.DIST($B$9+2-1-8*$B$6,$B$89,TRUE),0)</f>
        <v/>
      </c>
      <c r="F100" s="18">
        <f>IF($B$9+3-1-8*$B$6&gt;=0,B100*_xlfn.POISSON.DIST($B$9+3-1-8*$B$6,$B$89,TRUE),0)</f>
        <v/>
      </c>
      <c r="G100" s="18">
        <f>IF($B$9+4-1-8*$B$6&gt;=0,B100*_xlfn.POISSON.DIST($B$9+4-1-8*$B$6,$B$89,TRUE),0)</f>
        <v/>
      </c>
      <c r="H100" s="18">
        <f>IF($B$9+5-1-8*$B$6&gt;=0,B100*_xlfn.POISSON.DIST($B$9+5-1-8*$B$6,$B$89,TRUE),0)</f>
        <v/>
      </c>
      <c r="I100" s="18">
        <f>IF($B$9+6-1-8*$B$6&gt;=0,B100*_xlfn.POISSON.DIST($B$9+6-1-8*$B$6,$B$89,TRUE),0)</f>
        <v/>
      </c>
      <c r="J100" s="18">
        <f>IF($B$9+7-1-8*$B$6&gt;=0,B100*_xlfn.POISSON.DIST($B$9+7-1-8*$B$6,$B$89,TRUE),0)</f>
        <v/>
      </c>
      <c r="K100" s="18">
        <f>IF($B$9+8-1-8*$B$6&gt;=0,B100*_xlfn.POISSON.DIST($B$9+8-1-8*$B$6,$B$89,TRUE),0)</f>
        <v/>
      </c>
      <c r="L100" s="18">
        <f>IF($B$9+1-$B$6-8*$B$6&gt;=0,C100*_xlfn.POISSON.DIST($B$9+1-$B$6-8*$B$6,$B$89,TRUE),0)</f>
        <v/>
      </c>
      <c r="M100" s="18">
        <f>IF($B$9+2-$B$6-8*$B$6&gt;=0,C100*_xlfn.POISSON.DIST($B$9+2-$B$6-8*$B$6,$B$89,TRUE),0)</f>
        <v/>
      </c>
      <c r="N100" s="18">
        <f>IF($B$9+3-$B$6-8*$B$6&gt;=0,C100*_xlfn.POISSON.DIST($B$9+3-$B$6-8*$B$6,$B$89,TRUE),0)</f>
        <v/>
      </c>
      <c r="O100" s="18">
        <f>IF($B$9+4-$B$6-8*$B$6&gt;=0,C100*_xlfn.POISSON.DIST($B$9+4-$B$6-8*$B$6,$B$89,TRUE),0)</f>
        <v/>
      </c>
      <c r="P100" s="18">
        <f>IF($B$9+5-$B$6-8*$B$6&gt;=0,C100*_xlfn.POISSON.DIST($B$9+5-$B$6-8*$B$6,$B$89,TRUE),0)</f>
        <v/>
      </c>
      <c r="Q100" s="18">
        <f>IF($B$9+6-$B$6-8*$B$6&gt;=0,C100*_xlfn.POISSON.DIST($B$9+6-$B$6-8*$B$6,$B$89,TRUE),0)</f>
        <v/>
      </c>
      <c r="R100" s="18">
        <f>IF($B$9+7-$B$6-8*$B$6&gt;=0,C100*_xlfn.POISSON.DIST($B$9+7-$B$6-8*$B$6,$B$89,TRUE),0)</f>
        <v/>
      </c>
      <c r="S100" s="18">
        <f>IF($B$9+8-$B$6-8*$B$6&gt;=0,C100*_xlfn.POISSON.DIST($B$9+8-$B$6-8*$B$6,$B$89,TRUE),0)</f>
        <v/>
      </c>
      <c r="T100" s="18">
        <f>AVERAGE(INDEX($V$92:$V$136,(8-1)*$B$6+1):INDEX($V$92:$V$136,8*$B$6))</f>
        <v/>
      </c>
      <c r="U100" s="10" t="n">
        <v>9</v>
      </c>
      <c r="V100" s="18">
        <f>1-_xlfn.POISSON.DIST(U100-1,$B$88,TRUE)</f>
        <v/>
      </c>
    </row>
    <row r="101">
      <c r="A101" s="10" t="n">
        <v>9</v>
      </c>
      <c r="B101" s="11">
        <f>T101-T102</f>
        <v/>
      </c>
      <c r="C101" s="11">
        <f>_xlfn.POISSON.DIST(9*$B$6+$B$6-1,$B$88,TRUE)-_xlfn.POISSON.DIST(9*$B$6-1,$B$88,TRUE)</f>
        <v/>
      </c>
      <c r="D101" s="18">
        <f>IF($B$9+1-1-9*$B$6&gt;=0,B101*_xlfn.POISSON.DIST($B$9+1-1-9*$B$6,$B$89,TRUE),0)</f>
        <v/>
      </c>
      <c r="E101" s="18">
        <f>IF($B$9+2-1-9*$B$6&gt;=0,B101*_xlfn.POISSON.DIST($B$9+2-1-9*$B$6,$B$89,TRUE),0)</f>
        <v/>
      </c>
      <c r="F101" s="18">
        <f>IF($B$9+3-1-9*$B$6&gt;=0,B101*_xlfn.POISSON.DIST($B$9+3-1-9*$B$6,$B$89,TRUE),0)</f>
        <v/>
      </c>
      <c r="G101" s="18">
        <f>IF($B$9+4-1-9*$B$6&gt;=0,B101*_xlfn.POISSON.DIST($B$9+4-1-9*$B$6,$B$89,TRUE),0)</f>
        <v/>
      </c>
      <c r="H101" s="18">
        <f>IF($B$9+5-1-9*$B$6&gt;=0,B101*_xlfn.POISSON.DIST($B$9+5-1-9*$B$6,$B$89,TRUE),0)</f>
        <v/>
      </c>
      <c r="I101" s="18">
        <f>IF($B$9+6-1-9*$B$6&gt;=0,B101*_xlfn.POISSON.DIST($B$9+6-1-9*$B$6,$B$89,TRUE),0)</f>
        <v/>
      </c>
      <c r="J101" s="18">
        <f>IF($B$9+7-1-9*$B$6&gt;=0,B101*_xlfn.POISSON.DIST($B$9+7-1-9*$B$6,$B$89,TRUE),0)</f>
        <v/>
      </c>
      <c r="K101" s="18">
        <f>IF($B$9+8-1-9*$B$6&gt;=0,B101*_xlfn.POISSON.DIST($B$9+8-1-9*$B$6,$B$89,TRUE),0)</f>
        <v/>
      </c>
      <c r="L101" s="18">
        <f>IF($B$9+1-$B$6-9*$B$6&gt;=0,C101*_xlfn.POISSON.DIST($B$9+1-$B$6-9*$B$6,$B$89,TRUE),0)</f>
        <v/>
      </c>
      <c r="M101" s="18">
        <f>IF($B$9+2-$B$6-9*$B$6&gt;=0,C101*_xlfn.POISSON.DIST($B$9+2-$B$6-9*$B$6,$B$89,TRUE),0)</f>
        <v/>
      </c>
      <c r="N101" s="18">
        <f>IF($B$9+3-$B$6-9*$B$6&gt;=0,C101*_xlfn.POISSON.DIST($B$9+3-$B$6-9*$B$6,$B$89,TRUE),0)</f>
        <v/>
      </c>
      <c r="O101" s="18">
        <f>IF($B$9+4-$B$6-9*$B$6&gt;=0,C101*_xlfn.POISSON.DIST($B$9+4-$B$6-9*$B$6,$B$89,TRUE),0)</f>
        <v/>
      </c>
      <c r="P101" s="18">
        <f>IF($B$9+5-$B$6-9*$B$6&gt;=0,C101*_xlfn.POISSON.DIST($B$9+5-$B$6-9*$B$6,$B$89,TRUE),0)</f>
        <v/>
      </c>
      <c r="Q101" s="18">
        <f>IF($B$9+6-$B$6-9*$B$6&gt;=0,C101*_xlfn.POISSON.DIST($B$9+6-$B$6-9*$B$6,$B$89,TRUE),0)</f>
        <v/>
      </c>
      <c r="R101" s="18">
        <f>IF($B$9+7-$B$6-9*$B$6&gt;=0,C101*_xlfn.POISSON.DIST($B$9+7-$B$6-9*$B$6,$B$89,TRUE),0)</f>
        <v/>
      </c>
      <c r="S101" s="18">
        <f>IF($B$9+8-$B$6-9*$B$6&gt;=0,C101*_xlfn.POISSON.DIST($B$9+8-$B$6-9*$B$6,$B$89,TRUE),0)</f>
        <v/>
      </c>
      <c r="T101" s="18">
        <f>AVERAGE(INDEX($V$92:$V$136,(9-1)*$B$6+1):INDEX($V$92:$V$136,9*$B$6))</f>
        <v/>
      </c>
      <c r="U101" s="10" t="n">
        <v>10</v>
      </c>
      <c r="V101" s="18">
        <f>1-_xlfn.POISSON.DIST(U101-1,$B$88,TRUE)</f>
        <v/>
      </c>
    </row>
    <row r="102">
      <c r="A102" s="10" t="n">
        <v>10</v>
      </c>
      <c r="B102" s="11">
        <f>T102-T103</f>
        <v/>
      </c>
      <c r="C102" s="11">
        <f>_xlfn.POISSON.DIST(10*$B$6+$B$6-1,$B$88,TRUE)-_xlfn.POISSON.DIST(10*$B$6-1,$B$88,TRUE)</f>
        <v/>
      </c>
      <c r="D102" s="18">
        <f>IF($B$9+1-1-10*$B$6&gt;=0,B102*_xlfn.POISSON.DIST($B$9+1-1-10*$B$6,$B$89,TRUE),0)</f>
        <v/>
      </c>
      <c r="E102" s="18">
        <f>IF($B$9+2-1-10*$B$6&gt;=0,B102*_xlfn.POISSON.DIST($B$9+2-1-10*$B$6,$B$89,TRUE),0)</f>
        <v/>
      </c>
      <c r="F102" s="18">
        <f>IF($B$9+3-1-10*$B$6&gt;=0,B102*_xlfn.POISSON.DIST($B$9+3-1-10*$B$6,$B$89,TRUE),0)</f>
        <v/>
      </c>
      <c r="G102" s="18">
        <f>IF($B$9+4-1-10*$B$6&gt;=0,B102*_xlfn.POISSON.DIST($B$9+4-1-10*$B$6,$B$89,TRUE),0)</f>
        <v/>
      </c>
      <c r="H102" s="18">
        <f>IF($B$9+5-1-10*$B$6&gt;=0,B102*_xlfn.POISSON.DIST($B$9+5-1-10*$B$6,$B$89,TRUE),0)</f>
        <v/>
      </c>
      <c r="I102" s="18">
        <f>IF($B$9+6-1-10*$B$6&gt;=0,B102*_xlfn.POISSON.DIST($B$9+6-1-10*$B$6,$B$89,TRUE),0)</f>
        <v/>
      </c>
      <c r="J102" s="18">
        <f>IF($B$9+7-1-10*$B$6&gt;=0,B102*_xlfn.POISSON.DIST($B$9+7-1-10*$B$6,$B$89,TRUE),0)</f>
        <v/>
      </c>
      <c r="K102" s="18">
        <f>IF($B$9+8-1-10*$B$6&gt;=0,B102*_xlfn.POISSON.DIST($B$9+8-1-10*$B$6,$B$89,TRUE),0)</f>
        <v/>
      </c>
      <c r="L102" s="18">
        <f>IF($B$9+1-$B$6-10*$B$6&gt;=0,C102*_xlfn.POISSON.DIST($B$9+1-$B$6-10*$B$6,$B$89,TRUE),0)</f>
        <v/>
      </c>
      <c r="M102" s="18">
        <f>IF($B$9+2-$B$6-10*$B$6&gt;=0,C102*_xlfn.POISSON.DIST($B$9+2-$B$6-10*$B$6,$B$89,TRUE),0)</f>
        <v/>
      </c>
      <c r="N102" s="18">
        <f>IF($B$9+3-$B$6-10*$B$6&gt;=0,C102*_xlfn.POISSON.DIST($B$9+3-$B$6-10*$B$6,$B$89,TRUE),0)</f>
        <v/>
      </c>
      <c r="O102" s="18">
        <f>IF($B$9+4-$B$6-10*$B$6&gt;=0,C102*_xlfn.POISSON.DIST($B$9+4-$B$6-10*$B$6,$B$89,TRUE),0)</f>
        <v/>
      </c>
      <c r="P102" s="18">
        <f>IF($B$9+5-$B$6-10*$B$6&gt;=0,C102*_xlfn.POISSON.DIST($B$9+5-$B$6-10*$B$6,$B$89,TRUE),0)</f>
        <v/>
      </c>
      <c r="Q102" s="18">
        <f>IF($B$9+6-$B$6-10*$B$6&gt;=0,C102*_xlfn.POISSON.DIST($B$9+6-$B$6-10*$B$6,$B$89,TRUE),0)</f>
        <v/>
      </c>
      <c r="R102" s="18">
        <f>IF($B$9+7-$B$6-10*$B$6&gt;=0,C102*_xlfn.POISSON.DIST($B$9+7-$B$6-10*$B$6,$B$89,TRUE),0)</f>
        <v/>
      </c>
      <c r="S102" s="18">
        <f>IF($B$9+8-$B$6-10*$B$6&gt;=0,C102*_xlfn.POISSON.DIST($B$9+8-$B$6-10*$B$6,$B$89,TRUE),0)</f>
        <v/>
      </c>
      <c r="T102" s="18">
        <f>AVERAGE(INDEX($V$92:$V$136,(10-1)*$B$6+1):INDEX($V$92:$V$136,10*$B$6))</f>
        <v/>
      </c>
      <c r="U102" s="10" t="n">
        <v>11</v>
      </c>
      <c r="V102" s="18">
        <f>1-_xlfn.POISSON.DIST(U102-1,$B$88,TRUE)</f>
        <v/>
      </c>
    </row>
    <row r="103">
      <c r="A103" s="10" t="n">
        <v>11</v>
      </c>
      <c r="B103" s="11">
        <f>T103-T104</f>
        <v/>
      </c>
      <c r="C103" s="11">
        <f>_xlfn.POISSON.DIST(11*$B$6+$B$6-1,$B$88,TRUE)-_xlfn.POISSON.DIST(11*$B$6-1,$B$88,TRUE)</f>
        <v/>
      </c>
      <c r="D103" s="18">
        <f>IF($B$9+1-1-11*$B$6&gt;=0,B103*_xlfn.POISSON.DIST($B$9+1-1-11*$B$6,$B$89,TRUE),0)</f>
        <v/>
      </c>
      <c r="E103" s="18">
        <f>IF($B$9+2-1-11*$B$6&gt;=0,B103*_xlfn.POISSON.DIST($B$9+2-1-11*$B$6,$B$89,TRUE),0)</f>
        <v/>
      </c>
      <c r="F103" s="18">
        <f>IF($B$9+3-1-11*$B$6&gt;=0,B103*_xlfn.POISSON.DIST($B$9+3-1-11*$B$6,$B$89,TRUE),0)</f>
        <v/>
      </c>
      <c r="G103" s="18">
        <f>IF($B$9+4-1-11*$B$6&gt;=0,B103*_xlfn.POISSON.DIST($B$9+4-1-11*$B$6,$B$89,TRUE),0)</f>
        <v/>
      </c>
      <c r="H103" s="18">
        <f>IF($B$9+5-1-11*$B$6&gt;=0,B103*_xlfn.POISSON.DIST($B$9+5-1-11*$B$6,$B$89,TRUE),0)</f>
        <v/>
      </c>
      <c r="I103" s="18">
        <f>IF($B$9+6-1-11*$B$6&gt;=0,B103*_xlfn.POISSON.DIST($B$9+6-1-11*$B$6,$B$89,TRUE),0)</f>
        <v/>
      </c>
      <c r="J103" s="18">
        <f>IF($B$9+7-1-11*$B$6&gt;=0,B103*_xlfn.POISSON.DIST($B$9+7-1-11*$B$6,$B$89,TRUE),0)</f>
        <v/>
      </c>
      <c r="K103" s="18">
        <f>IF($B$9+8-1-11*$B$6&gt;=0,B103*_xlfn.POISSON.DIST($B$9+8-1-11*$B$6,$B$89,TRUE),0)</f>
        <v/>
      </c>
      <c r="L103" s="18">
        <f>IF($B$9+1-$B$6-11*$B$6&gt;=0,C103*_xlfn.POISSON.DIST($B$9+1-$B$6-11*$B$6,$B$89,TRUE),0)</f>
        <v/>
      </c>
      <c r="M103" s="18">
        <f>IF($B$9+2-$B$6-11*$B$6&gt;=0,C103*_xlfn.POISSON.DIST($B$9+2-$B$6-11*$B$6,$B$89,TRUE),0)</f>
        <v/>
      </c>
      <c r="N103" s="18">
        <f>IF($B$9+3-$B$6-11*$B$6&gt;=0,C103*_xlfn.POISSON.DIST($B$9+3-$B$6-11*$B$6,$B$89,TRUE),0)</f>
        <v/>
      </c>
      <c r="O103" s="18">
        <f>IF($B$9+4-$B$6-11*$B$6&gt;=0,C103*_xlfn.POISSON.DIST($B$9+4-$B$6-11*$B$6,$B$89,TRUE),0)</f>
        <v/>
      </c>
      <c r="P103" s="18">
        <f>IF($B$9+5-$B$6-11*$B$6&gt;=0,C103*_xlfn.POISSON.DIST($B$9+5-$B$6-11*$B$6,$B$89,TRUE),0)</f>
        <v/>
      </c>
      <c r="Q103" s="18">
        <f>IF($B$9+6-$B$6-11*$B$6&gt;=0,C103*_xlfn.POISSON.DIST($B$9+6-$B$6-11*$B$6,$B$89,TRUE),0)</f>
        <v/>
      </c>
      <c r="R103" s="18">
        <f>IF($B$9+7-$B$6-11*$B$6&gt;=0,C103*_xlfn.POISSON.DIST($B$9+7-$B$6-11*$B$6,$B$89,TRUE),0)</f>
        <v/>
      </c>
      <c r="S103" s="18">
        <f>IF($B$9+8-$B$6-11*$B$6&gt;=0,C103*_xlfn.POISSON.DIST($B$9+8-$B$6-11*$B$6,$B$89,TRUE),0)</f>
        <v/>
      </c>
      <c r="T103" s="18">
        <f>AVERAGE(INDEX($V$92:$V$136,(11-1)*$B$6+1):INDEX($V$92:$V$136,11*$B$6))</f>
        <v/>
      </c>
      <c r="U103" s="10" t="n">
        <v>12</v>
      </c>
      <c r="V103" s="18">
        <f>1-_xlfn.POISSON.DIST(U103-1,$B$88,TRUE)</f>
        <v/>
      </c>
    </row>
    <row r="104">
      <c r="A104" s="10" t="n">
        <v>12</v>
      </c>
      <c r="B104" s="11">
        <f>T104-T105</f>
        <v/>
      </c>
      <c r="C104" s="11">
        <f>_xlfn.POISSON.DIST(12*$B$6+$B$6-1,$B$88,TRUE)-_xlfn.POISSON.DIST(12*$B$6-1,$B$88,TRUE)</f>
        <v/>
      </c>
      <c r="D104" s="18">
        <f>IF($B$9+1-1-12*$B$6&gt;=0,B104*_xlfn.POISSON.DIST($B$9+1-1-12*$B$6,$B$89,TRUE),0)</f>
        <v/>
      </c>
      <c r="E104" s="18">
        <f>IF($B$9+2-1-12*$B$6&gt;=0,B104*_xlfn.POISSON.DIST($B$9+2-1-12*$B$6,$B$89,TRUE),0)</f>
        <v/>
      </c>
      <c r="F104" s="18">
        <f>IF($B$9+3-1-12*$B$6&gt;=0,B104*_xlfn.POISSON.DIST($B$9+3-1-12*$B$6,$B$89,TRUE),0)</f>
        <v/>
      </c>
      <c r="G104" s="18">
        <f>IF($B$9+4-1-12*$B$6&gt;=0,B104*_xlfn.POISSON.DIST($B$9+4-1-12*$B$6,$B$89,TRUE),0)</f>
        <v/>
      </c>
      <c r="H104" s="18">
        <f>IF($B$9+5-1-12*$B$6&gt;=0,B104*_xlfn.POISSON.DIST($B$9+5-1-12*$B$6,$B$89,TRUE),0)</f>
        <v/>
      </c>
      <c r="I104" s="18">
        <f>IF($B$9+6-1-12*$B$6&gt;=0,B104*_xlfn.POISSON.DIST($B$9+6-1-12*$B$6,$B$89,TRUE),0)</f>
        <v/>
      </c>
      <c r="J104" s="18">
        <f>IF($B$9+7-1-12*$B$6&gt;=0,B104*_xlfn.POISSON.DIST($B$9+7-1-12*$B$6,$B$89,TRUE),0)</f>
        <v/>
      </c>
      <c r="K104" s="18">
        <f>IF($B$9+8-1-12*$B$6&gt;=0,B104*_xlfn.POISSON.DIST($B$9+8-1-12*$B$6,$B$89,TRUE),0)</f>
        <v/>
      </c>
      <c r="L104" s="18">
        <f>IF($B$9+1-$B$6-12*$B$6&gt;=0,C104*_xlfn.POISSON.DIST($B$9+1-$B$6-12*$B$6,$B$89,TRUE),0)</f>
        <v/>
      </c>
      <c r="M104" s="18">
        <f>IF($B$9+2-$B$6-12*$B$6&gt;=0,C104*_xlfn.POISSON.DIST($B$9+2-$B$6-12*$B$6,$B$89,TRUE),0)</f>
        <v/>
      </c>
      <c r="N104" s="18">
        <f>IF($B$9+3-$B$6-12*$B$6&gt;=0,C104*_xlfn.POISSON.DIST($B$9+3-$B$6-12*$B$6,$B$89,TRUE),0)</f>
        <v/>
      </c>
      <c r="O104" s="18">
        <f>IF($B$9+4-$B$6-12*$B$6&gt;=0,C104*_xlfn.POISSON.DIST($B$9+4-$B$6-12*$B$6,$B$89,TRUE),0)</f>
        <v/>
      </c>
      <c r="P104" s="18">
        <f>IF($B$9+5-$B$6-12*$B$6&gt;=0,C104*_xlfn.POISSON.DIST($B$9+5-$B$6-12*$B$6,$B$89,TRUE),0)</f>
        <v/>
      </c>
      <c r="Q104" s="18">
        <f>IF($B$9+6-$B$6-12*$B$6&gt;=0,C104*_xlfn.POISSON.DIST($B$9+6-$B$6-12*$B$6,$B$89,TRUE),0)</f>
        <v/>
      </c>
      <c r="R104" s="18">
        <f>IF($B$9+7-$B$6-12*$B$6&gt;=0,C104*_xlfn.POISSON.DIST($B$9+7-$B$6-12*$B$6,$B$89,TRUE),0)</f>
        <v/>
      </c>
      <c r="S104" s="18">
        <f>IF($B$9+8-$B$6-12*$B$6&gt;=0,C104*_xlfn.POISSON.DIST($B$9+8-$B$6-12*$B$6,$B$89,TRUE),0)</f>
        <v/>
      </c>
      <c r="T104" s="18">
        <f>AVERAGE(INDEX($V$92:$V$136,(12-1)*$B$6+1):INDEX($V$92:$V$136,12*$B$6))</f>
        <v/>
      </c>
      <c r="U104" s="10" t="n">
        <v>13</v>
      </c>
      <c r="V104" s="18">
        <f>1-_xlfn.POISSON.DIST(U104-1,$B$88,TRUE)</f>
        <v/>
      </c>
    </row>
    <row r="105">
      <c r="A105" s="10" t="n">
        <v>13</v>
      </c>
      <c r="B105" s="11">
        <f>T105-T106</f>
        <v/>
      </c>
      <c r="C105" s="11">
        <f>_xlfn.POISSON.DIST(13*$B$6+$B$6-1,$B$88,TRUE)-_xlfn.POISSON.DIST(13*$B$6-1,$B$88,TRUE)</f>
        <v/>
      </c>
      <c r="D105" s="18">
        <f>IF($B$9+1-1-13*$B$6&gt;=0,B105*_xlfn.POISSON.DIST($B$9+1-1-13*$B$6,$B$89,TRUE),0)</f>
        <v/>
      </c>
      <c r="E105" s="18">
        <f>IF($B$9+2-1-13*$B$6&gt;=0,B105*_xlfn.POISSON.DIST($B$9+2-1-13*$B$6,$B$89,TRUE),0)</f>
        <v/>
      </c>
      <c r="F105" s="18">
        <f>IF($B$9+3-1-13*$B$6&gt;=0,B105*_xlfn.POISSON.DIST($B$9+3-1-13*$B$6,$B$89,TRUE),0)</f>
        <v/>
      </c>
      <c r="G105" s="18">
        <f>IF($B$9+4-1-13*$B$6&gt;=0,B105*_xlfn.POISSON.DIST($B$9+4-1-13*$B$6,$B$89,TRUE),0)</f>
        <v/>
      </c>
      <c r="H105" s="18">
        <f>IF($B$9+5-1-13*$B$6&gt;=0,B105*_xlfn.POISSON.DIST($B$9+5-1-13*$B$6,$B$89,TRUE),0)</f>
        <v/>
      </c>
      <c r="I105" s="18">
        <f>IF($B$9+6-1-13*$B$6&gt;=0,B105*_xlfn.POISSON.DIST($B$9+6-1-13*$B$6,$B$89,TRUE),0)</f>
        <v/>
      </c>
      <c r="J105" s="18">
        <f>IF($B$9+7-1-13*$B$6&gt;=0,B105*_xlfn.POISSON.DIST($B$9+7-1-13*$B$6,$B$89,TRUE),0)</f>
        <v/>
      </c>
      <c r="K105" s="18">
        <f>IF($B$9+8-1-13*$B$6&gt;=0,B105*_xlfn.POISSON.DIST($B$9+8-1-13*$B$6,$B$89,TRUE),0)</f>
        <v/>
      </c>
      <c r="L105" s="18">
        <f>IF($B$9+1-$B$6-13*$B$6&gt;=0,C105*_xlfn.POISSON.DIST($B$9+1-$B$6-13*$B$6,$B$89,TRUE),0)</f>
        <v/>
      </c>
      <c r="M105" s="18">
        <f>IF($B$9+2-$B$6-13*$B$6&gt;=0,C105*_xlfn.POISSON.DIST($B$9+2-$B$6-13*$B$6,$B$89,TRUE),0)</f>
        <v/>
      </c>
      <c r="N105" s="18">
        <f>IF($B$9+3-$B$6-13*$B$6&gt;=0,C105*_xlfn.POISSON.DIST($B$9+3-$B$6-13*$B$6,$B$89,TRUE),0)</f>
        <v/>
      </c>
      <c r="O105" s="18">
        <f>IF($B$9+4-$B$6-13*$B$6&gt;=0,C105*_xlfn.POISSON.DIST($B$9+4-$B$6-13*$B$6,$B$89,TRUE),0)</f>
        <v/>
      </c>
      <c r="P105" s="18">
        <f>IF($B$9+5-$B$6-13*$B$6&gt;=0,C105*_xlfn.POISSON.DIST($B$9+5-$B$6-13*$B$6,$B$89,TRUE),0)</f>
        <v/>
      </c>
      <c r="Q105" s="18">
        <f>IF($B$9+6-$B$6-13*$B$6&gt;=0,C105*_xlfn.POISSON.DIST($B$9+6-$B$6-13*$B$6,$B$89,TRUE),0)</f>
        <v/>
      </c>
      <c r="R105" s="18">
        <f>IF($B$9+7-$B$6-13*$B$6&gt;=0,C105*_xlfn.POISSON.DIST($B$9+7-$B$6-13*$B$6,$B$89,TRUE),0)</f>
        <v/>
      </c>
      <c r="S105" s="18">
        <f>IF($B$9+8-$B$6-13*$B$6&gt;=0,C105*_xlfn.POISSON.DIST($B$9+8-$B$6-13*$B$6,$B$89,TRUE),0)</f>
        <v/>
      </c>
      <c r="T105" s="18">
        <f>AVERAGE(INDEX($V$92:$V$136,(13-1)*$B$6+1):INDEX($V$92:$V$136,13*$B$6))</f>
        <v/>
      </c>
      <c r="U105" s="10" t="n">
        <v>14</v>
      </c>
      <c r="V105" s="18">
        <f>1-_xlfn.POISSON.DIST(U105-1,$B$88,TRUE)</f>
        <v/>
      </c>
    </row>
    <row r="106">
      <c r="A106" s="10" t="n">
        <v>14</v>
      </c>
      <c r="B106" s="11">
        <f>T106-T107</f>
        <v/>
      </c>
      <c r="C106" s="11">
        <f>_xlfn.POISSON.DIST(14*$B$6+$B$6-1,$B$88,TRUE)-_xlfn.POISSON.DIST(14*$B$6-1,$B$88,TRUE)</f>
        <v/>
      </c>
      <c r="D106" s="18">
        <f>IF($B$9+1-1-14*$B$6&gt;=0,B106*_xlfn.POISSON.DIST($B$9+1-1-14*$B$6,$B$89,TRUE),0)</f>
        <v/>
      </c>
      <c r="E106" s="18">
        <f>IF($B$9+2-1-14*$B$6&gt;=0,B106*_xlfn.POISSON.DIST($B$9+2-1-14*$B$6,$B$89,TRUE),0)</f>
        <v/>
      </c>
      <c r="F106" s="18">
        <f>IF($B$9+3-1-14*$B$6&gt;=0,B106*_xlfn.POISSON.DIST($B$9+3-1-14*$B$6,$B$89,TRUE),0)</f>
        <v/>
      </c>
      <c r="G106" s="18">
        <f>IF($B$9+4-1-14*$B$6&gt;=0,B106*_xlfn.POISSON.DIST($B$9+4-1-14*$B$6,$B$89,TRUE),0)</f>
        <v/>
      </c>
      <c r="H106" s="18">
        <f>IF($B$9+5-1-14*$B$6&gt;=0,B106*_xlfn.POISSON.DIST($B$9+5-1-14*$B$6,$B$89,TRUE),0)</f>
        <v/>
      </c>
      <c r="I106" s="18">
        <f>IF($B$9+6-1-14*$B$6&gt;=0,B106*_xlfn.POISSON.DIST($B$9+6-1-14*$B$6,$B$89,TRUE),0)</f>
        <v/>
      </c>
      <c r="J106" s="18">
        <f>IF($B$9+7-1-14*$B$6&gt;=0,B106*_xlfn.POISSON.DIST($B$9+7-1-14*$B$6,$B$89,TRUE),0)</f>
        <v/>
      </c>
      <c r="K106" s="18">
        <f>IF($B$9+8-1-14*$B$6&gt;=0,B106*_xlfn.POISSON.DIST($B$9+8-1-14*$B$6,$B$89,TRUE),0)</f>
        <v/>
      </c>
      <c r="L106" s="18">
        <f>IF($B$9+1-$B$6-14*$B$6&gt;=0,C106*_xlfn.POISSON.DIST($B$9+1-$B$6-14*$B$6,$B$89,TRUE),0)</f>
        <v/>
      </c>
      <c r="M106" s="18">
        <f>IF($B$9+2-$B$6-14*$B$6&gt;=0,C106*_xlfn.POISSON.DIST($B$9+2-$B$6-14*$B$6,$B$89,TRUE),0)</f>
        <v/>
      </c>
      <c r="N106" s="18">
        <f>IF($B$9+3-$B$6-14*$B$6&gt;=0,C106*_xlfn.POISSON.DIST($B$9+3-$B$6-14*$B$6,$B$89,TRUE),0)</f>
        <v/>
      </c>
      <c r="O106" s="18">
        <f>IF($B$9+4-$B$6-14*$B$6&gt;=0,C106*_xlfn.POISSON.DIST($B$9+4-$B$6-14*$B$6,$B$89,TRUE),0)</f>
        <v/>
      </c>
      <c r="P106" s="18">
        <f>IF($B$9+5-$B$6-14*$B$6&gt;=0,C106*_xlfn.POISSON.DIST($B$9+5-$B$6-14*$B$6,$B$89,TRUE),0)</f>
        <v/>
      </c>
      <c r="Q106" s="18">
        <f>IF($B$9+6-$B$6-14*$B$6&gt;=0,C106*_xlfn.POISSON.DIST($B$9+6-$B$6-14*$B$6,$B$89,TRUE),0)</f>
        <v/>
      </c>
      <c r="R106" s="18">
        <f>IF($B$9+7-$B$6-14*$B$6&gt;=0,C106*_xlfn.POISSON.DIST($B$9+7-$B$6-14*$B$6,$B$89,TRUE),0)</f>
        <v/>
      </c>
      <c r="S106" s="18">
        <f>IF($B$9+8-$B$6-14*$B$6&gt;=0,C106*_xlfn.POISSON.DIST($B$9+8-$B$6-14*$B$6,$B$89,TRUE),0)</f>
        <v/>
      </c>
      <c r="T106" s="18">
        <f>AVERAGE(INDEX($V$92:$V$136,(14-1)*$B$6+1):INDEX($V$92:$V$136,14*$B$6))</f>
        <v/>
      </c>
      <c r="U106" s="10" t="n">
        <v>15</v>
      </c>
      <c r="V106" s="18">
        <f>1-_xlfn.POISSON.DIST(U106-1,$B$88,TRUE)</f>
        <v/>
      </c>
    </row>
    <row r="107">
      <c r="T107" s="18">
        <f>AVERAGE(INDEX($V$92:$V$136,(15-1)*$B$6+1):INDEX($V$92:$V$136,15*$B$6))</f>
        <v/>
      </c>
      <c r="U107" s="10" t="n">
        <v>16</v>
      </c>
      <c r="V107" s="18">
        <f>1-_xlfn.POISSON.DIST(U107-1,$B$88,TRUE)</f>
        <v/>
      </c>
    </row>
    <row r="108">
      <c r="U108" s="10" t="n">
        <v>17</v>
      </c>
      <c r="V108" s="18">
        <f>1-_xlfn.POISSON.DIST(U108-1,$B$88,TRUE)</f>
        <v/>
      </c>
    </row>
    <row r="109">
      <c r="U109" s="10" t="n">
        <v>18</v>
      </c>
      <c r="V109" s="18">
        <f>1-_xlfn.POISSON.DIST(U109-1,$B$88,TRUE)</f>
        <v/>
      </c>
    </row>
    <row r="110">
      <c r="U110" s="10" t="n">
        <v>19</v>
      </c>
      <c r="V110" s="18">
        <f>1-_xlfn.POISSON.DIST(U110-1,$B$88,TRUE)</f>
        <v/>
      </c>
    </row>
    <row r="111">
      <c r="U111" s="10" t="n">
        <v>20</v>
      </c>
      <c r="V111" s="18">
        <f>1-_xlfn.POISSON.DIST(U111-1,$B$88,TRUE)</f>
        <v/>
      </c>
    </row>
    <row r="112">
      <c r="U112" s="10" t="n">
        <v>21</v>
      </c>
      <c r="V112" s="18">
        <f>1-_xlfn.POISSON.DIST(U112-1,$B$88,TRUE)</f>
        <v/>
      </c>
    </row>
    <row r="113">
      <c r="U113" s="10" t="n">
        <v>22</v>
      </c>
      <c r="V113" s="18">
        <f>1-_xlfn.POISSON.DIST(U113-1,$B$88,TRUE)</f>
        <v/>
      </c>
    </row>
    <row r="114">
      <c r="U114" s="10" t="n">
        <v>23</v>
      </c>
      <c r="V114" s="18">
        <f>1-_xlfn.POISSON.DIST(U114-1,$B$88,TRUE)</f>
        <v/>
      </c>
    </row>
    <row r="115">
      <c r="U115" s="10" t="n">
        <v>24</v>
      </c>
      <c r="V115" s="18">
        <f>1-_xlfn.POISSON.DIST(U115-1,$B$88,TRUE)</f>
        <v/>
      </c>
    </row>
    <row r="116">
      <c r="U116" s="10" t="n">
        <v>25</v>
      </c>
      <c r="V116" s="18">
        <f>1-_xlfn.POISSON.DIST(U116-1,$B$88,TRUE)</f>
        <v/>
      </c>
    </row>
    <row r="117">
      <c r="U117" s="10" t="n">
        <v>26</v>
      </c>
      <c r="V117" s="18">
        <f>1-_xlfn.POISSON.DIST(U117-1,$B$88,TRUE)</f>
        <v/>
      </c>
    </row>
    <row r="118">
      <c r="U118" s="10" t="n">
        <v>27</v>
      </c>
      <c r="V118" s="18">
        <f>1-_xlfn.POISSON.DIST(U118-1,$B$88,TRUE)</f>
        <v/>
      </c>
    </row>
    <row r="119">
      <c r="U119" s="10" t="n">
        <v>28</v>
      </c>
      <c r="V119" s="18">
        <f>1-_xlfn.POISSON.DIST(U119-1,$B$88,TRUE)</f>
        <v/>
      </c>
    </row>
    <row r="120">
      <c r="U120" s="10" t="n">
        <v>29</v>
      </c>
      <c r="V120" s="18">
        <f>1-_xlfn.POISSON.DIST(U120-1,$B$88,TRUE)</f>
        <v/>
      </c>
    </row>
    <row r="121">
      <c r="U121" s="10" t="n">
        <v>30</v>
      </c>
      <c r="V121" s="18">
        <f>1-_xlfn.POISSON.DIST(U121-1,$B$88,TRUE)</f>
        <v/>
      </c>
    </row>
    <row r="122">
      <c r="U122" s="10" t="n">
        <v>31</v>
      </c>
      <c r="V122" s="18">
        <f>1-_xlfn.POISSON.DIST(U122-1,$B$88,TRUE)</f>
        <v/>
      </c>
    </row>
    <row r="123">
      <c r="U123" s="10" t="n">
        <v>32</v>
      </c>
      <c r="V123" s="18">
        <f>1-_xlfn.POISSON.DIST(U123-1,$B$88,TRUE)</f>
        <v/>
      </c>
    </row>
    <row r="124">
      <c r="U124" s="10" t="n">
        <v>33</v>
      </c>
      <c r="V124" s="18">
        <f>1-_xlfn.POISSON.DIST(U124-1,$B$88,TRUE)</f>
        <v/>
      </c>
    </row>
    <row r="125">
      <c r="U125" s="10" t="n">
        <v>34</v>
      </c>
      <c r="V125" s="18">
        <f>1-_xlfn.POISSON.DIST(U125-1,$B$88,TRUE)</f>
        <v/>
      </c>
    </row>
    <row r="126">
      <c r="U126" s="10" t="n">
        <v>35</v>
      </c>
      <c r="V126" s="18">
        <f>1-_xlfn.POISSON.DIST(U126-1,$B$88,TRUE)</f>
        <v/>
      </c>
    </row>
    <row r="127">
      <c r="U127" s="10" t="n">
        <v>36</v>
      </c>
      <c r="V127" s="18">
        <f>1-_xlfn.POISSON.DIST(U127-1,$B$88,TRUE)</f>
        <v/>
      </c>
    </row>
    <row r="128">
      <c r="U128" s="10" t="n">
        <v>37</v>
      </c>
      <c r="V128" s="18">
        <f>1-_xlfn.POISSON.DIST(U128-1,$B$88,TRUE)</f>
        <v/>
      </c>
    </row>
    <row r="129">
      <c r="U129" s="10" t="n">
        <v>38</v>
      </c>
      <c r="V129" s="18">
        <f>1-_xlfn.POISSON.DIST(U129-1,$B$88,TRUE)</f>
        <v/>
      </c>
    </row>
    <row r="130">
      <c r="U130" s="10" t="n">
        <v>39</v>
      </c>
      <c r="V130" s="18">
        <f>1-_xlfn.POISSON.DIST(U130-1,$B$88,TRUE)</f>
        <v/>
      </c>
    </row>
    <row r="131">
      <c r="U131" s="10" t="n">
        <v>40</v>
      </c>
      <c r="V131" s="18">
        <f>1-_xlfn.POISSON.DIST(U131-1,$B$88,TRUE)</f>
        <v/>
      </c>
    </row>
    <row r="132">
      <c r="U132" s="10" t="n">
        <v>41</v>
      </c>
      <c r="V132" s="18">
        <f>1-_xlfn.POISSON.DIST(U132-1,$B$88,TRUE)</f>
        <v/>
      </c>
    </row>
    <row r="133">
      <c r="U133" s="10" t="n">
        <v>42</v>
      </c>
      <c r="V133" s="18">
        <f>1-_xlfn.POISSON.DIST(U133-1,$B$88,TRUE)</f>
        <v/>
      </c>
    </row>
    <row r="134">
      <c r="U134" s="10" t="n">
        <v>43</v>
      </c>
      <c r="V134" s="18">
        <f>1-_xlfn.POISSON.DIST(U134-1,$B$88,TRUE)</f>
        <v/>
      </c>
    </row>
    <row r="135">
      <c r="U135" s="10" t="n">
        <v>44</v>
      </c>
      <c r="V135" s="18">
        <f>1-_xlfn.POISSON.DIST(U135-1,$B$88,TRUE)</f>
        <v/>
      </c>
    </row>
    <row r="136">
      <c r="U136" s="10" t="n">
        <v>45</v>
      </c>
      <c r="V136" s="18">
        <f>1-_xlfn.POISSON.DIST(U136-1,$B$88,TRUE)</f>
        <v/>
      </c>
    </row>
    <row r="152">
      <c r="A152" s="3" t="inlineStr">
        <is>
          <t>w = 2, a window of L_0 - 2 weeks</t>
        </is>
      </c>
    </row>
    <row r="153">
      <c r="A153" t="inlineStr">
        <is>
          <t>window</t>
        </is>
      </c>
      <c r="B153" s="7">
        <f>$B$8-2</f>
        <v/>
      </c>
    </row>
    <row r="154">
      <c r="A154" t="inlineStr">
        <is>
          <t>storeroom demand in it</t>
        </is>
      </c>
      <c r="B154" s="7">
        <f>$B$5*B153</f>
        <v/>
      </c>
    </row>
    <row r="155">
      <c r="A155" t="inlineStr">
        <is>
          <t>other demand in it</t>
        </is>
      </c>
      <c r="B155" s="7">
        <f>$B$7*B153</f>
        <v/>
      </c>
    </row>
    <row r="157">
      <c r="A157" s="9" t="inlineStr">
        <is>
          <t>n</t>
        </is>
      </c>
      <c r="B157" s="9" t="inlineStr">
        <is>
          <t>P(N = n)</t>
        </is>
      </c>
      <c r="C157" s="9" t="inlineStr">
        <is>
          <t>seen from order</t>
        </is>
      </c>
      <c r="D157" s="9" t="inlineStr">
        <is>
          <t>u=r_0+1</t>
        </is>
      </c>
      <c r="E157" s="9" t="inlineStr">
        <is>
          <t>u=r_0+2</t>
        </is>
      </c>
      <c r="F157" s="9" t="inlineStr">
        <is>
          <t>u=r_0+3</t>
        </is>
      </c>
      <c r="G157" s="9" t="inlineStr">
        <is>
          <t>u=r_0+4</t>
        </is>
      </c>
      <c r="H157" s="9" t="inlineStr">
        <is>
          <t>u=r_0+5</t>
        </is>
      </c>
      <c r="I157" s="9" t="inlineStr">
        <is>
          <t>u=r_0+6</t>
        </is>
      </c>
      <c r="J157" s="9" t="inlineStr">
        <is>
          <t>u=r_0+7</t>
        </is>
      </c>
      <c r="K157" s="9" t="inlineStr">
        <is>
          <t>u=r_0+8</t>
        </is>
      </c>
      <c r="L157" s="9" t="inlineStr">
        <is>
          <t>order, u=r_0+1</t>
        </is>
      </c>
      <c r="M157" s="9" t="inlineStr">
        <is>
          <t>order, u=r_0+2</t>
        </is>
      </c>
      <c r="N157" s="9" t="inlineStr">
        <is>
          <t>order, u=r_0+3</t>
        </is>
      </c>
      <c r="O157" s="9" t="inlineStr">
        <is>
          <t>order, u=r_0+4</t>
        </is>
      </c>
      <c r="P157" s="9" t="inlineStr">
        <is>
          <t>order, u=r_0+5</t>
        </is>
      </c>
      <c r="Q157" s="9" t="inlineStr">
        <is>
          <t>order, u=r_0+6</t>
        </is>
      </c>
      <c r="R157" s="9" t="inlineStr">
        <is>
          <t>order, u=r_0+7</t>
        </is>
      </c>
      <c r="S157" s="9" t="inlineStr">
        <is>
          <t>order, u=r_0+8</t>
        </is>
      </c>
      <c r="T157" s="9" t="inlineStr">
        <is>
          <t>P(N &gt;= n)</t>
        </is>
      </c>
      <c r="U157" s="9" t="inlineStr">
        <is>
          <t>y</t>
        </is>
      </c>
      <c r="V157" s="9" t="inlineStr">
        <is>
          <t>P(D &gt;= y)</t>
        </is>
      </c>
    </row>
    <row r="158">
      <c r="A158" s="10" t="n">
        <v>0</v>
      </c>
      <c r="B158" s="11">
        <f>T158-T159</f>
        <v/>
      </c>
      <c r="C158" s="11">
        <f>_xlfn.POISSON.DIST(0*$B$6+$B$6-1,$B$154,TRUE)-0</f>
        <v/>
      </c>
      <c r="D158" s="18">
        <f>IF($B$9+1-1-0*$B$6&gt;=0,B158*_xlfn.POISSON.DIST($B$9+1-1-0*$B$6,$B$155,TRUE),0)</f>
        <v/>
      </c>
      <c r="E158" s="18">
        <f>IF($B$9+2-1-0*$B$6&gt;=0,B158*_xlfn.POISSON.DIST($B$9+2-1-0*$B$6,$B$155,TRUE),0)</f>
        <v/>
      </c>
      <c r="F158" s="18">
        <f>IF($B$9+3-1-0*$B$6&gt;=0,B158*_xlfn.POISSON.DIST($B$9+3-1-0*$B$6,$B$155,TRUE),0)</f>
        <v/>
      </c>
      <c r="G158" s="18">
        <f>IF($B$9+4-1-0*$B$6&gt;=0,B158*_xlfn.POISSON.DIST($B$9+4-1-0*$B$6,$B$155,TRUE),0)</f>
        <v/>
      </c>
      <c r="H158" s="18">
        <f>IF($B$9+5-1-0*$B$6&gt;=0,B158*_xlfn.POISSON.DIST($B$9+5-1-0*$B$6,$B$155,TRUE),0)</f>
        <v/>
      </c>
      <c r="I158" s="18">
        <f>IF($B$9+6-1-0*$B$6&gt;=0,B158*_xlfn.POISSON.DIST($B$9+6-1-0*$B$6,$B$155,TRUE),0)</f>
        <v/>
      </c>
      <c r="J158" s="18">
        <f>IF($B$9+7-1-0*$B$6&gt;=0,B158*_xlfn.POISSON.DIST($B$9+7-1-0*$B$6,$B$155,TRUE),0)</f>
        <v/>
      </c>
      <c r="K158" s="18">
        <f>IF($B$9+8-1-0*$B$6&gt;=0,B158*_xlfn.POISSON.DIST($B$9+8-1-0*$B$6,$B$155,TRUE),0)</f>
        <v/>
      </c>
      <c r="L158" s="18">
        <f>IF($B$9+1-$B$6-0*$B$6&gt;=0,C158*_xlfn.POISSON.DIST($B$9+1-$B$6-0*$B$6,$B$155,TRUE),0)</f>
        <v/>
      </c>
      <c r="M158" s="18">
        <f>IF($B$9+2-$B$6-0*$B$6&gt;=0,C158*_xlfn.POISSON.DIST($B$9+2-$B$6-0*$B$6,$B$155,TRUE),0)</f>
        <v/>
      </c>
      <c r="N158" s="18">
        <f>IF($B$9+3-$B$6-0*$B$6&gt;=0,C158*_xlfn.POISSON.DIST($B$9+3-$B$6-0*$B$6,$B$155,TRUE),0)</f>
        <v/>
      </c>
      <c r="O158" s="18">
        <f>IF($B$9+4-$B$6-0*$B$6&gt;=0,C158*_xlfn.POISSON.DIST($B$9+4-$B$6-0*$B$6,$B$155,TRUE),0)</f>
        <v/>
      </c>
      <c r="P158" s="18">
        <f>IF($B$9+5-$B$6-0*$B$6&gt;=0,C158*_xlfn.POISSON.DIST($B$9+5-$B$6-0*$B$6,$B$155,TRUE),0)</f>
        <v/>
      </c>
      <c r="Q158" s="18">
        <f>IF($B$9+6-$B$6-0*$B$6&gt;=0,C158*_xlfn.POISSON.DIST($B$9+6-$B$6-0*$B$6,$B$155,TRUE),0)</f>
        <v/>
      </c>
      <c r="R158" s="18">
        <f>IF($B$9+7-$B$6-0*$B$6&gt;=0,C158*_xlfn.POISSON.DIST($B$9+7-$B$6-0*$B$6,$B$155,TRUE),0)</f>
        <v/>
      </c>
      <c r="S158" s="18">
        <f>IF($B$9+8-$B$6-0*$B$6&gt;=0,C158*_xlfn.POISSON.DIST($B$9+8-$B$6-0*$B$6,$B$155,TRUE),0)</f>
        <v/>
      </c>
      <c r="T158" s="18">
        <f>1</f>
        <v/>
      </c>
      <c r="U158" s="10" t="n">
        <v>1</v>
      </c>
      <c r="V158" s="18">
        <f>1-_xlfn.POISSON.DIST(U158-1,$B$154,TRUE)</f>
        <v/>
      </c>
    </row>
    <row r="159">
      <c r="A159" s="10" t="n">
        <v>1</v>
      </c>
      <c r="B159" s="11">
        <f>T159-T160</f>
        <v/>
      </c>
      <c r="C159" s="11">
        <f>_xlfn.POISSON.DIST(1*$B$6+$B$6-1,$B$154,TRUE)-_xlfn.POISSON.DIST(1*$B$6-1,$B$154,TRUE)</f>
        <v/>
      </c>
      <c r="D159" s="18">
        <f>IF($B$9+1-1-1*$B$6&gt;=0,B159*_xlfn.POISSON.DIST($B$9+1-1-1*$B$6,$B$155,TRUE),0)</f>
        <v/>
      </c>
      <c r="E159" s="18">
        <f>IF($B$9+2-1-1*$B$6&gt;=0,B159*_xlfn.POISSON.DIST($B$9+2-1-1*$B$6,$B$155,TRUE),0)</f>
        <v/>
      </c>
      <c r="F159" s="18">
        <f>IF($B$9+3-1-1*$B$6&gt;=0,B159*_xlfn.POISSON.DIST($B$9+3-1-1*$B$6,$B$155,TRUE),0)</f>
        <v/>
      </c>
      <c r="G159" s="18">
        <f>IF($B$9+4-1-1*$B$6&gt;=0,B159*_xlfn.POISSON.DIST($B$9+4-1-1*$B$6,$B$155,TRUE),0)</f>
        <v/>
      </c>
      <c r="H159" s="18">
        <f>IF($B$9+5-1-1*$B$6&gt;=0,B159*_xlfn.POISSON.DIST($B$9+5-1-1*$B$6,$B$155,TRUE),0)</f>
        <v/>
      </c>
      <c r="I159" s="18">
        <f>IF($B$9+6-1-1*$B$6&gt;=0,B159*_xlfn.POISSON.DIST($B$9+6-1-1*$B$6,$B$155,TRUE),0)</f>
        <v/>
      </c>
      <c r="J159" s="18">
        <f>IF($B$9+7-1-1*$B$6&gt;=0,B159*_xlfn.POISSON.DIST($B$9+7-1-1*$B$6,$B$155,TRUE),0)</f>
        <v/>
      </c>
      <c r="K159" s="18">
        <f>IF($B$9+8-1-1*$B$6&gt;=0,B159*_xlfn.POISSON.DIST($B$9+8-1-1*$B$6,$B$155,TRUE),0)</f>
        <v/>
      </c>
      <c r="L159" s="18">
        <f>IF($B$9+1-$B$6-1*$B$6&gt;=0,C159*_xlfn.POISSON.DIST($B$9+1-$B$6-1*$B$6,$B$155,TRUE),0)</f>
        <v/>
      </c>
      <c r="M159" s="18">
        <f>IF($B$9+2-$B$6-1*$B$6&gt;=0,C159*_xlfn.POISSON.DIST($B$9+2-$B$6-1*$B$6,$B$155,TRUE),0)</f>
        <v/>
      </c>
      <c r="N159" s="18">
        <f>IF($B$9+3-$B$6-1*$B$6&gt;=0,C159*_xlfn.POISSON.DIST($B$9+3-$B$6-1*$B$6,$B$155,TRUE),0)</f>
        <v/>
      </c>
      <c r="O159" s="18">
        <f>IF($B$9+4-$B$6-1*$B$6&gt;=0,C159*_xlfn.POISSON.DIST($B$9+4-$B$6-1*$B$6,$B$155,TRUE),0)</f>
        <v/>
      </c>
      <c r="P159" s="18">
        <f>IF($B$9+5-$B$6-1*$B$6&gt;=0,C159*_xlfn.POISSON.DIST($B$9+5-$B$6-1*$B$6,$B$155,TRUE),0)</f>
        <v/>
      </c>
      <c r="Q159" s="18">
        <f>IF($B$9+6-$B$6-1*$B$6&gt;=0,C159*_xlfn.POISSON.DIST($B$9+6-$B$6-1*$B$6,$B$155,TRUE),0)</f>
        <v/>
      </c>
      <c r="R159" s="18">
        <f>IF($B$9+7-$B$6-1*$B$6&gt;=0,C159*_xlfn.POISSON.DIST($B$9+7-$B$6-1*$B$6,$B$155,TRUE),0)</f>
        <v/>
      </c>
      <c r="S159" s="18">
        <f>IF($B$9+8-$B$6-1*$B$6&gt;=0,C159*_xlfn.POISSON.DIST($B$9+8-$B$6-1*$B$6,$B$155,TRUE),0)</f>
        <v/>
      </c>
      <c r="T159" s="18">
        <f>AVERAGE(INDEX($V$158:$V$202,(1-1)*$B$6+1):INDEX($V$158:$V$202,1*$B$6))</f>
        <v/>
      </c>
      <c r="U159" s="10" t="n">
        <v>2</v>
      </c>
      <c r="V159" s="18">
        <f>1-_xlfn.POISSON.DIST(U159-1,$B$154,TRUE)</f>
        <v/>
      </c>
    </row>
    <row r="160">
      <c r="A160" s="10" t="n">
        <v>2</v>
      </c>
      <c r="B160" s="11">
        <f>T160-T161</f>
        <v/>
      </c>
      <c r="C160" s="11">
        <f>_xlfn.POISSON.DIST(2*$B$6+$B$6-1,$B$154,TRUE)-_xlfn.POISSON.DIST(2*$B$6-1,$B$154,TRUE)</f>
        <v/>
      </c>
      <c r="D160" s="18">
        <f>IF($B$9+1-1-2*$B$6&gt;=0,B160*_xlfn.POISSON.DIST($B$9+1-1-2*$B$6,$B$155,TRUE),0)</f>
        <v/>
      </c>
      <c r="E160" s="18">
        <f>IF($B$9+2-1-2*$B$6&gt;=0,B160*_xlfn.POISSON.DIST($B$9+2-1-2*$B$6,$B$155,TRUE),0)</f>
        <v/>
      </c>
      <c r="F160" s="18">
        <f>IF($B$9+3-1-2*$B$6&gt;=0,B160*_xlfn.POISSON.DIST($B$9+3-1-2*$B$6,$B$155,TRUE),0)</f>
        <v/>
      </c>
      <c r="G160" s="18">
        <f>IF($B$9+4-1-2*$B$6&gt;=0,B160*_xlfn.POISSON.DIST($B$9+4-1-2*$B$6,$B$155,TRUE),0)</f>
        <v/>
      </c>
      <c r="H160" s="18">
        <f>IF($B$9+5-1-2*$B$6&gt;=0,B160*_xlfn.POISSON.DIST($B$9+5-1-2*$B$6,$B$155,TRUE),0)</f>
        <v/>
      </c>
      <c r="I160" s="18">
        <f>IF($B$9+6-1-2*$B$6&gt;=0,B160*_xlfn.POISSON.DIST($B$9+6-1-2*$B$6,$B$155,TRUE),0)</f>
        <v/>
      </c>
      <c r="J160" s="18">
        <f>IF($B$9+7-1-2*$B$6&gt;=0,B160*_xlfn.POISSON.DIST($B$9+7-1-2*$B$6,$B$155,TRUE),0)</f>
        <v/>
      </c>
      <c r="K160" s="18">
        <f>IF($B$9+8-1-2*$B$6&gt;=0,B160*_xlfn.POISSON.DIST($B$9+8-1-2*$B$6,$B$155,TRUE),0)</f>
        <v/>
      </c>
      <c r="L160" s="18">
        <f>IF($B$9+1-$B$6-2*$B$6&gt;=0,C160*_xlfn.POISSON.DIST($B$9+1-$B$6-2*$B$6,$B$155,TRUE),0)</f>
        <v/>
      </c>
      <c r="M160" s="18">
        <f>IF($B$9+2-$B$6-2*$B$6&gt;=0,C160*_xlfn.POISSON.DIST($B$9+2-$B$6-2*$B$6,$B$155,TRUE),0)</f>
        <v/>
      </c>
      <c r="N160" s="18">
        <f>IF($B$9+3-$B$6-2*$B$6&gt;=0,C160*_xlfn.POISSON.DIST($B$9+3-$B$6-2*$B$6,$B$155,TRUE),0)</f>
        <v/>
      </c>
      <c r="O160" s="18">
        <f>IF($B$9+4-$B$6-2*$B$6&gt;=0,C160*_xlfn.POISSON.DIST($B$9+4-$B$6-2*$B$6,$B$155,TRUE),0)</f>
        <v/>
      </c>
      <c r="P160" s="18">
        <f>IF($B$9+5-$B$6-2*$B$6&gt;=0,C160*_xlfn.POISSON.DIST($B$9+5-$B$6-2*$B$6,$B$155,TRUE),0)</f>
        <v/>
      </c>
      <c r="Q160" s="18">
        <f>IF($B$9+6-$B$6-2*$B$6&gt;=0,C160*_xlfn.POISSON.DIST($B$9+6-$B$6-2*$B$6,$B$155,TRUE),0)</f>
        <v/>
      </c>
      <c r="R160" s="18">
        <f>IF($B$9+7-$B$6-2*$B$6&gt;=0,C160*_xlfn.POISSON.DIST($B$9+7-$B$6-2*$B$6,$B$155,TRUE),0)</f>
        <v/>
      </c>
      <c r="S160" s="18">
        <f>IF($B$9+8-$B$6-2*$B$6&gt;=0,C160*_xlfn.POISSON.DIST($B$9+8-$B$6-2*$B$6,$B$155,TRUE),0)</f>
        <v/>
      </c>
      <c r="T160" s="18">
        <f>AVERAGE(INDEX($V$158:$V$202,(2-1)*$B$6+1):INDEX($V$158:$V$202,2*$B$6))</f>
        <v/>
      </c>
      <c r="U160" s="10" t="n">
        <v>3</v>
      </c>
      <c r="V160" s="18">
        <f>1-_xlfn.POISSON.DIST(U160-1,$B$154,TRUE)</f>
        <v/>
      </c>
    </row>
    <row r="161">
      <c r="A161" s="10" t="n">
        <v>3</v>
      </c>
      <c r="B161" s="11">
        <f>T161-T162</f>
        <v/>
      </c>
      <c r="C161" s="11">
        <f>_xlfn.POISSON.DIST(3*$B$6+$B$6-1,$B$154,TRUE)-_xlfn.POISSON.DIST(3*$B$6-1,$B$154,TRUE)</f>
        <v/>
      </c>
      <c r="D161" s="18">
        <f>IF($B$9+1-1-3*$B$6&gt;=0,B161*_xlfn.POISSON.DIST($B$9+1-1-3*$B$6,$B$155,TRUE),0)</f>
        <v/>
      </c>
      <c r="E161" s="18">
        <f>IF($B$9+2-1-3*$B$6&gt;=0,B161*_xlfn.POISSON.DIST($B$9+2-1-3*$B$6,$B$155,TRUE),0)</f>
        <v/>
      </c>
      <c r="F161" s="18">
        <f>IF($B$9+3-1-3*$B$6&gt;=0,B161*_xlfn.POISSON.DIST($B$9+3-1-3*$B$6,$B$155,TRUE),0)</f>
        <v/>
      </c>
      <c r="G161" s="18">
        <f>IF($B$9+4-1-3*$B$6&gt;=0,B161*_xlfn.POISSON.DIST($B$9+4-1-3*$B$6,$B$155,TRUE),0)</f>
        <v/>
      </c>
      <c r="H161" s="18">
        <f>IF($B$9+5-1-3*$B$6&gt;=0,B161*_xlfn.POISSON.DIST($B$9+5-1-3*$B$6,$B$155,TRUE),0)</f>
        <v/>
      </c>
      <c r="I161" s="18">
        <f>IF($B$9+6-1-3*$B$6&gt;=0,B161*_xlfn.POISSON.DIST($B$9+6-1-3*$B$6,$B$155,TRUE),0)</f>
        <v/>
      </c>
      <c r="J161" s="18">
        <f>IF($B$9+7-1-3*$B$6&gt;=0,B161*_xlfn.POISSON.DIST($B$9+7-1-3*$B$6,$B$155,TRUE),0)</f>
        <v/>
      </c>
      <c r="K161" s="18">
        <f>IF($B$9+8-1-3*$B$6&gt;=0,B161*_xlfn.POISSON.DIST($B$9+8-1-3*$B$6,$B$155,TRUE),0)</f>
        <v/>
      </c>
      <c r="L161" s="18">
        <f>IF($B$9+1-$B$6-3*$B$6&gt;=0,C161*_xlfn.POISSON.DIST($B$9+1-$B$6-3*$B$6,$B$155,TRUE),0)</f>
        <v/>
      </c>
      <c r="M161" s="18">
        <f>IF($B$9+2-$B$6-3*$B$6&gt;=0,C161*_xlfn.POISSON.DIST($B$9+2-$B$6-3*$B$6,$B$155,TRUE),0)</f>
        <v/>
      </c>
      <c r="N161" s="18">
        <f>IF($B$9+3-$B$6-3*$B$6&gt;=0,C161*_xlfn.POISSON.DIST($B$9+3-$B$6-3*$B$6,$B$155,TRUE),0)</f>
        <v/>
      </c>
      <c r="O161" s="18">
        <f>IF($B$9+4-$B$6-3*$B$6&gt;=0,C161*_xlfn.POISSON.DIST($B$9+4-$B$6-3*$B$6,$B$155,TRUE),0)</f>
        <v/>
      </c>
      <c r="P161" s="18">
        <f>IF($B$9+5-$B$6-3*$B$6&gt;=0,C161*_xlfn.POISSON.DIST($B$9+5-$B$6-3*$B$6,$B$155,TRUE),0)</f>
        <v/>
      </c>
      <c r="Q161" s="18">
        <f>IF($B$9+6-$B$6-3*$B$6&gt;=0,C161*_xlfn.POISSON.DIST($B$9+6-$B$6-3*$B$6,$B$155,TRUE),0)</f>
        <v/>
      </c>
      <c r="R161" s="18">
        <f>IF($B$9+7-$B$6-3*$B$6&gt;=0,C161*_xlfn.POISSON.DIST($B$9+7-$B$6-3*$B$6,$B$155,TRUE),0)</f>
        <v/>
      </c>
      <c r="S161" s="18">
        <f>IF($B$9+8-$B$6-3*$B$6&gt;=0,C161*_xlfn.POISSON.DIST($B$9+8-$B$6-3*$B$6,$B$155,TRUE),0)</f>
        <v/>
      </c>
      <c r="T161" s="18">
        <f>AVERAGE(INDEX($V$158:$V$202,(3-1)*$B$6+1):INDEX($V$158:$V$202,3*$B$6))</f>
        <v/>
      </c>
      <c r="U161" s="10" t="n">
        <v>4</v>
      </c>
      <c r="V161" s="18">
        <f>1-_xlfn.POISSON.DIST(U161-1,$B$154,TRUE)</f>
        <v/>
      </c>
    </row>
    <row r="162">
      <c r="A162" s="10" t="n">
        <v>4</v>
      </c>
      <c r="B162" s="11">
        <f>T162-T163</f>
        <v/>
      </c>
      <c r="C162" s="11">
        <f>_xlfn.POISSON.DIST(4*$B$6+$B$6-1,$B$154,TRUE)-_xlfn.POISSON.DIST(4*$B$6-1,$B$154,TRUE)</f>
        <v/>
      </c>
      <c r="D162" s="18">
        <f>IF($B$9+1-1-4*$B$6&gt;=0,B162*_xlfn.POISSON.DIST($B$9+1-1-4*$B$6,$B$155,TRUE),0)</f>
        <v/>
      </c>
      <c r="E162" s="18">
        <f>IF($B$9+2-1-4*$B$6&gt;=0,B162*_xlfn.POISSON.DIST($B$9+2-1-4*$B$6,$B$155,TRUE),0)</f>
        <v/>
      </c>
      <c r="F162" s="18">
        <f>IF($B$9+3-1-4*$B$6&gt;=0,B162*_xlfn.POISSON.DIST($B$9+3-1-4*$B$6,$B$155,TRUE),0)</f>
        <v/>
      </c>
      <c r="G162" s="18">
        <f>IF($B$9+4-1-4*$B$6&gt;=0,B162*_xlfn.POISSON.DIST($B$9+4-1-4*$B$6,$B$155,TRUE),0)</f>
        <v/>
      </c>
      <c r="H162" s="18">
        <f>IF($B$9+5-1-4*$B$6&gt;=0,B162*_xlfn.POISSON.DIST($B$9+5-1-4*$B$6,$B$155,TRUE),0)</f>
        <v/>
      </c>
      <c r="I162" s="18">
        <f>IF($B$9+6-1-4*$B$6&gt;=0,B162*_xlfn.POISSON.DIST($B$9+6-1-4*$B$6,$B$155,TRUE),0)</f>
        <v/>
      </c>
      <c r="J162" s="18">
        <f>IF($B$9+7-1-4*$B$6&gt;=0,B162*_xlfn.POISSON.DIST($B$9+7-1-4*$B$6,$B$155,TRUE),0)</f>
        <v/>
      </c>
      <c r="K162" s="18">
        <f>IF($B$9+8-1-4*$B$6&gt;=0,B162*_xlfn.POISSON.DIST($B$9+8-1-4*$B$6,$B$155,TRUE),0)</f>
        <v/>
      </c>
      <c r="L162" s="18">
        <f>IF($B$9+1-$B$6-4*$B$6&gt;=0,C162*_xlfn.POISSON.DIST($B$9+1-$B$6-4*$B$6,$B$155,TRUE),0)</f>
        <v/>
      </c>
      <c r="M162" s="18">
        <f>IF($B$9+2-$B$6-4*$B$6&gt;=0,C162*_xlfn.POISSON.DIST($B$9+2-$B$6-4*$B$6,$B$155,TRUE),0)</f>
        <v/>
      </c>
      <c r="N162" s="18">
        <f>IF($B$9+3-$B$6-4*$B$6&gt;=0,C162*_xlfn.POISSON.DIST($B$9+3-$B$6-4*$B$6,$B$155,TRUE),0)</f>
        <v/>
      </c>
      <c r="O162" s="18">
        <f>IF($B$9+4-$B$6-4*$B$6&gt;=0,C162*_xlfn.POISSON.DIST($B$9+4-$B$6-4*$B$6,$B$155,TRUE),0)</f>
        <v/>
      </c>
      <c r="P162" s="18">
        <f>IF($B$9+5-$B$6-4*$B$6&gt;=0,C162*_xlfn.POISSON.DIST($B$9+5-$B$6-4*$B$6,$B$155,TRUE),0)</f>
        <v/>
      </c>
      <c r="Q162" s="18">
        <f>IF($B$9+6-$B$6-4*$B$6&gt;=0,C162*_xlfn.POISSON.DIST($B$9+6-$B$6-4*$B$6,$B$155,TRUE),0)</f>
        <v/>
      </c>
      <c r="R162" s="18">
        <f>IF($B$9+7-$B$6-4*$B$6&gt;=0,C162*_xlfn.POISSON.DIST($B$9+7-$B$6-4*$B$6,$B$155,TRUE),0)</f>
        <v/>
      </c>
      <c r="S162" s="18">
        <f>IF($B$9+8-$B$6-4*$B$6&gt;=0,C162*_xlfn.POISSON.DIST($B$9+8-$B$6-4*$B$6,$B$155,TRUE),0)</f>
        <v/>
      </c>
      <c r="T162" s="18">
        <f>AVERAGE(INDEX($V$158:$V$202,(4-1)*$B$6+1):INDEX($V$158:$V$202,4*$B$6))</f>
        <v/>
      </c>
      <c r="U162" s="10" t="n">
        <v>5</v>
      </c>
      <c r="V162" s="18">
        <f>1-_xlfn.POISSON.DIST(U162-1,$B$154,TRUE)</f>
        <v/>
      </c>
    </row>
    <row r="163">
      <c r="A163" s="10" t="n">
        <v>5</v>
      </c>
      <c r="B163" s="11">
        <f>T163-T164</f>
        <v/>
      </c>
      <c r="C163" s="11">
        <f>_xlfn.POISSON.DIST(5*$B$6+$B$6-1,$B$154,TRUE)-_xlfn.POISSON.DIST(5*$B$6-1,$B$154,TRUE)</f>
        <v/>
      </c>
      <c r="D163" s="18">
        <f>IF($B$9+1-1-5*$B$6&gt;=0,B163*_xlfn.POISSON.DIST($B$9+1-1-5*$B$6,$B$155,TRUE),0)</f>
        <v/>
      </c>
      <c r="E163" s="18">
        <f>IF($B$9+2-1-5*$B$6&gt;=0,B163*_xlfn.POISSON.DIST($B$9+2-1-5*$B$6,$B$155,TRUE),0)</f>
        <v/>
      </c>
      <c r="F163" s="18">
        <f>IF($B$9+3-1-5*$B$6&gt;=0,B163*_xlfn.POISSON.DIST($B$9+3-1-5*$B$6,$B$155,TRUE),0)</f>
        <v/>
      </c>
      <c r="G163" s="18">
        <f>IF($B$9+4-1-5*$B$6&gt;=0,B163*_xlfn.POISSON.DIST($B$9+4-1-5*$B$6,$B$155,TRUE),0)</f>
        <v/>
      </c>
      <c r="H163" s="18">
        <f>IF($B$9+5-1-5*$B$6&gt;=0,B163*_xlfn.POISSON.DIST($B$9+5-1-5*$B$6,$B$155,TRUE),0)</f>
        <v/>
      </c>
      <c r="I163" s="18">
        <f>IF($B$9+6-1-5*$B$6&gt;=0,B163*_xlfn.POISSON.DIST($B$9+6-1-5*$B$6,$B$155,TRUE),0)</f>
        <v/>
      </c>
      <c r="J163" s="18">
        <f>IF($B$9+7-1-5*$B$6&gt;=0,B163*_xlfn.POISSON.DIST($B$9+7-1-5*$B$6,$B$155,TRUE),0)</f>
        <v/>
      </c>
      <c r="K163" s="18">
        <f>IF($B$9+8-1-5*$B$6&gt;=0,B163*_xlfn.POISSON.DIST($B$9+8-1-5*$B$6,$B$155,TRUE),0)</f>
        <v/>
      </c>
      <c r="L163" s="18">
        <f>IF($B$9+1-$B$6-5*$B$6&gt;=0,C163*_xlfn.POISSON.DIST($B$9+1-$B$6-5*$B$6,$B$155,TRUE),0)</f>
        <v/>
      </c>
      <c r="M163" s="18">
        <f>IF($B$9+2-$B$6-5*$B$6&gt;=0,C163*_xlfn.POISSON.DIST($B$9+2-$B$6-5*$B$6,$B$155,TRUE),0)</f>
        <v/>
      </c>
      <c r="N163" s="18">
        <f>IF($B$9+3-$B$6-5*$B$6&gt;=0,C163*_xlfn.POISSON.DIST($B$9+3-$B$6-5*$B$6,$B$155,TRUE),0)</f>
        <v/>
      </c>
      <c r="O163" s="18">
        <f>IF($B$9+4-$B$6-5*$B$6&gt;=0,C163*_xlfn.POISSON.DIST($B$9+4-$B$6-5*$B$6,$B$155,TRUE),0)</f>
        <v/>
      </c>
      <c r="P163" s="18">
        <f>IF($B$9+5-$B$6-5*$B$6&gt;=0,C163*_xlfn.POISSON.DIST($B$9+5-$B$6-5*$B$6,$B$155,TRUE),0)</f>
        <v/>
      </c>
      <c r="Q163" s="18">
        <f>IF($B$9+6-$B$6-5*$B$6&gt;=0,C163*_xlfn.POISSON.DIST($B$9+6-$B$6-5*$B$6,$B$155,TRUE),0)</f>
        <v/>
      </c>
      <c r="R163" s="18">
        <f>IF($B$9+7-$B$6-5*$B$6&gt;=0,C163*_xlfn.POISSON.DIST($B$9+7-$B$6-5*$B$6,$B$155,TRUE),0)</f>
        <v/>
      </c>
      <c r="S163" s="18">
        <f>IF($B$9+8-$B$6-5*$B$6&gt;=0,C163*_xlfn.POISSON.DIST($B$9+8-$B$6-5*$B$6,$B$155,TRUE),0)</f>
        <v/>
      </c>
      <c r="T163" s="18">
        <f>AVERAGE(INDEX($V$158:$V$202,(5-1)*$B$6+1):INDEX($V$158:$V$202,5*$B$6))</f>
        <v/>
      </c>
      <c r="U163" s="10" t="n">
        <v>6</v>
      </c>
      <c r="V163" s="18">
        <f>1-_xlfn.POISSON.DIST(U163-1,$B$154,TRUE)</f>
        <v/>
      </c>
    </row>
    <row r="164">
      <c r="A164" s="10" t="n">
        <v>6</v>
      </c>
      <c r="B164" s="11">
        <f>T164-T165</f>
        <v/>
      </c>
      <c r="C164" s="11">
        <f>_xlfn.POISSON.DIST(6*$B$6+$B$6-1,$B$154,TRUE)-_xlfn.POISSON.DIST(6*$B$6-1,$B$154,TRUE)</f>
        <v/>
      </c>
      <c r="D164" s="18">
        <f>IF($B$9+1-1-6*$B$6&gt;=0,B164*_xlfn.POISSON.DIST($B$9+1-1-6*$B$6,$B$155,TRUE),0)</f>
        <v/>
      </c>
      <c r="E164" s="18">
        <f>IF($B$9+2-1-6*$B$6&gt;=0,B164*_xlfn.POISSON.DIST($B$9+2-1-6*$B$6,$B$155,TRUE),0)</f>
        <v/>
      </c>
      <c r="F164" s="18">
        <f>IF($B$9+3-1-6*$B$6&gt;=0,B164*_xlfn.POISSON.DIST($B$9+3-1-6*$B$6,$B$155,TRUE),0)</f>
        <v/>
      </c>
      <c r="G164" s="18">
        <f>IF($B$9+4-1-6*$B$6&gt;=0,B164*_xlfn.POISSON.DIST($B$9+4-1-6*$B$6,$B$155,TRUE),0)</f>
        <v/>
      </c>
      <c r="H164" s="18">
        <f>IF($B$9+5-1-6*$B$6&gt;=0,B164*_xlfn.POISSON.DIST($B$9+5-1-6*$B$6,$B$155,TRUE),0)</f>
        <v/>
      </c>
      <c r="I164" s="18">
        <f>IF($B$9+6-1-6*$B$6&gt;=0,B164*_xlfn.POISSON.DIST($B$9+6-1-6*$B$6,$B$155,TRUE),0)</f>
        <v/>
      </c>
      <c r="J164" s="18">
        <f>IF($B$9+7-1-6*$B$6&gt;=0,B164*_xlfn.POISSON.DIST($B$9+7-1-6*$B$6,$B$155,TRUE),0)</f>
        <v/>
      </c>
      <c r="K164" s="18">
        <f>IF($B$9+8-1-6*$B$6&gt;=0,B164*_xlfn.POISSON.DIST($B$9+8-1-6*$B$6,$B$155,TRUE),0)</f>
        <v/>
      </c>
      <c r="L164" s="18">
        <f>IF($B$9+1-$B$6-6*$B$6&gt;=0,C164*_xlfn.POISSON.DIST($B$9+1-$B$6-6*$B$6,$B$155,TRUE),0)</f>
        <v/>
      </c>
      <c r="M164" s="18">
        <f>IF($B$9+2-$B$6-6*$B$6&gt;=0,C164*_xlfn.POISSON.DIST($B$9+2-$B$6-6*$B$6,$B$155,TRUE),0)</f>
        <v/>
      </c>
      <c r="N164" s="18">
        <f>IF($B$9+3-$B$6-6*$B$6&gt;=0,C164*_xlfn.POISSON.DIST($B$9+3-$B$6-6*$B$6,$B$155,TRUE),0)</f>
        <v/>
      </c>
      <c r="O164" s="18">
        <f>IF($B$9+4-$B$6-6*$B$6&gt;=0,C164*_xlfn.POISSON.DIST($B$9+4-$B$6-6*$B$6,$B$155,TRUE),0)</f>
        <v/>
      </c>
      <c r="P164" s="18">
        <f>IF($B$9+5-$B$6-6*$B$6&gt;=0,C164*_xlfn.POISSON.DIST($B$9+5-$B$6-6*$B$6,$B$155,TRUE),0)</f>
        <v/>
      </c>
      <c r="Q164" s="18">
        <f>IF($B$9+6-$B$6-6*$B$6&gt;=0,C164*_xlfn.POISSON.DIST($B$9+6-$B$6-6*$B$6,$B$155,TRUE),0)</f>
        <v/>
      </c>
      <c r="R164" s="18">
        <f>IF($B$9+7-$B$6-6*$B$6&gt;=0,C164*_xlfn.POISSON.DIST($B$9+7-$B$6-6*$B$6,$B$155,TRUE),0)</f>
        <v/>
      </c>
      <c r="S164" s="18">
        <f>IF($B$9+8-$B$6-6*$B$6&gt;=0,C164*_xlfn.POISSON.DIST($B$9+8-$B$6-6*$B$6,$B$155,TRUE),0)</f>
        <v/>
      </c>
      <c r="T164" s="18">
        <f>AVERAGE(INDEX($V$158:$V$202,(6-1)*$B$6+1):INDEX($V$158:$V$202,6*$B$6))</f>
        <v/>
      </c>
      <c r="U164" s="10" t="n">
        <v>7</v>
      </c>
      <c r="V164" s="18">
        <f>1-_xlfn.POISSON.DIST(U164-1,$B$154,TRUE)</f>
        <v/>
      </c>
    </row>
    <row r="165">
      <c r="A165" s="10" t="n">
        <v>7</v>
      </c>
      <c r="B165" s="11">
        <f>T165-T166</f>
        <v/>
      </c>
      <c r="C165" s="11">
        <f>_xlfn.POISSON.DIST(7*$B$6+$B$6-1,$B$154,TRUE)-_xlfn.POISSON.DIST(7*$B$6-1,$B$154,TRUE)</f>
        <v/>
      </c>
      <c r="D165" s="18">
        <f>IF($B$9+1-1-7*$B$6&gt;=0,B165*_xlfn.POISSON.DIST($B$9+1-1-7*$B$6,$B$155,TRUE),0)</f>
        <v/>
      </c>
      <c r="E165" s="18">
        <f>IF($B$9+2-1-7*$B$6&gt;=0,B165*_xlfn.POISSON.DIST($B$9+2-1-7*$B$6,$B$155,TRUE),0)</f>
        <v/>
      </c>
      <c r="F165" s="18">
        <f>IF($B$9+3-1-7*$B$6&gt;=0,B165*_xlfn.POISSON.DIST($B$9+3-1-7*$B$6,$B$155,TRUE),0)</f>
        <v/>
      </c>
      <c r="G165" s="18">
        <f>IF($B$9+4-1-7*$B$6&gt;=0,B165*_xlfn.POISSON.DIST($B$9+4-1-7*$B$6,$B$155,TRUE),0)</f>
        <v/>
      </c>
      <c r="H165" s="18">
        <f>IF($B$9+5-1-7*$B$6&gt;=0,B165*_xlfn.POISSON.DIST($B$9+5-1-7*$B$6,$B$155,TRUE),0)</f>
        <v/>
      </c>
      <c r="I165" s="18">
        <f>IF($B$9+6-1-7*$B$6&gt;=0,B165*_xlfn.POISSON.DIST($B$9+6-1-7*$B$6,$B$155,TRUE),0)</f>
        <v/>
      </c>
      <c r="J165" s="18">
        <f>IF($B$9+7-1-7*$B$6&gt;=0,B165*_xlfn.POISSON.DIST($B$9+7-1-7*$B$6,$B$155,TRUE),0)</f>
        <v/>
      </c>
      <c r="K165" s="18">
        <f>IF($B$9+8-1-7*$B$6&gt;=0,B165*_xlfn.POISSON.DIST($B$9+8-1-7*$B$6,$B$155,TRUE),0)</f>
        <v/>
      </c>
      <c r="L165" s="18">
        <f>IF($B$9+1-$B$6-7*$B$6&gt;=0,C165*_xlfn.POISSON.DIST($B$9+1-$B$6-7*$B$6,$B$155,TRUE),0)</f>
        <v/>
      </c>
      <c r="M165" s="18">
        <f>IF($B$9+2-$B$6-7*$B$6&gt;=0,C165*_xlfn.POISSON.DIST($B$9+2-$B$6-7*$B$6,$B$155,TRUE),0)</f>
        <v/>
      </c>
      <c r="N165" s="18">
        <f>IF($B$9+3-$B$6-7*$B$6&gt;=0,C165*_xlfn.POISSON.DIST($B$9+3-$B$6-7*$B$6,$B$155,TRUE),0)</f>
        <v/>
      </c>
      <c r="O165" s="18">
        <f>IF($B$9+4-$B$6-7*$B$6&gt;=0,C165*_xlfn.POISSON.DIST($B$9+4-$B$6-7*$B$6,$B$155,TRUE),0)</f>
        <v/>
      </c>
      <c r="P165" s="18">
        <f>IF($B$9+5-$B$6-7*$B$6&gt;=0,C165*_xlfn.POISSON.DIST($B$9+5-$B$6-7*$B$6,$B$155,TRUE),0)</f>
        <v/>
      </c>
      <c r="Q165" s="18">
        <f>IF($B$9+6-$B$6-7*$B$6&gt;=0,C165*_xlfn.POISSON.DIST($B$9+6-$B$6-7*$B$6,$B$155,TRUE),0)</f>
        <v/>
      </c>
      <c r="R165" s="18">
        <f>IF($B$9+7-$B$6-7*$B$6&gt;=0,C165*_xlfn.POISSON.DIST($B$9+7-$B$6-7*$B$6,$B$155,TRUE),0)</f>
        <v/>
      </c>
      <c r="S165" s="18">
        <f>IF($B$9+8-$B$6-7*$B$6&gt;=0,C165*_xlfn.POISSON.DIST($B$9+8-$B$6-7*$B$6,$B$155,TRUE),0)</f>
        <v/>
      </c>
      <c r="T165" s="18">
        <f>AVERAGE(INDEX($V$158:$V$202,(7-1)*$B$6+1):INDEX($V$158:$V$202,7*$B$6))</f>
        <v/>
      </c>
      <c r="U165" s="10" t="n">
        <v>8</v>
      </c>
      <c r="V165" s="18">
        <f>1-_xlfn.POISSON.DIST(U165-1,$B$154,TRUE)</f>
        <v/>
      </c>
    </row>
    <row r="166">
      <c r="A166" s="10" t="n">
        <v>8</v>
      </c>
      <c r="B166" s="11">
        <f>T166-T167</f>
        <v/>
      </c>
      <c r="C166" s="11">
        <f>_xlfn.POISSON.DIST(8*$B$6+$B$6-1,$B$154,TRUE)-_xlfn.POISSON.DIST(8*$B$6-1,$B$154,TRUE)</f>
        <v/>
      </c>
      <c r="D166" s="18">
        <f>IF($B$9+1-1-8*$B$6&gt;=0,B166*_xlfn.POISSON.DIST($B$9+1-1-8*$B$6,$B$155,TRUE),0)</f>
        <v/>
      </c>
      <c r="E166" s="18">
        <f>IF($B$9+2-1-8*$B$6&gt;=0,B166*_xlfn.POISSON.DIST($B$9+2-1-8*$B$6,$B$155,TRUE),0)</f>
        <v/>
      </c>
      <c r="F166" s="18">
        <f>IF($B$9+3-1-8*$B$6&gt;=0,B166*_xlfn.POISSON.DIST($B$9+3-1-8*$B$6,$B$155,TRUE),0)</f>
        <v/>
      </c>
      <c r="G166" s="18">
        <f>IF($B$9+4-1-8*$B$6&gt;=0,B166*_xlfn.POISSON.DIST($B$9+4-1-8*$B$6,$B$155,TRUE),0)</f>
        <v/>
      </c>
      <c r="H166" s="18">
        <f>IF($B$9+5-1-8*$B$6&gt;=0,B166*_xlfn.POISSON.DIST($B$9+5-1-8*$B$6,$B$155,TRUE),0)</f>
        <v/>
      </c>
      <c r="I166" s="18">
        <f>IF($B$9+6-1-8*$B$6&gt;=0,B166*_xlfn.POISSON.DIST($B$9+6-1-8*$B$6,$B$155,TRUE),0)</f>
        <v/>
      </c>
      <c r="J166" s="18">
        <f>IF($B$9+7-1-8*$B$6&gt;=0,B166*_xlfn.POISSON.DIST($B$9+7-1-8*$B$6,$B$155,TRUE),0)</f>
        <v/>
      </c>
      <c r="K166" s="18">
        <f>IF($B$9+8-1-8*$B$6&gt;=0,B166*_xlfn.POISSON.DIST($B$9+8-1-8*$B$6,$B$155,TRUE),0)</f>
        <v/>
      </c>
      <c r="L166" s="18">
        <f>IF($B$9+1-$B$6-8*$B$6&gt;=0,C166*_xlfn.POISSON.DIST($B$9+1-$B$6-8*$B$6,$B$155,TRUE),0)</f>
        <v/>
      </c>
      <c r="M166" s="18">
        <f>IF($B$9+2-$B$6-8*$B$6&gt;=0,C166*_xlfn.POISSON.DIST($B$9+2-$B$6-8*$B$6,$B$155,TRUE),0)</f>
        <v/>
      </c>
      <c r="N166" s="18">
        <f>IF($B$9+3-$B$6-8*$B$6&gt;=0,C166*_xlfn.POISSON.DIST($B$9+3-$B$6-8*$B$6,$B$155,TRUE),0)</f>
        <v/>
      </c>
      <c r="O166" s="18">
        <f>IF($B$9+4-$B$6-8*$B$6&gt;=0,C166*_xlfn.POISSON.DIST($B$9+4-$B$6-8*$B$6,$B$155,TRUE),0)</f>
        <v/>
      </c>
      <c r="P166" s="18">
        <f>IF($B$9+5-$B$6-8*$B$6&gt;=0,C166*_xlfn.POISSON.DIST($B$9+5-$B$6-8*$B$6,$B$155,TRUE),0)</f>
        <v/>
      </c>
      <c r="Q166" s="18">
        <f>IF($B$9+6-$B$6-8*$B$6&gt;=0,C166*_xlfn.POISSON.DIST($B$9+6-$B$6-8*$B$6,$B$155,TRUE),0)</f>
        <v/>
      </c>
      <c r="R166" s="18">
        <f>IF($B$9+7-$B$6-8*$B$6&gt;=0,C166*_xlfn.POISSON.DIST($B$9+7-$B$6-8*$B$6,$B$155,TRUE),0)</f>
        <v/>
      </c>
      <c r="S166" s="18">
        <f>IF($B$9+8-$B$6-8*$B$6&gt;=0,C166*_xlfn.POISSON.DIST($B$9+8-$B$6-8*$B$6,$B$155,TRUE),0)</f>
        <v/>
      </c>
      <c r="T166" s="18">
        <f>AVERAGE(INDEX($V$158:$V$202,(8-1)*$B$6+1):INDEX($V$158:$V$202,8*$B$6))</f>
        <v/>
      </c>
      <c r="U166" s="10" t="n">
        <v>9</v>
      </c>
      <c r="V166" s="18">
        <f>1-_xlfn.POISSON.DIST(U166-1,$B$154,TRUE)</f>
        <v/>
      </c>
    </row>
    <row r="167">
      <c r="A167" s="10" t="n">
        <v>9</v>
      </c>
      <c r="B167" s="11">
        <f>T167-T168</f>
        <v/>
      </c>
      <c r="C167" s="11">
        <f>_xlfn.POISSON.DIST(9*$B$6+$B$6-1,$B$154,TRUE)-_xlfn.POISSON.DIST(9*$B$6-1,$B$154,TRUE)</f>
        <v/>
      </c>
      <c r="D167" s="18">
        <f>IF($B$9+1-1-9*$B$6&gt;=0,B167*_xlfn.POISSON.DIST($B$9+1-1-9*$B$6,$B$155,TRUE),0)</f>
        <v/>
      </c>
      <c r="E167" s="18">
        <f>IF($B$9+2-1-9*$B$6&gt;=0,B167*_xlfn.POISSON.DIST($B$9+2-1-9*$B$6,$B$155,TRUE),0)</f>
        <v/>
      </c>
      <c r="F167" s="18">
        <f>IF($B$9+3-1-9*$B$6&gt;=0,B167*_xlfn.POISSON.DIST($B$9+3-1-9*$B$6,$B$155,TRUE),0)</f>
        <v/>
      </c>
      <c r="G167" s="18">
        <f>IF($B$9+4-1-9*$B$6&gt;=0,B167*_xlfn.POISSON.DIST($B$9+4-1-9*$B$6,$B$155,TRUE),0)</f>
        <v/>
      </c>
      <c r="H167" s="18">
        <f>IF($B$9+5-1-9*$B$6&gt;=0,B167*_xlfn.POISSON.DIST($B$9+5-1-9*$B$6,$B$155,TRUE),0)</f>
        <v/>
      </c>
      <c r="I167" s="18">
        <f>IF($B$9+6-1-9*$B$6&gt;=0,B167*_xlfn.POISSON.DIST($B$9+6-1-9*$B$6,$B$155,TRUE),0)</f>
        <v/>
      </c>
      <c r="J167" s="18">
        <f>IF($B$9+7-1-9*$B$6&gt;=0,B167*_xlfn.POISSON.DIST($B$9+7-1-9*$B$6,$B$155,TRUE),0)</f>
        <v/>
      </c>
      <c r="K167" s="18">
        <f>IF($B$9+8-1-9*$B$6&gt;=0,B167*_xlfn.POISSON.DIST($B$9+8-1-9*$B$6,$B$155,TRUE),0)</f>
        <v/>
      </c>
      <c r="L167" s="18">
        <f>IF($B$9+1-$B$6-9*$B$6&gt;=0,C167*_xlfn.POISSON.DIST($B$9+1-$B$6-9*$B$6,$B$155,TRUE),0)</f>
        <v/>
      </c>
      <c r="M167" s="18">
        <f>IF($B$9+2-$B$6-9*$B$6&gt;=0,C167*_xlfn.POISSON.DIST($B$9+2-$B$6-9*$B$6,$B$155,TRUE),0)</f>
        <v/>
      </c>
      <c r="N167" s="18">
        <f>IF($B$9+3-$B$6-9*$B$6&gt;=0,C167*_xlfn.POISSON.DIST($B$9+3-$B$6-9*$B$6,$B$155,TRUE),0)</f>
        <v/>
      </c>
      <c r="O167" s="18">
        <f>IF($B$9+4-$B$6-9*$B$6&gt;=0,C167*_xlfn.POISSON.DIST($B$9+4-$B$6-9*$B$6,$B$155,TRUE),0)</f>
        <v/>
      </c>
      <c r="P167" s="18">
        <f>IF($B$9+5-$B$6-9*$B$6&gt;=0,C167*_xlfn.POISSON.DIST($B$9+5-$B$6-9*$B$6,$B$155,TRUE),0)</f>
        <v/>
      </c>
      <c r="Q167" s="18">
        <f>IF($B$9+6-$B$6-9*$B$6&gt;=0,C167*_xlfn.POISSON.DIST($B$9+6-$B$6-9*$B$6,$B$155,TRUE),0)</f>
        <v/>
      </c>
      <c r="R167" s="18">
        <f>IF($B$9+7-$B$6-9*$B$6&gt;=0,C167*_xlfn.POISSON.DIST($B$9+7-$B$6-9*$B$6,$B$155,TRUE),0)</f>
        <v/>
      </c>
      <c r="S167" s="18">
        <f>IF($B$9+8-$B$6-9*$B$6&gt;=0,C167*_xlfn.POISSON.DIST($B$9+8-$B$6-9*$B$6,$B$155,TRUE),0)</f>
        <v/>
      </c>
      <c r="T167" s="18">
        <f>AVERAGE(INDEX($V$158:$V$202,(9-1)*$B$6+1):INDEX($V$158:$V$202,9*$B$6))</f>
        <v/>
      </c>
      <c r="U167" s="10" t="n">
        <v>10</v>
      </c>
      <c r="V167" s="18">
        <f>1-_xlfn.POISSON.DIST(U167-1,$B$154,TRUE)</f>
        <v/>
      </c>
    </row>
    <row r="168">
      <c r="A168" s="10" t="n">
        <v>10</v>
      </c>
      <c r="B168" s="11">
        <f>T168-T169</f>
        <v/>
      </c>
      <c r="C168" s="11">
        <f>_xlfn.POISSON.DIST(10*$B$6+$B$6-1,$B$154,TRUE)-_xlfn.POISSON.DIST(10*$B$6-1,$B$154,TRUE)</f>
        <v/>
      </c>
      <c r="D168" s="18">
        <f>IF($B$9+1-1-10*$B$6&gt;=0,B168*_xlfn.POISSON.DIST($B$9+1-1-10*$B$6,$B$155,TRUE),0)</f>
        <v/>
      </c>
      <c r="E168" s="18">
        <f>IF($B$9+2-1-10*$B$6&gt;=0,B168*_xlfn.POISSON.DIST($B$9+2-1-10*$B$6,$B$155,TRUE),0)</f>
        <v/>
      </c>
      <c r="F168" s="18">
        <f>IF($B$9+3-1-10*$B$6&gt;=0,B168*_xlfn.POISSON.DIST($B$9+3-1-10*$B$6,$B$155,TRUE),0)</f>
        <v/>
      </c>
      <c r="G168" s="18">
        <f>IF($B$9+4-1-10*$B$6&gt;=0,B168*_xlfn.POISSON.DIST($B$9+4-1-10*$B$6,$B$155,TRUE),0)</f>
        <v/>
      </c>
      <c r="H168" s="18">
        <f>IF($B$9+5-1-10*$B$6&gt;=0,B168*_xlfn.POISSON.DIST($B$9+5-1-10*$B$6,$B$155,TRUE),0)</f>
        <v/>
      </c>
      <c r="I168" s="18">
        <f>IF($B$9+6-1-10*$B$6&gt;=0,B168*_xlfn.POISSON.DIST($B$9+6-1-10*$B$6,$B$155,TRUE),0)</f>
        <v/>
      </c>
      <c r="J168" s="18">
        <f>IF($B$9+7-1-10*$B$6&gt;=0,B168*_xlfn.POISSON.DIST($B$9+7-1-10*$B$6,$B$155,TRUE),0)</f>
        <v/>
      </c>
      <c r="K168" s="18">
        <f>IF($B$9+8-1-10*$B$6&gt;=0,B168*_xlfn.POISSON.DIST($B$9+8-1-10*$B$6,$B$155,TRUE),0)</f>
        <v/>
      </c>
      <c r="L168" s="18">
        <f>IF($B$9+1-$B$6-10*$B$6&gt;=0,C168*_xlfn.POISSON.DIST($B$9+1-$B$6-10*$B$6,$B$155,TRUE),0)</f>
        <v/>
      </c>
      <c r="M168" s="18">
        <f>IF($B$9+2-$B$6-10*$B$6&gt;=0,C168*_xlfn.POISSON.DIST($B$9+2-$B$6-10*$B$6,$B$155,TRUE),0)</f>
        <v/>
      </c>
      <c r="N168" s="18">
        <f>IF($B$9+3-$B$6-10*$B$6&gt;=0,C168*_xlfn.POISSON.DIST($B$9+3-$B$6-10*$B$6,$B$155,TRUE),0)</f>
        <v/>
      </c>
      <c r="O168" s="18">
        <f>IF($B$9+4-$B$6-10*$B$6&gt;=0,C168*_xlfn.POISSON.DIST($B$9+4-$B$6-10*$B$6,$B$155,TRUE),0)</f>
        <v/>
      </c>
      <c r="P168" s="18">
        <f>IF($B$9+5-$B$6-10*$B$6&gt;=0,C168*_xlfn.POISSON.DIST($B$9+5-$B$6-10*$B$6,$B$155,TRUE),0)</f>
        <v/>
      </c>
      <c r="Q168" s="18">
        <f>IF($B$9+6-$B$6-10*$B$6&gt;=0,C168*_xlfn.POISSON.DIST($B$9+6-$B$6-10*$B$6,$B$155,TRUE),0)</f>
        <v/>
      </c>
      <c r="R168" s="18">
        <f>IF($B$9+7-$B$6-10*$B$6&gt;=0,C168*_xlfn.POISSON.DIST($B$9+7-$B$6-10*$B$6,$B$155,TRUE),0)</f>
        <v/>
      </c>
      <c r="S168" s="18">
        <f>IF($B$9+8-$B$6-10*$B$6&gt;=0,C168*_xlfn.POISSON.DIST($B$9+8-$B$6-10*$B$6,$B$155,TRUE),0)</f>
        <v/>
      </c>
      <c r="T168" s="18">
        <f>AVERAGE(INDEX($V$158:$V$202,(10-1)*$B$6+1):INDEX($V$158:$V$202,10*$B$6))</f>
        <v/>
      </c>
      <c r="U168" s="10" t="n">
        <v>11</v>
      </c>
      <c r="V168" s="18">
        <f>1-_xlfn.POISSON.DIST(U168-1,$B$154,TRUE)</f>
        <v/>
      </c>
    </row>
    <row r="169">
      <c r="A169" s="10" t="n">
        <v>11</v>
      </c>
      <c r="B169" s="11">
        <f>T169-T170</f>
        <v/>
      </c>
      <c r="C169" s="11">
        <f>_xlfn.POISSON.DIST(11*$B$6+$B$6-1,$B$154,TRUE)-_xlfn.POISSON.DIST(11*$B$6-1,$B$154,TRUE)</f>
        <v/>
      </c>
      <c r="D169" s="18">
        <f>IF($B$9+1-1-11*$B$6&gt;=0,B169*_xlfn.POISSON.DIST($B$9+1-1-11*$B$6,$B$155,TRUE),0)</f>
        <v/>
      </c>
      <c r="E169" s="18">
        <f>IF($B$9+2-1-11*$B$6&gt;=0,B169*_xlfn.POISSON.DIST($B$9+2-1-11*$B$6,$B$155,TRUE),0)</f>
        <v/>
      </c>
      <c r="F169" s="18">
        <f>IF($B$9+3-1-11*$B$6&gt;=0,B169*_xlfn.POISSON.DIST($B$9+3-1-11*$B$6,$B$155,TRUE),0)</f>
        <v/>
      </c>
      <c r="G169" s="18">
        <f>IF($B$9+4-1-11*$B$6&gt;=0,B169*_xlfn.POISSON.DIST($B$9+4-1-11*$B$6,$B$155,TRUE),0)</f>
        <v/>
      </c>
      <c r="H169" s="18">
        <f>IF($B$9+5-1-11*$B$6&gt;=0,B169*_xlfn.POISSON.DIST($B$9+5-1-11*$B$6,$B$155,TRUE),0)</f>
        <v/>
      </c>
      <c r="I169" s="18">
        <f>IF($B$9+6-1-11*$B$6&gt;=0,B169*_xlfn.POISSON.DIST($B$9+6-1-11*$B$6,$B$155,TRUE),0)</f>
        <v/>
      </c>
      <c r="J169" s="18">
        <f>IF($B$9+7-1-11*$B$6&gt;=0,B169*_xlfn.POISSON.DIST($B$9+7-1-11*$B$6,$B$155,TRUE),0)</f>
        <v/>
      </c>
      <c r="K169" s="18">
        <f>IF($B$9+8-1-11*$B$6&gt;=0,B169*_xlfn.POISSON.DIST($B$9+8-1-11*$B$6,$B$155,TRUE),0)</f>
        <v/>
      </c>
      <c r="L169" s="18">
        <f>IF($B$9+1-$B$6-11*$B$6&gt;=0,C169*_xlfn.POISSON.DIST($B$9+1-$B$6-11*$B$6,$B$155,TRUE),0)</f>
        <v/>
      </c>
      <c r="M169" s="18">
        <f>IF($B$9+2-$B$6-11*$B$6&gt;=0,C169*_xlfn.POISSON.DIST($B$9+2-$B$6-11*$B$6,$B$155,TRUE),0)</f>
        <v/>
      </c>
      <c r="N169" s="18">
        <f>IF($B$9+3-$B$6-11*$B$6&gt;=0,C169*_xlfn.POISSON.DIST($B$9+3-$B$6-11*$B$6,$B$155,TRUE),0)</f>
        <v/>
      </c>
      <c r="O169" s="18">
        <f>IF($B$9+4-$B$6-11*$B$6&gt;=0,C169*_xlfn.POISSON.DIST($B$9+4-$B$6-11*$B$6,$B$155,TRUE),0)</f>
        <v/>
      </c>
      <c r="P169" s="18">
        <f>IF($B$9+5-$B$6-11*$B$6&gt;=0,C169*_xlfn.POISSON.DIST($B$9+5-$B$6-11*$B$6,$B$155,TRUE),0)</f>
        <v/>
      </c>
      <c r="Q169" s="18">
        <f>IF($B$9+6-$B$6-11*$B$6&gt;=0,C169*_xlfn.POISSON.DIST($B$9+6-$B$6-11*$B$6,$B$155,TRUE),0)</f>
        <v/>
      </c>
      <c r="R169" s="18">
        <f>IF($B$9+7-$B$6-11*$B$6&gt;=0,C169*_xlfn.POISSON.DIST($B$9+7-$B$6-11*$B$6,$B$155,TRUE),0)</f>
        <v/>
      </c>
      <c r="S169" s="18">
        <f>IF($B$9+8-$B$6-11*$B$6&gt;=0,C169*_xlfn.POISSON.DIST($B$9+8-$B$6-11*$B$6,$B$155,TRUE),0)</f>
        <v/>
      </c>
      <c r="T169" s="18">
        <f>AVERAGE(INDEX($V$158:$V$202,(11-1)*$B$6+1):INDEX($V$158:$V$202,11*$B$6))</f>
        <v/>
      </c>
      <c r="U169" s="10" t="n">
        <v>12</v>
      </c>
      <c r="V169" s="18">
        <f>1-_xlfn.POISSON.DIST(U169-1,$B$154,TRUE)</f>
        <v/>
      </c>
    </row>
    <row r="170">
      <c r="A170" s="10" t="n">
        <v>12</v>
      </c>
      <c r="B170" s="11">
        <f>T170-T171</f>
        <v/>
      </c>
      <c r="C170" s="11">
        <f>_xlfn.POISSON.DIST(12*$B$6+$B$6-1,$B$154,TRUE)-_xlfn.POISSON.DIST(12*$B$6-1,$B$154,TRUE)</f>
        <v/>
      </c>
      <c r="D170" s="18">
        <f>IF($B$9+1-1-12*$B$6&gt;=0,B170*_xlfn.POISSON.DIST($B$9+1-1-12*$B$6,$B$155,TRUE),0)</f>
        <v/>
      </c>
      <c r="E170" s="18">
        <f>IF($B$9+2-1-12*$B$6&gt;=0,B170*_xlfn.POISSON.DIST($B$9+2-1-12*$B$6,$B$155,TRUE),0)</f>
        <v/>
      </c>
      <c r="F170" s="18">
        <f>IF($B$9+3-1-12*$B$6&gt;=0,B170*_xlfn.POISSON.DIST($B$9+3-1-12*$B$6,$B$155,TRUE),0)</f>
        <v/>
      </c>
      <c r="G170" s="18">
        <f>IF($B$9+4-1-12*$B$6&gt;=0,B170*_xlfn.POISSON.DIST($B$9+4-1-12*$B$6,$B$155,TRUE),0)</f>
        <v/>
      </c>
      <c r="H170" s="18">
        <f>IF($B$9+5-1-12*$B$6&gt;=0,B170*_xlfn.POISSON.DIST($B$9+5-1-12*$B$6,$B$155,TRUE),0)</f>
        <v/>
      </c>
      <c r="I170" s="18">
        <f>IF($B$9+6-1-12*$B$6&gt;=0,B170*_xlfn.POISSON.DIST($B$9+6-1-12*$B$6,$B$155,TRUE),0)</f>
        <v/>
      </c>
      <c r="J170" s="18">
        <f>IF($B$9+7-1-12*$B$6&gt;=0,B170*_xlfn.POISSON.DIST($B$9+7-1-12*$B$6,$B$155,TRUE),0)</f>
        <v/>
      </c>
      <c r="K170" s="18">
        <f>IF($B$9+8-1-12*$B$6&gt;=0,B170*_xlfn.POISSON.DIST($B$9+8-1-12*$B$6,$B$155,TRUE),0)</f>
        <v/>
      </c>
      <c r="L170" s="18">
        <f>IF($B$9+1-$B$6-12*$B$6&gt;=0,C170*_xlfn.POISSON.DIST($B$9+1-$B$6-12*$B$6,$B$155,TRUE),0)</f>
        <v/>
      </c>
      <c r="M170" s="18">
        <f>IF($B$9+2-$B$6-12*$B$6&gt;=0,C170*_xlfn.POISSON.DIST($B$9+2-$B$6-12*$B$6,$B$155,TRUE),0)</f>
        <v/>
      </c>
      <c r="N170" s="18">
        <f>IF($B$9+3-$B$6-12*$B$6&gt;=0,C170*_xlfn.POISSON.DIST($B$9+3-$B$6-12*$B$6,$B$155,TRUE),0)</f>
        <v/>
      </c>
      <c r="O170" s="18">
        <f>IF($B$9+4-$B$6-12*$B$6&gt;=0,C170*_xlfn.POISSON.DIST($B$9+4-$B$6-12*$B$6,$B$155,TRUE),0)</f>
        <v/>
      </c>
      <c r="P170" s="18">
        <f>IF($B$9+5-$B$6-12*$B$6&gt;=0,C170*_xlfn.POISSON.DIST($B$9+5-$B$6-12*$B$6,$B$155,TRUE),0)</f>
        <v/>
      </c>
      <c r="Q170" s="18">
        <f>IF($B$9+6-$B$6-12*$B$6&gt;=0,C170*_xlfn.POISSON.DIST($B$9+6-$B$6-12*$B$6,$B$155,TRUE),0)</f>
        <v/>
      </c>
      <c r="R170" s="18">
        <f>IF($B$9+7-$B$6-12*$B$6&gt;=0,C170*_xlfn.POISSON.DIST($B$9+7-$B$6-12*$B$6,$B$155,TRUE),0)</f>
        <v/>
      </c>
      <c r="S170" s="18">
        <f>IF($B$9+8-$B$6-12*$B$6&gt;=0,C170*_xlfn.POISSON.DIST($B$9+8-$B$6-12*$B$6,$B$155,TRUE),0)</f>
        <v/>
      </c>
      <c r="T170" s="18">
        <f>AVERAGE(INDEX($V$158:$V$202,(12-1)*$B$6+1):INDEX($V$158:$V$202,12*$B$6))</f>
        <v/>
      </c>
      <c r="U170" s="10" t="n">
        <v>13</v>
      </c>
      <c r="V170" s="18">
        <f>1-_xlfn.POISSON.DIST(U170-1,$B$154,TRUE)</f>
        <v/>
      </c>
    </row>
    <row r="171">
      <c r="A171" s="10" t="n">
        <v>13</v>
      </c>
      <c r="B171" s="11">
        <f>T171-T172</f>
        <v/>
      </c>
      <c r="C171" s="11">
        <f>_xlfn.POISSON.DIST(13*$B$6+$B$6-1,$B$154,TRUE)-_xlfn.POISSON.DIST(13*$B$6-1,$B$154,TRUE)</f>
        <v/>
      </c>
      <c r="D171" s="18">
        <f>IF($B$9+1-1-13*$B$6&gt;=0,B171*_xlfn.POISSON.DIST($B$9+1-1-13*$B$6,$B$155,TRUE),0)</f>
        <v/>
      </c>
      <c r="E171" s="18">
        <f>IF($B$9+2-1-13*$B$6&gt;=0,B171*_xlfn.POISSON.DIST($B$9+2-1-13*$B$6,$B$155,TRUE),0)</f>
        <v/>
      </c>
      <c r="F171" s="18">
        <f>IF($B$9+3-1-13*$B$6&gt;=0,B171*_xlfn.POISSON.DIST($B$9+3-1-13*$B$6,$B$155,TRUE),0)</f>
        <v/>
      </c>
      <c r="G171" s="18">
        <f>IF($B$9+4-1-13*$B$6&gt;=0,B171*_xlfn.POISSON.DIST($B$9+4-1-13*$B$6,$B$155,TRUE),0)</f>
        <v/>
      </c>
      <c r="H171" s="18">
        <f>IF($B$9+5-1-13*$B$6&gt;=0,B171*_xlfn.POISSON.DIST($B$9+5-1-13*$B$6,$B$155,TRUE),0)</f>
        <v/>
      </c>
      <c r="I171" s="18">
        <f>IF($B$9+6-1-13*$B$6&gt;=0,B171*_xlfn.POISSON.DIST($B$9+6-1-13*$B$6,$B$155,TRUE),0)</f>
        <v/>
      </c>
      <c r="J171" s="18">
        <f>IF($B$9+7-1-13*$B$6&gt;=0,B171*_xlfn.POISSON.DIST($B$9+7-1-13*$B$6,$B$155,TRUE),0)</f>
        <v/>
      </c>
      <c r="K171" s="18">
        <f>IF($B$9+8-1-13*$B$6&gt;=0,B171*_xlfn.POISSON.DIST($B$9+8-1-13*$B$6,$B$155,TRUE),0)</f>
        <v/>
      </c>
      <c r="L171" s="18">
        <f>IF($B$9+1-$B$6-13*$B$6&gt;=0,C171*_xlfn.POISSON.DIST($B$9+1-$B$6-13*$B$6,$B$155,TRUE),0)</f>
        <v/>
      </c>
      <c r="M171" s="18">
        <f>IF($B$9+2-$B$6-13*$B$6&gt;=0,C171*_xlfn.POISSON.DIST($B$9+2-$B$6-13*$B$6,$B$155,TRUE),0)</f>
        <v/>
      </c>
      <c r="N171" s="18">
        <f>IF($B$9+3-$B$6-13*$B$6&gt;=0,C171*_xlfn.POISSON.DIST($B$9+3-$B$6-13*$B$6,$B$155,TRUE),0)</f>
        <v/>
      </c>
      <c r="O171" s="18">
        <f>IF($B$9+4-$B$6-13*$B$6&gt;=0,C171*_xlfn.POISSON.DIST($B$9+4-$B$6-13*$B$6,$B$155,TRUE),0)</f>
        <v/>
      </c>
      <c r="P171" s="18">
        <f>IF($B$9+5-$B$6-13*$B$6&gt;=0,C171*_xlfn.POISSON.DIST($B$9+5-$B$6-13*$B$6,$B$155,TRUE),0)</f>
        <v/>
      </c>
      <c r="Q171" s="18">
        <f>IF($B$9+6-$B$6-13*$B$6&gt;=0,C171*_xlfn.POISSON.DIST($B$9+6-$B$6-13*$B$6,$B$155,TRUE),0)</f>
        <v/>
      </c>
      <c r="R171" s="18">
        <f>IF($B$9+7-$B$6-13*$B$6&gt;=0,C171*_xlfn.POISSON.DIST($B$9+7-$B$6-13*$B$6,$B$155,TRUE),0)</f>
        <v/>
      </c>
      <c r="S171" s="18">
        <f>IF($B$9+8-$B$6-13*$B$6&gt;=0,C171*_xlfn.POISSON.DIST($B$9+8-$B$6-13*$B$6,$B$155,TRUE),0)</f>
        <v/>
      </c>
      <c r="T171" s="18">
        <f>AVERAGE(INDEX($V$158:$V$202,(13-1)*$B$6+1):INDEX($V$158:$V$202,13*$B$6))</f>
        <v/>
      </c>
      <c r="U171" s="10" t="n">
        <v>14</v>
      </c>
      <c r="V171" s="18">
        <f>1-_xlfn.POISSON.DIST(U171-1,$B$154,TRUE)</f>
        <v/>
      </c>
    </row>
    <row r="172">
      <c r="A172" s="10" t="n">
        <v>14</v>
      </c>
      <c r="B172" s="11">
        <f>T172-T173</f>
        <v/>
      </c>
      <c r="C172" s="11">
        <f>_xlfn.POISSON.DIST(14*$B$6+$B$6-1,$B$154,TRUE)-_xlfn.POISSON.DIST(14*$B$6-1,$B$154,TRUE)</f>
        <v/>
      </c>
      <c r="D172" s="18">
        <f>IF($B$9+1-1-14*$B$6&gt;=0,B172*_xlfn.POISSON.DIST($B$9+1-1-14*$B$6,$B$155,TRUE),0)</f>
        <v/>
      </c>
      <c r="E172" s="18">
        <f>IF($B$9+2-1-14*$B$6&gt;=0,B172*_xlfn.POISSON.DIST($B$9+2-1-14*$B$6,$B$155,TRUE),0)</f>
        <v/>
      </c>
      <c r="F172" s="18">
        <f>IF($B$9+3-1-14*$B$6&gt;=0,B172*_xlfn.POISSON.DIST($B$9+3-1-14*$B$6,$B$155,TRUE),0)</f>
        <v/>
      </c>
      <c r="G172" s="18">
        <f>IF($B$9+4-1-14*$B$6&gt;=0,B172*_xlfn.POISSON.DIST($B$9+4-1-14*$B$6,$B$155,TRUE),0)</f>
        <v/>
      </c>
      <c r="H172" s="18">
        <f>IF($B$9+5-1-14*$B$6&gt;=0,B172*_xlfn.POISSON.DIST($B$9+5-1-14*$B$6,$B$155,TRUE),0)</f>
        <v/>
      </c>
      <c r="I172" s="18">
        <f>IF($B$9+6-1-14*$B$6&gt;=0,B172*_xlfn.POISSON.DIST($B$9+6-1-14*$B$6,$B$155,TRUE),0)</f>
        <v/>
      </c>
      <c r="J172" s="18">
        <f>IF($B$9+7-1-14*$B$6&gt;=0,B172*_xlfn.POISSON.DIST($B$9+7-1-14*$B$6,$B$155,TRUE),0)</f>
        <v/>
      </c>
      <c r="K172" s="18">
        <f>IF($B$9+8-1-14*$B$6&gt;=0,B172*_xlfn.POISSON.DIST($B$9+8-1-14*$B$6,$B$155,TRUE),0)</f>
        <v/>
      </c>
      <c r="L172" s="18">
        <f>IF($B$9+1-$B$6-14*$B$6&gt;=0,C172*_xlfn.POISSON.DIST($B$9+1-$B$6-14*$B$6,$B$155,TRUE),0)</f>
        <v/>
      </c>
      <c r="M172" s="18">
        <f>IF($B$9+2-$B$6-14*$B$6&gt;=0,C172*_xlfn.POISSON.DIST($B$9+2-$B$6-14*$B$6,$B$155,TRUE),0)</f>
        <v/>
      </c>
      <c r="N172" s="18">
        <f>IF($B$9+3-$B$6-14*$B$6&gt;=0,C172*_xlfn.POISSON.DIST($B$9+3-$B$6-14*$B$6,$B$155,TRUE),0)</f>
        <v/>
      </c>
      <c r="O172" s="18">
        <f>IF($B$9+4-$B$6-14*$B$6&gt;=0,C172*_xlfn.POISSON.DIST($B$9+4-$B$6-14*$B$6,$B$155,TRUE),0)</f>
        <v/>
      </c>
      <c r="P172" s="18">
        <f>IF($B$9+5-$B$6-14*$B$6&gt;=0,C172*_xlfn.POISSON.DIST($B$9+5-$B$6-14*$B$6,$B$155,TRUE),0)</f>
        <v/>
      </c>
      <c r="Q172" s="18">
        <f>IF($B$9+6-$B$6-14*$B$6&gt;=0,C172*_xlfn.POISSON.DIST($B$9+6-$B$6-14*$B$6,$B$155,TRUE),0)</f>
        <v/>
      </c>
      <c r="R172" s="18">
        <f>IF($B$9+7-$B$6-14*$B$6&gt;=0,C172*_xlfn.POISSON.DIST($B$9+7-$B$6-14*$B$6,$B$155,TRUE),0)</f>
        <v/>
      </c>
      <c r="S172" s="18">
        <f>IF($B$9+8-$B$6-14*$B$6&gt;=0,C172*_xlfn.POISSON.DIST($B$9+8-$B$6-14*$B$6,$B$155,TRUE),0)</f>
        <v/>
      </c>
      <c r="T172" s="18">
        <f>AVERAGE(INDEX($V$158:$V$202,(14-1)*$B$6+1):INDEX($V$158:$V$202,14*$B$6))</f>
        <v/>
      </c>
      <c r="U172" s="10" t="n">
        <v>15</v>
      </c>
      <c r="V172" s="18">
        <f>1-_xlfn.POISSON.DIST(U172-1,$B$154,TRUE)</f>
        <v/>
      </c>
    </row>
    <row r="173">
      <c r="T173" s="18">
        <f>AVERAGE(INDEX($V$158:$V$202,(15-1)*$B$6+1):INDEX($V$158:$V$202,15*$B$6))</f>
        <v/>
      </c>
      <c r="U173" s="10" t="n">
        <v>16</v>
      </c>
      <c r="V173" s="18">
        <f>1-_xlfn.POISSON.DIST(U173-1,$B$154,TRUE)</f>
        <v/>
      </c>
    </row>
    <row r="174">
      <c r="U174" s="10" t="n">
        <v>17</v>
      </c>
      <c r="V174" s="18">
        <f>1-_xlfn.POISSON.DIST(U174-1,$B$154,TRUE)</f>
        <v/>
      </c>
    </row>
    <row r="175">
      <c r="U175" s="10" t="n">
        <v>18</v>
      </c>
      <c r="V175" s="18">
        <f>1-_xlfn.POISSON.DIST(U175-1,$B$154,TRUE)</f>
        <v/>
      </c>
    </row>
    <row r="176">
      <c r="U176" s="10" t="n">
        <v>19</v>
      </c>
      <c r="V176" s="18">
        <f>1-_xlfn.POISSON.DIST(U176-1,$B$154,TRUE)</f>
        <v/>
      </c>
    </row>
    <row r="177">
      <c r="U177" s="10" t="n">
        <v>20</v>
      </c>
      <c r="V177" s="18">
        <f>1-_xlfn.POISSON.DIST(U177-1,$B$154,TRUE)</f>
        <v/>
      </c>
    </row>
    <row r="178">
      <c r="U178" s="10" t="n">
        <v>21</v>
      </c>
      <c r="V178" s="18">
        <f>1-_xlfn.POISSON.DIST(U178-1,$B$154,TRUE)</f>
        <v/>
      </c>
    </row>
    <row r="179">
      <c r="U179" s="10" t="n">
        <v>22</v>
      </c>
      <c r="V179" s="18">
        <f>1-_xlfn.POISSON.DIST(U179-1,$B$154,TRUE)</f>
        <v/>
      </c>
    </row>
    <row r="180">
      <c r="U180" s="10" t="n">
        <v>23</v>
      </c>
      <c r="V180" s="18">
        <f>1-_xlfn.POISSON.DIST(U180-1,$B$154,TRUE)</f>
        <v/>
      </c>
    </row>
    <row r="181">
      <c r="U181" s="10" t="n">
        <v>24</v>
      </c>
      <c r="V181" s="18">
        <f>1-_xlfn.POISSON.DIST(U181-1,$B$154,TRUE)</f>
        <v/>
      </c>
    </row>
    <row r="182">
      <c r="U182" s="10" t="n">
        <v>25</v>
      </c>
      <c r="V182" s="18">
        <f>1-_xlfn.POISSON.DIST(U182-1,$B$154,TRUE)</f>
        <v/>
      </c>
    </row>
    <row r="183">
      <c r="U183" s="10" t="n">
        <v>26</v>
      </c>
      <c r="V183" s="18">
        <f>1-_xlfn.POISSON.DIST(U183-1,$B$154,TRUE)</f>
        <v/>
      </c>
    </row>
    <row r="184">
      <c r="U184" s="10" t="n">
        <v>27</v>
      </c>
      <c r="V184" s="18">
        <f>1-_xlfn.POISSON.DIST(U184-1,$B$154,TRUE)</f>
        <v/>
      </c>
    </row>
    <row r="185">
      <c r="U185" s="10" t="n">
        <v>28</v>
      </c>
      <c r="V185" s="18">
        <f>1-_xlfn.POISSON.DIST(U185-1,$B$154,TRUE)</f>
        <v/>
      </c>
    </row>
    <row r="186">
      <c r="U186" s="10" t="n">
        <v>29</v>
      </c>
      <c r="V186" s="18">
        <f>1-_xlfn.POISSON.DIST(U186-1,$B$154,TRUE)</f>
        <v/>
      </c>
    </row>
    <row r="187">
      <c r="U187" s="10" t="n">
        <v>30</v>
      </c>
      <c r="V187" s="18">
        <f>1-_xlfn.POISSON.DIST(U187-1,$B$154,TRUE)</f>
        <v/>
      </c>
    </row>
    <row r="188">
      <c r="U188" s="10" t="n">
        <v>31</v>
      </c>
      <c r="V188" s="18">
        <f>1-_xlfn.POISSON.DIST(U188-1,$B$154,TRUE)</f>
        <v/>
      </c>
    </row>
    <row r="189">
      <c r="U189" s="10" t="n">
        <v>32</v>
      </c>
      <c r="V189" s="18">
        <f>1-_xlfn.POISSON.DIST(U189-1,$B$154,TRUE)</f>
        <v/>
      </c>
    </row>
    <row r="190">
      <c r="U190" s="10" t="n">
        <v>33</v>
      </c>
      <c r="V190" s="18">
        <f>1-_xlfn.POISSON.DIST(U190-1,$B$154,TRUE)</f>
        <v/>
      </c>
    </row>
    <row r="191">
      <c r="U191" s="10" t="n">
        <v>34</v>
      </c>
      <c r="V191" s="18">
        <f>1-_xlfn.POISSON.DIST(U191-1,$B$154,TRUE)</f>
        <v/>
      </c>
    </row>
    <row r="192">
      <c r="U192" s="10" t="n">
        <v>35</v>
      </c>
      <c r="V192" s="18">
        <f>1-_xlfn.POISSON.DIST(U192-1,$B$154,TRUE)</f>
        <v/>
      </c>
    </row>
    <row r="193">
      <c r="U193" s="10" t="n">
        <v>36</v>
      </c>
      <c r="V193" s="18">
        <f>1-_xlfn.POISSON.DIST(U193-1,$B$154,TRUE)</f>
        <v/>
      </c>
    </row>
    <row r="194">
      <c r="U194" s="10" t="n">
        <v>37</v>
      </c>
      <c r="V194" s="18">
        <f>1-_xlfn.POISSON.DIST(U194-1,$B$154,TRUE)</f>
        <v/>
      </c>
    </row>
    <row r="195">
      <c r="U195" s="10" t="n">
        <v>38</v>
      </c>
      <c r="V195" s="18">
        <f>1-_xlfn.POISSON.DIST(U195-1,$B$154,TRUE)</f>
        <v/>
      </c>
    </row>
    <row r="196">
      <c r="U196" s="10" t="n">
        <v>39</v>
      </c>
      <c r="V196" s="18">
        <f>1-_xlfn.POISSON.DIST(U196-1,$B$154,TRUE)</f>
        <v/>
      </c>
    </row>
    <row r="197">
      <c r="U197" s="10" t="n">
        <v>40</v>
      </c>
      <c r="V197" s="18">
        <f>1-_xlfn.POISSON.DIST(U197-1,$B$154,TRUE)</f>
        <v/>
      </c>
    </row>
    <row r="198">
      <c r="U198" s="10" t="n">
        <v>41</v>
      </c>
      <c r="V198" s="18">
        <f>1-_xlfn.POISSON.DIST(U198-1,$B$154,TRUE)</f>
        <v/>
      </c>
    </row>
    <row r="199">
      <c r="U199" s="10" t="n">
        <v>42</v>
      </c>
      <c r="V199" s="18">
        <f>1-_xlfn.POISSON.DIST(U199-1,$B$154,TRUE)</f>
        <v/>
      </c>
    </row>
    <row r="200">
      <c r="U200" s="10" t="n">
        <v>43</v>
      </c>
      <c r="V200" s="18">
        <f>1-_xlfn.POISSON.DIST(U200-1,$B$154,TRUE)</f>
        <v/>
      </c>
    </row>
    <row r="201">
      <c r="U201" s="10" t="n">
        <v>44</v>
      </c>
      <c r="V201" s="18">
        <f>1-_xlfn.POISSON.DIST(U201-1,$B$154,TRUE)</f>
        <v/>
      </c>
    </row>
    <row r="202">
      <c r="U202" s="10" t="n">
        <v>45</v>
      </c>
      <c r="V202" s="18">
        <f>1-_xlfn.POISSON.DIST(U202-1,$B$154,TRUE)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15" customWidth="1" min="8" max="8"/>
  </cols>
  <sheetData>
    <row r="1">
      <c r="A1" s="1" t="inlineStr">
        <is>
          <t>A random supplier lead time at the hub</t>
        </is>
      </c>
    </row>
    <row r="2">
      <c r="A2" s="2" t="inlineStr">
        <is>
          <t>@sec-batchedmultiechelon. Build the demand at each value of L_0, then average. Both streams share the window.</t>
        </is>
      </c>
    </row>
    <row r="4">
      <c r="A4" s="3" t="inlineStr">
        <is>
          <t>Read from the Orders sheet</t>
        </is>
      </c>
    </row>
    <row r="5">
      <c r="A5" t="inlineStr">
        <is>
          <t>lambda_j</t>
        </is>
      </c>
      <c r="B5" s="7">
        <f>Orders!B5</f>
        <v/>
      </c>
    </row>
    <row r="6">
      <c r="A6" t="inlineStr">
        <is>
          <t>Q_j</t>
        </is>
      </c>
      <c r="B6" s="12">
        <f>Orders!B6</f>
        <v/>
      </c>
    </row>
    <row r="7">
      <c r="A7" t="inlineStr">
        <is>
          <t>lambda_o</t>
        </is>
      </c>
      <c r="B7" s="7">
        <f>Orders!B7</f>
        <v/>
      </c>
    </row>
    <row r="9">
      <c r="A9" s="3" t="inlineStr">
        <is>
          <t>The lead time</t>
        </is>
      </c>
    </row>
    <row r="10">
      <c r="B10" s="9" t="inlineStr">
        <is>
          <t>value, weeks</t>
        </is>
      </c>
      <c r="C10" s="9" t="inlineStr">
        <is>
          <t>probability</t>
        </is>
      </c>
      <c r="D10" s="9" t="inlineStr">
        <is>
          <t>other mean</t>
        </is>
      </c>
      <c r="E10" s="9" t="inlineStr">
        <is>
          <t>other variance</t>
        </is>
      </c>
      <c r="F10" s="9" t="inlineStr">
        <is>
          <t>storeroom mean</t>
        </is>
      </c>
      <c r="G10" s="9" t="inlineStr">
        <is>
          <t>storeroom variance</t>
        </is>
      </c>
      <c r="H10" s="9" t="inlineStr">
        <is>
          <t>total variance</t>
        </is>
      </c>
    </row>
    <row r="11">
      <c r="A11" t="inlineStr">
        <is>
          <t>L_0 value 1</t>
        </is>
      </c>
      <c r="B11" s="4" t="n">
        <v>2</v>
      </c>
      <c r="C11" s="4" t="n">
        <v>0.4</v>
      </c>
      <c r="D11" s="7">
        <f>$B$7*B11</f>
        <v/>
      </c>
      <c r="E11" s="7">
        <f>D11</f>
        <v/>
      </c>
      <c r="F11" s="7">
        <f>$B$5*B11</f>
        <v/>
      </c>
      <c r="G11" s="7">
        <f>$B$6^2*(SUMPRODUCT(C31:C45,C31:C45,E31:E45)-SUMPRODUCT(C31:C45,E31:E45)^2)</f>
        <v/>
      </c>
      <c r="H11" s="7">
        <f>E11+G11</f>
        <v/>
      </c>
    </row>
    <row r="12">
      <c r="A12" t="inlineStr">
        <is>
          <t>L_0 value 2</t>
        </is>
      </c>
      <c r="B12" s="4" t="n">
        <v>3</v>
      </c>
      <c r="C12" s="4" t="n">
        <v>0.4</v>
      </c>
      <c r="D12" s="7">
        <f>$B$7*B12</f>
        <v/>
      </c>
      <c r="E12" s="7">
        <f>D12</f>
        <v/>
      </c>
      <c r="F12" s="7">
        <f>$B$5*B12</f>
        <v/>
      </c>
      <c r="G12" s="7">
        <f>$B$6^2*(SUMPRODUCT(C78:C92,C78:C92,E78:E92)-SUMPRODUCT(C78:C92,E78:E92)^2)</f>
        <v/>
      </c>
      <c r="H12" s="7">
        <f>E12+G12</f>
        <v/>
      </c>
    </row>
    <row r="13">
      <c r="A13" t="inlineStr">
        <is>
          <t>L_0 value 3</t>
        </is>
      </c>
      <c r="B13" s="4" t="n">
        <v>5</v>
      </c>
      <c r="C13" s="4" t="n">
        <v>0.2</v>
      </c>
      <c r="D13" s="7">
        <f>$B$7*B13</f>
        <v/>
      </c>
      <c r="E13" s="7">
        <f>D13</f>
        <v/>
      </c>
      <c r="F13" s="7">
        <f>$B$5*B13</f>
        <v/>
      </c>
      <c r="G13" s="7">
        <f>$B$6^2*(SUMPRODUCT(C125:C139,C125:C139,E125:E139)-SUMPRODUCT(C125:C139,E125:E139)^2)</f>
        <v/>
      </c>
      <c r="H13" s="7">
        <f>E13+G13</f>
        <v/>
      </c>
    </row>
    <row r="15">
      <c r="A15" s="3" t="inlineStr">
        <is>
          <t>The hub's lead time demand</t>
        </is>
      </c>
    </row>
    <row r="16">
      <c r="A16" t="inlineStr">
        <is>
          <t>mean</t>
        </is>
      </c>
      <c r="B16" s="7">
        <f>SUMPRODUCT(C11:C13,D11:D13)+SUMPRODUCT(C11:C13,F11:F13)</f>
        <v/>
      </c>
    </row>
    <row r="17">
      <c r="A17" t="inlineStr">
        <is>
          <t>E[L_0]</t>
        </is>
      </c>
      <c r="B17" s="7">
        <f>SUMPRODUCT(B11:B13,C11:C13)</f>
        <v/>
      </c>
    </row>
    <row r="18">
      <c r="A18" t="inlineStr">
        <is>
          <t>Var[L_0]</t>
        </is>
      </c>
      <c r="B18" s="7">
        <f>SUMPRODUCT(B11:B13,B11:B13,C11:C13)-B17^2</f>
        <v/>
      </c>
    </row>
    <row r="19">
      <c r="A19" t="inlineStr">
        <is>
          <t>variance, averaged at each value</t>
        </is>
      </c>
      <c r="B19" s="7">
        <f>SUMPRODUCT(C11:C13,H11:H13)+($B$5+$B$7)^2*B18</f>
        <v/>
      </c>
      <c r="C19" s="2" t="inlineStr">
        <is>
          <t>law of total variance on the convolved demand</t>
        </is>
      </c>
    </row>
    <row r="20">
      <c r="A20" t="inlineStr">
        <is>
          <t>each stream averaged alone</t>
        </is>
      </c>
      <c r="B20" s="7">
        <f>SUMPRODUCT(C11:C13,H11:H13)+($B$5^2+$B$7^2)*B18</f>
        <v/>
      </c>
      <c r="C20" s="2" t="inlineStr">
        <is>
          <t>what averaging each stream alone, then adding, gives</t>
        </is>
      </c>
    </row>
    <row r="21">
      <c r="A21" t="inlineStr">
        <is>
          <t>the difference</t>
        </is>
      </c>
      <c r="B21" s="7">
        <f>B19-B20</f>
        <v/>
      </c>
      <c r="C21" s="2" t="inlineStr">
        <is>
          <t>the covariance a shared lead time creates, counted twice</t>
        </is>
      </c>
    </row>
    <row r="22">
      <c r="A22" t="inlineStr">
        <is>
          <t>2 lambda_o lambda_j Var[L_0]</t>
        </is>
      </c>
      <c r="B22" s="7">
        <f>2*$B$5*$B$7*B18</f>
        <v/>
      </c>
    </row>
    <row r="24">
      <c r="A24" s="2" t="inlineStr">
        <is>
          <t>With the lead time known the two streams are independent, so their variances add at each value. Across values they move together, and that shared movement is the difference.</t>
        </is>
      </c>
    </row>
    <row r="29">
      <c r="A29" s="16" t="inlineStr">
        <is>
          <t>Order counts at L_0 = value 1</t>
        </is>
      </c>
    </row>
    <row r="30">
      <c r="A30" s="9" t="inlineStr">
        <is>
          <t>y</t>
        </is>
      </c>
      <c r="B30" s="9" t="inlineStr">
        <is>
          <t>P(D &gt;= y)</t>
        </is>
      </c>
      <c r="C30" s="9" t="inlineStr">
        <is>
          <t>n</t>
        </is>
      </c>
      <c r="D30" s="9" t="inlineStr">
        <is>
          <t>P(N &gt;= n)</t>
        </is>
      </c>
      <c r="E30" s="9" t="inlineStr">
        <is>
          <t>P(N = n)</t>
        </is>
      </c>
    </row>
    <row r="31">
      <c r="A31" s="10" t="n">
        <v>1</v>
      </c>
      <c r="B31" s="18">
        <f>1-_xlfn.POISSON.DIST(A31-1,$F$11,TRUE)</f>
        <v/>
      </c>
      <c r="C31" s="10" t="n">
        <v>0</v>
      </c>
      <c r="D31" s="18">
        <f>1</f>
        <v/>
      </c>
      <c r="E31" s="18">
        <f>D31-D32</f>
        <v/>
      </c>
    </row>
    <row r="32">
      <c r="A32" s="10" t="n">
        <v>2</v>
      </c>
      <c r="B32" s="18">
        <f>1-_xlfn.POISSON.DIST(A32-1,$F$11,TRUE)</f>
        <v/>
      </c>
      <c r="C32" s="10" t="n">
        <v>1</v>
      </c>
      <c r="D32" s="18">
        <f>AVERAGE(INDEX($B$31:$B$75,(1-1)*$B$6+1):INDEX($B$31:$B$75,1*$B$6))</f>
        <v/>
      </c>
      <c r="E32" s="18">
        <f>D32-D33</f>
        <v/>
      </c>
    </row>
    <row r="33">
      <c r="A33" s="10" t="n">
        <v>3</v>
      </c>
      <c r="B33" s="18">
        <f>1-_xlfn.POISSON.DIST(A33-1,$F$11,TRUE)</f>
        <v/>
      </c>
      <c r="C33" s="10" t="n">
        <v>2</v>
      </c>
      <c r="D33" s="18">
        <f>AVERAGE(INDEX($B$31:$B$75,(2-1)*$B$6+1):INDEX($B$31:$B$75,2*$B$6))</f>
        <v/>
      </c>
      <c r="E33" s="18">
        <f>D33-D34</f>
        <v/>
      </c>
    </row>
    <row r="34">
      <c r="A34" s="10" t="n">
        <v>4</v>
      </c>
      <c r="B34" s="18">
        <f>1-_xlfn.POISSON.DIST(A34-1,$F$11,TRUE)</f>
        <v/>
      </c>
      <c r="C34" s="10" t="n">
        <v>3</v>
      </c>
      <c r="D34" s="18">
        <f>AVERAGE(INDEX($B$31:$B$75,(3-1)*$B$6+1):INDEX($B$31:$B$75,3*$B$6))</f>
        <v/>
      </c>
      <c r="E34" s="18">
        <f>D34-D35</f>
        <v/>
      </c>
    </row>
    <row r="35">
      <c r="A35" s="10" t="n">
        <v>5</v>
      </c>
      <c r="B35" s="18">
        <f>1-_xlfn.POISSON.DIST(A35-1,$F$11,TRUE)</f>
        <v/>
      </c>
      <c r="C35" s="10" t="n">
        <v>4</v>
      </c>
      <c r="D35" s="18">
        <f>AVERAGE(INDEX($B$31:$B$75,(4-1)*$B$6+1):INDEX($B$31:$B$75,4*$B$6))</f>
        <v/>
      </c>
      <c r="E35" s="18">
        <f>D35-D36</f>
        <v/>
      </c>
    </row>
    <row r="36">
      <c r="A36" s="10" t="n">
        <v>6</v>
      </c>
      <c r="B36" s="18">
        <f>1-_xlfn.POISSON.DIST(A36-1,$F$11,TRUE)</f>
        <v/>
      </c>
      <c r="C36" s="10" t="n">
        <v>5</v>
      </c>
      <c r="D36" s="18">
        <f>AVERAGE(INDEX($B$31:$B$75,(5-1)*$B$6+1):INDEX($B$31:$B$75,5*$B$6))</f>
        <v/>
      </c>
      <c r="E36" s="18">
        <f>D36-D37</f>
        <v/>
      </c>
    </row>
    <row r="37">
      <c r="A37" s="10" t="n">
        <v>7</v>
      </c>
      <c r="B37" s="18">
        <f>1-_xlfn.POISSON.DIST(A37-1,$F$11,TRUE)</f>
        <v/>
      </c>
      <c r="C37" s="10" t="n">
        <v>6</v>
      </c>
      <c r="D37" s="18">
        <f>AVERAGE(INDEX($B$31:$B$75,(6-1)*$B$6+1):INDEX($B$31:$B$75,6*$B$6))</f>
        <v/>
      </c>
      <c r="E37" s="18">
        <f>D37-D38</f>
        <v/>
      </c>
    </row>
    <row r="38">
      <c r="A38" s="10" t="n">
        <v>8</v>
      </c>
      <c r="B38" s="18">
        <f>1-_xlfn.POISSON.DIST(A38-1,$F$11,TRUE)</f>
        <v/>
      </c>
      <c r="C38" s="10" t="n">
        <v>7</v>
      </c>
      <c r="D38" s="18">
        <f>AVERAGE(INDEX($B$31:$B$75,(7-1)*$B$6+1):INDEX($B$31:$B$75,7*$B$6))</f>
        <v/>
      </c>
      <c r="E38" s="18">
        <f>D38-D39</f>
        <v/>
      </c>
    </row>
    <row r="39">
      <c r="A39" s="10" t="n">
        <v>9</v>
      </c>
      <c r="B39" s="18">
        <f>1-_xlfn.POISSON.DIST(A39-1,$F$11,TRUE)</f>
        <v/>
      </c>
      <c r="C39" s="10" t="n">
        <v>8</v>
      </c>
      <c r="D39" s="18">
        <f>AVERAGE(INDEX($B$31:$B$75,(8-1)*$B$6+1):INDEX($B$31:$B$75,8*$B$6))</f>
        <v/>
      </c>
      <c r="E39" s="18">
        <f>D39-D40</f>
        <v/>
      </c>
    </row>
    <row r="40">
      <c r="A40" s="10" t="n">
        <v>10</v>
      </c>
      <c r="B40" s="18">
        <f>1-_xlfn.POISSON.DIST(A40-1,$F$11,TRUE)</f>
        <v/>
      </c>
      <c r="C40" s="10" t="n">
        <v>9</v>
      </c>
      <c r="D40" s="18">
        <f>AVERAGE(INDEX($B$31:$B$75,(9-1)*$B$6+1):INDEX($B$31:$B$75,9*$B$6))</f>
        <v/>
      </c>
      <c r="E40" s="18">
        <f>D40-D41</f>
        <v/>
      </c>
    </row>
    <row r="41">
      <c r="A41" s="10" t="n">
        <v>11</v>
      </c>
      <c r="B41" s="18">
        <f>1-_xlfn.POISSON.DIST(A41-1,$F$11,TRUE)</f>
        <v/>
      </c>
      <c r="C41" s="10" t="n">
        <v>10</v>
      </c>
      <c r="D41" s="18">
        <f>AVERAGE(INDEX($B$31:$B$75,(10-1)*$B$6+1):INDEX($B$31:$B$75,10*$B$6))</f>
        <v/>
      </c>
      <c r="E41" s="18">
        <f>D41-D42</f>
        <v/>
      </c>
    </row>
    <row r="42">
      <c r="A42" s="10" t="n">
        <v>12</v>
      </c>
      <c r="B42" s="18">
        <f>1-_xlfn.POISSON.DIST(A42-1,$F$11,TRUE)</f>
        <v/>
      </c>
      <c r="C42" s="10" t="n">
        <v>11</v>
      </c>
      <c r="D42" s="18">
        <f>AVERAGE(INDEX($B$31:$B$75,(11-1)*$B$6+1):INDEX($B$31:$B$75,11*$B$6))</f>
        <v/>
      </c>
      <c r="E42" s="18">
        <f>D42-D43</f>
        <v/>
      </c>
    </row>
    <row r="43">
      <c r="A43" s="10" t="n">
        <v>13</v>
      </c>
      <c r="B43" s="18">
        <f>1-_xlfn.POISSON.DIST(A43-1,$F$11,TRUE)</f>
        <v/>
      </c>
      <c r="C43" s="10" t="n">
        <v>12</v>
      </c>
      <c r="D43" s="18">
        <f>AVERAGE(INDEX($B$31:$B$75,(12-1)*$B$6+1):INDEX($B$31:$B$75,12*$B$6))</f>
        <v/>
      </c>
      <c r="E43" s="18">
        <f>D43-D44</f>
        <v/>
      </c>
    </row>
    <row r="44">
      <c r="A44" s="10" t="n">
        <v>14</v>
      </c>
      <c r="B44" s="18">
        <f>1-_xlfn.POISSON.DIST(A44-1,$F$11,TRUE)</f>
        <v/>
      </c>
      <c r="C44" s="10" t="n">
        <v>13</v>
      </c>
      <c r="D44" s="18">
        <f>AVERAGE(INDEX($B$31:$B$75,(13-1)*$B$6+1):INDEX($B$31:$B$75,13*$B$6))</f>
        <v/>
      </c>
      <c r="E44" s="18">
        <f>D44-D45</f>
        <v/>
      </c>
    </row>
    <row r="45">
      <c r="A45" s="10" t="n">
        <v>15</v>
      </c>
      <c r="B45" s="18">
        <f>1-_xlfn.POISSON.DIST(A45-1,$F$11,TRUE)</f>
        <v/>
      </c>
      <c r="C45" s="10" t="n">
        <v>14</v>
      </c>
      <c r="D45" s="18">
        <f>AVERAGE(INDEX($B$31:$B$75,(14-1)*$B$6+1):INDEX($B$31:$B$75,14*$B$6))</f>
        <v/>
      </c>
      <c r="E45" s="18">
        <f>D45-D46</f>
        <v/>
      </c>
    </row>
    <row r="46">
      <c r="A46" s="10" t="n">
        <v>16</v>
      </c>
      <c r="B46" s="18">
        <f>1-_xlfn.POISSON.DIST(A46-1,$F$11,TRUE)</f>
        <v/>
      </c>
      <c r="D46" s="18">
        <f>AVERAGE(INDEX($B$31:$B$75,(15-1)*$B$6+1):INDEX($B$31:$B$75,15*$B$6))</f>
        <v/>
      </c>
    </row>
    <row r="47">
      <c r="A47" s="10" t="n">
        <v>17</v>
      </c>
      <c r="B47" s="18">
        <f>1-_xlfn.POISSON.DIST(A47-1,$F$11,TRUE)</f>
        <v/>
      </c>
    </row>
    <row r="48">
      <c r="A48" s="10" t="n">
        <v>18</v>
      </c>
      <c r="B48" s="18">
        <f>1-_xlfn.POISSON.DIST(A48-1,$F$11,TRUE)</f>
        <v/>
      </c>
    </row>
    <row r="49">
      <c r="A49" s="10" t="n">
        <v>19</v>
      </c>
      <c r="B49" s="18">
        <f>1-_xlfn.POISSON.DIST(A49-1,$F$11,TRUE)</f>
        <v/>
      </c>
    </row>
    <row r="50">
      <c r="A50" s="10" t="n">
        <v>20</v>
      </c>
      <c r="B50" s="18">
        <f>1-_xlfn.POISSON.DIST(A50-1,$F$11,TRUE)</f>
        <v/>
      </c>
    </row>
    <row r="51">
      <c r="A51" s="10" t="n">
        <v>21</v>
      </c>
      <c r="B51" s="18">
        <f>1-_xlfn.POISSON.DIST(A51-1,$F$11,TRUE)</f>
        <v/>
      </c>
    </row>
    <row r="52">
      <c r="A52" s="10" t="n">
        <v>22</v>
      </c>
      <c r="B52" s="18">
        <f>1-_xlfn.POISSON.DIST(A52-1,$F$11,TRUE)</f>
        <v/>
      </c>
    </row>
    <row r="53">
      <c r="A53" s="10" t="n">
        <v>23</v>
      </c>
      <c r="B53" s="18">
        <f>1-_xlfn.POISSON.DIST(A53-1,$F$11,TRUE)</f>
        <v/>
      </c>
    </row>
    <row r="54">
      <c r="A54" s="10" t="n">
        <v>24</v>
      </c>
      <c r="B54" s="18">
        <f>1-_xlfn.POISSON.DIST(A54-1,$F$11,TRUE)</f>
        <v/>
      </c>
    </row>
    <row r="55">
      <c r="A55" s="10" t="n">
        <v>25</v>
      </c>
      <c r="B55" s="18">
        <f>1-_xlfn.POISSON.DIST(A55-1,$F$11,TRUE)</f>
        <v/>
      </c>
    </row>
    <row r="56">
      <c r="A56" s="10" t="n">
        <v>26</v>
      </c>
      <c r="B56" s="18">
        <f>1-_xlfn.POISSON.DIST(A56-1,$F$11,TRUE)</f>
        <v/>
      </c>
    </row>
    <row r="57">
      <c r="A57" s="10" t="n">
        <v>27</v>
      </c>
      <c r="B57" s="18">
        <f>1-_xlfn.POISSON.DIST(A57-1,$F$11,TRUE)</f>
        <v/>
      </c>
    </row>
    <row r="58">
      <c r="A58" s="10" t="n">
        <v>28</v>
      </c>
      <c r="B58" s="18">
        <f>1-_xlfn.POISSON.DIST(A58-1,$F$11,TRUE)</f>
        <v/>
      </c>
    </row>
    <row r="59">
      <c r="A59" s="10" t="n">
        <v>29</v>
      </c>
      <c r="B59" s="18">
        <f>1-_xlfn.POISSON.DIST(A59-1,$F$11,TRUE)</f>
        <v/>
      </c>
    </row>
    <row r="60">
      <c r="A60" s="10" t="n">
        <v>30</v>
      </c>
      <c r="B60" s="18">
        <f>1-_xlfn.POISSON.DIST(A60-1,$F$11,TRUE)</f>
        <v/>
      </c>
    </row>
    <row r="61">
      <c r="A61" s="10" t="n">
        <v>31</v>
      </c>
      <c r="B61" s="18">
        <f>1-_xlfn.POISSON.DIST(A61-1,$F$11,TRUE)</f>
        <v/>
      </c>
    </row>
    <row r="62">
      <c r="A62" s="10" t="n">
        <v>32</v>
      </c>
      <c r="B62" s="18">
        <f>1-_xlfn.POISSON.DIST(A62-1,$F$11,TRUE)</f>
        <v/>
      </c>
    </row>
    <row r="63">
      <c r="A63" s="10" t="n">
        <v>33</v>
      </c>
      <c r="B63" s="18">
        <f>1-_xlfn.POISSON.DIST(A63-1,$F$11,TRUE)</f>
        <v/>
      </c>
    </row>
    <row r="64">
      <c r="A64" s="10" t="n">
        <v>34</v>
      </c>
      <c r="B64" s="18">
        <f>1-_xlfn.POISSON.DIST(A64-1,$F$11,TRUE)</f>
        <v/>
      </c>
    </row>
    <row r="65">
      <c r="A65" s="10" t="n">
        <v>35</v>
      </c>
      <c r="B65" s="18">
        <f>1-_xlfn.POISSON.DIST(A65-1,$F$11,TRUE)</f>
        <v/>
      </c>
    </row>
    <row r="66">
      <c r="A66" s="10" t="n">
        <v>36</v>
      </c>
      <c r="B66" s="18">
        <f>1-_xlfn.POISSON.DIST(A66-1,$F$11,TRUE)</f>
        <v/>
      </c>
    </row>
    <row r="67">
      <c r="A67" s="10" t="n">
        <v>37</v>
      </c>
      <c r="B67" s="18">
        <f>1-_xlfn.POISSON.DIST(A67-1,$F$11,TRUE)</f>
        <v/>
      </c>
    </row>
    <row r="68">
      <c r="A68" s="10" t="n">
        <v>38</v>
      </c>
      <c r="B68" s="18">
        <f>1-_xlfn.POISSON.DIST(A68-1,$F$11,TRUE)</f>
        <v/>
      </c>
    </row>
    <row r="69">
      <c r="A69" s="10" t="n">
        <v>39</v>
      </c>
      <c r="B69" s="18">
        <f>1-_xlfn.POISSON.DIST(A69-1,$F$11,TRUE)</f>
        <v/>
      </c>
    </row>
    <row r="70">
      <c r="A70" s="10" t="n">
        <v>40</v>
      </c>
      <c r="B70" s="18">
        <f>1-_xlfn.POISSON.DIST(A70-1,$F$11,TRUE)</f>
        <v/>
      </c>
    </row>
    <row r="71">
      <c r="A71" s="10" t="n">
        <v>41</v>
      </c>
      <c r="B71" s="18">
        <f>1-_xlfn.POISSON.DIST(A71-1,$F$11,TRUE)</f>
        <v/>
      </c>
    </row>
    <row r="72">
      <c r="A72" s="10" t="n">
        <v>42</v>
      </c>
      <c r="B72" s="18">
        <f>1-_xlfn.POISSON.DIST(A72-1,$F$11,TRUE)</f>
        <v/>
      </c>
    </row>
    <row r="73">
      <c r="A73" s="10" t="n">
        <v>43</v>
      </c>
      <c r="B73" s="18">
        <f>1-_xlfn.POISSON.DIST(A73-1,$F$11,TRUE)</f>
        <v/>
      </c>
    </row>
    <row r="74">
      <c r="A74" s="10" t="n">
        <v>44</v>
      </c>
      <c r="B74" s="18">
        <f>1-_xlfn.POISSON.DIST(A74-1,$F$11,TRUE)</f>
        <v/>
      </c>
    </row>
    <row r="75">
      <c r="A75" s="10" t="n">
        <v>45</v>
      </c>
      <c r="B75" s="18">
        <f>1-_xlfn.POISSON.DIST(A75-1,$F$11,TRUE)</f>
        <v/>
      </c>
    </row>
    <row r="76">
      <c r="A76" s="16" t="inlineStr">
        <is>
          <t>Order counts at L_0 = value 2</t>
        </is>
      </c>
    </row>
    <row r="77">
      <c r="A77" s="9" t="inlineStr">
        <is>
          <t>y</t>
        </is>
      </c>
      <c r="B77" s="9" t="inlineStr">
        <is>
          <t>P(D &gt;= y)</t>
        </is>
      </c>
      <c r="C77" s="9" t="inlineStr">
        <is>
          <t>n</t>
        </is>
      </c>
      <c r="D77" s="9" t="inlineStr">
        <is>
          <t>P(N &gt;= n)</t>
        </is>
      </c>
      <c r="E77" s="9" t="inlineStr">
        <is>
          <t>P(N = n)</t>
        </is>
      </c>
    </row>
    <row r="78">
      <c r="A78" s="10" t="n">
        <v>1</v>
      </c>
      <c r="B78" s="18">
        <f>1-_xlfn.POISSON.DIST(A78-1,$F$12,TRUE)</f>
        <v/>
      </c>
      <c r="C78" s="10" t="n">
        <v>0</v>
      </c>
      <c r="D78" s="18">
        <f>1</f>
        <v/>
      </c>
      <c r="E78" s="18">
        <f>D78-D79</f>
        <v/>
      </c>
    </row>
    <row r="79">
      <c r="A79" s="10" t="n">
        <v>2</v>
      </c>
      <c r="B79" s="18">
        <f>1-_xlfn.POISSON.DIST(A79-1,$F$12,TRUE)</f>
        <v/>
      </c>
      <c r="C79" s="10" t="n">
        <v>1</v>
      </c>
      <c r="D79" s="18">
        <f>AVERAGE(INDEX($B$78:$B$122,(1-1)*$B$6+1):INDEX($B$78:$B$122,1*$B$6))</f>
        <v/>
      </c>
      <c r="E79" s="18">
        <f>D79-D80</f>
        <v/>
      </c>
    </row>
    <row r="80">
      <c r="A80" s="10" t="n">
        <v>3</v>
      </c>
      <c r="B80" s="18">
        <f>1-_xlfn.POISSON.DIST(A80-1,$F$12,TRUE)</f>
        <v/>
      </c>
      <c r="C80" s="10" t="n">
        <v>2</v>
      </c>
      <c r="D80" s="18">
        <f>AVERAGE(INDEX($B$78:$B$122,(2-1)*$B$6+1):INDEX($B$78:$B$122,2*$B$6))</f>
        <v/>
      </c>
      <c r="E80" s="18">
        <f>D80-D81</f>
        <v/>
      </c>
    </row>
    <row r="81">
      <c r="A81" s="10" t="n">
        <v>4</v>
      </c>
      <c r="B81" s="18">
        <f>1-_xlfn.POISSON.DIST(A81-1,$F$12,TRUE)</f>
        <v/>
      </c>
      <c r="C81" s="10" t="n">
        <v>3</v>
      </c>
      <c r="D81" s="18">
        <f>AVERAGE(INDEX($B$78:$B$122,(3-1)*$B$6+1):INDEX($B$78:$B$122,3*$B$6))</f>
        <v/>
      </c>
      <c r="E81" s="18">
        <f>D81-D82</f>
        <v/>
      </c>
    </row>
    <row r="82">
      <c r="A82" s="10" t="n">
        <v>5</v>
      </c>
      <c r="B82" s="18">
        <f>1-_xlfn.POISSON.DIST(A82-1,$F$12,TRUE)</f>
        <v/>
      </c>
      <c r="C82" s="10" t="n">
        <v>4</v>
      </c>
      <c r="D82" s="18">
        <f>AVERAGE(INDEX($B$78:$B$122,(4-1)*$B$6+1):INDEX($B$78:$B$122,4*$B$6))</f>
        <v/>
      </c>
      <c r="E82" s="18">
        <f>D82-D83</f>
        <v/>
      </c>
    </row>
    <row r="83">
      <c r="A83" s="10" t="n">
        <v>6</v>
      </c>
      <c r="B83" s="18">
        <f>1-_xlfn.POISSON.DIST(A83-1,$F$12,TRUE)</f>
        <v/>
      </c>
      <c r="C83" s="10" t="n">
        <v>5</v>
      </c>
      <c r="D83" s="18">
        <f>AVERAGE(INDEX($B$78:$B$122,(5-1)*$B$6+1):INDEX($B$78:$B$122,5*$B$6))</f>
        <v/>
      </c>
      <c r="E83" s="18">
        <f>D83-D84</f>
        <v/>
      </c>
    </row>
    <row r="84">
      <c r="A84" s="10" t="n">
        <v>7</v>
      </c>
      <c r="B84" s="18">
        <f>1-_xlfn.POISSON.DIST(A84-1,$F$12,TRUE)</f>
        <v/>
      </c>
      <c r="C84" s="10" t="n">
        <v>6</v>
      </c>
      <c r="D84" s="18">
        <f>AVERAGE(INDEX($B$78:$B$122,(6-1)*$B$6+1):INDEX($B$78:$B$122,6*$B$6))</f>
        <v/>
      </c>
      <c r="E84" s="18">
        <f>D84-D85</f>
        <v/>
      </c>
    </row>
    <row r="85">
      <c r="A85" s="10" t="n">
        <v>8</v>
      </c>
      <c r="B85" s="18">
        <f>1-_xlfn.POISSON.DIST(A85-1,$F$12,TRUE)</f>
        <v/>
      </c>
      <c r="C85" s="10" t="n">
        <v>7</v>
      </c>
      <c r="D85" s="18">
        <f>AVERAGE(INDEX($B$78:$B$122,(7-1)*$B$6+1):INDEX($B$78:$B$122,7*$B$6))</f>
        <v/>
      </c>
      <c r="E85" s="18">
        <f>D85-D86</f>
        <v/>
      </c>
    </row>
    <row r="86">
      <c r="A86" s="10" t="n">
        <v>9</v>
      </c>
      <c r="B86" s="18">
        <f>1-_xlfn.POISSON.DIST(A86-1,$F$12,TRUE)</f>
        <v/>
      </c>
      <c r="C86" s="10" t="n">
        <v>8</v>
      </c>
      <c r="D86" s="18">
        <f>AVERAGE(INDEX($B$78:$B$122,(8-1)*$B$6+1):INDEX($B$78:$B$122,8*$B$6))</f>
        <v/>
      </c>
      <c r="E86" s="18">
        <f>D86-D87</f>
        <v/>
      </c>
    </row>
    <row r="87">
      <c r="A87" s="10" t="n">
        <v>10</v>
      </c>
      <c r="B87" s="18">
        <f>1-_xlfn.POISSON.DIST(A87-1,$F$12,TRUE)</f>
        <v/>
      </c>
      <c r="C87" s="10" t="n">
        <v>9</v>
      </c>
      <c r="D87" s="18">
        <f>AVERAGE(INDEX($B$78:$B$122,(9-1)*$B$6+1):INDEX($B$78:$B$122,9*$B$6))</f>
        <v/>
      </c>
      <c r="E87" s="18">
        <f>D87-D88</f>
        <v/>
      </c>
    </row>
    <row r="88">
      <c r="A88" s="10" t="n">
        <v>11</v>
      </c>
      <c r="B88" s="18">
        <f>1-_xlfn.POISSON.DIST(A88-1,$F$12,TRUE)</f>
        <v/>
      </c>
      <c r="C88" s="10" t="n">
        <v>10</v>
      </c>
      <c r="D88" s="18">
        <f>AVERAGE(INDEX($B$78:$B$122,(10-1)*$B$6+1):INDEX($B$78:$B$122,10*$B$6))</f>
        <v/>
      </c>
      <c r="E88" s="18">
        <f>D88-D89</f>
        <v/>
      </c>
    </row>
    <row r="89">
      <c r="A89" s="10" t="n">
        <v>12</v>
      </c>
      <c r="B89" s="18">
        <f>1-_xlfn.POISSON.DIST(A89-1,$F$12,TRUE)</f>
        <v/>
      </c>
      <c r="C89" s="10" t="n">
        <v>11</v>
      </c>
      <c r="D89" s="18">
        <f>AVERAGE(INDEX($B$78:$B$122,(11-1)*$B$6+1):INDEX($B$78:$B$122,11*$B$6))</f>
        <v/>
      </c>
      <c r="E89" s="18">
        <f>D89-D90</f>
        <v/>
      </c>
    </row>
    <row r="90">
      <c r="A90" s="10" t="n">
        <v>13</v>
      </c>
      <c r="B90" s="18">
        <f>1-_xlfn.POISSON.DIST(A90-1,$F$12,TRUE)</f>
        <v/>
      </c>
      <c r="C90" s="10" t="n">
        <v>12</v>
      </c>
      <c r="D90" s="18">
        <f>AVERAGE(INDEX($B$78:$B$122,(12-1)*$B$6+1):INDEX($B$78:$B$122,12*$B$6))</f>
        <v/>
      </c>
      <c r="E90" s="18">
        <f>D90-D91</f>
        <v/>
      </c>
    </row>
    <row r="91">
      <c r="A91" s="10" t="n">
        <v>14</v>
      </c>
      <c r="B91" s="18">
        <f>1-_xlfn.POISSON.DIST(A91-1,$F$12,TRUE)</f>
        <v/>
      </c>
      <c r="C91" s="10" t="n">
        <v>13</v>
      </c>
      <c r="D91" s="18">
        <f>AVERAGE(INDEX($B$78:$B$122,(13-1)*$B$6+1):INDEX($B$78:$B$122,13*$B$6))</f>
        <v/>
      </c>
      <c r="E91" s="18">
        <f>D91-D92</f>
        <v/>
      </c>
    </row>
    <row r="92">
      <c r="A92" s="10" t="n">
        <v>15</v>
      </c>
      <c r="B92" s="18">
        <f>1-_xlfn.POISSON.DIST(A92-1,$F$12,TRUE)</f>
        <v/>
      </c>
      <c r="C92" s="10" t="n">
        <v>14</v>
      </c>
      <c r="D92" s="18">
        <f>AVERAGE(INDEX($B$78:$B$122,(14-1)*$B$6+1):INDEX($B$78:$B$122,14*$B$6))</f>
        <v/>
      </c>
      <c r="E92" s="18">
        <f>D92-D93</f>
        <v/>
      </c>
    </row>
    <row r="93">
      <c r="A93" s="10" t="n">
        <v>16</v>
      </c>
      <c r="B93" s="18">
        <f>1-_xlfn.POISSON.DIST(A93-1,$F$12,TRUE)</f>
        <v/>
      </c>
      <c r="D93" s="18">
        <f>AVERAGE(INDEX($B$78:$B$122,(15-1)*$B$6+1):INDEX($B$78:$B$122,15*$B$6))</f>
        <v/>
      </c>
    </row>
    <row r="94">
      <c r="A94" s="10" t="n">
        <v>17</v>
      </c>
      <c r="B94" s="18">
        <f>1-_xlfn.POISSON.DIST(A94-1,$F$12,TRUE)</f>
        <v/>
      </c>
    </row>
    <row r="95">
      <c r="A95" s="10" t="n">
        <v>18</v>
      </c>
      <c r="B95" s="18">
        <f>1-_xlfn.POISSON.DIST(A95-1,$F$12,TRUE)</f>
        <v/>
      </c>
    </row>
    <row r="96">
      <c r="A96" s="10" t="n">
        <v>19</v>
      </c>
      <c r="B96" s="18">
        <f>1-_xlfn.POISSON.DIST(A96-1,$F$12,TRUE)</f>
        <v/>
      </c>
    </row>
    <row r="97">
      <c r="A97" s="10" t="n">
        <v>20</v>
      </c>
      <c r="B97" s="18">
        <f>1-_xlfn.POISSON.DIST(A97-1,$F$12,TRUE)</f>
        <v/>
      </c>
    </row>
    <row r="98">
      <c r="A98" s="10" t="n">
        <v>21</v>
      </c>
      <c r="B98" s="18">
        <f>1-_xlfn.POISSON.DIST(A98-1,$F$12,TRUE)</f>
        <v/>
      </c>
    </row>
    <row r="99">
      <c r="A99" s="10" t="n">
        <v>22</v>
      </c>
      <c r="B99" s="18">
        <f>1-_xlfn.POISSON.DIST(A99-1,$F$12,TRUE)</f>
        <v/>
      </c>
    </row>
    <row r="100">
      <c r="A100" s="10" t="n">
        <v>23</v>
      </c>
      <c r="B100" s="18">
        <f>1-_xlfn.POISSON.DIST(A100-1,$F$12,TRUE)</f>
        <v/>
      </c>
    </row>
    <row r="101">
      <c r="A101" s="10" t="n">
        <v>24</v>
      </c>
      <c r="B101" s="18">
        <f>1-_xlfn.POISSON.DIST(A101-1,$F$12,TRUE)</f>
        <v/>
      </c>
    </row>
    <row r="102">
      <c r="A102" s="10" t="n">
        <v>25</v>
      </c>
      <c r="B102" s="18">
        <f>1-_xlfn.POISSON.DIST(A102-1,$F$12,TRUE)</f>
        <v/>
      </c>
    </row>
    <row r="103">
      <c r="A103" s="10" t="n">
        <v>26</v>
      </c>
      <c r="B103" s="18">
        <f>1-_xlfn.POISSON.DIST(A103-1,$F$12,TRUE)</f>
        <v/>
      </c>
    </row>
    <row r="104">
      <c r="A104" s="10" t="n">
        <v>27</v>
      </c>
      <c r="B104" s="18">
        <f>1-_xlfn.POISSON.DIST(A104-1,$F$12,TRUE)</f>
        <v/>
      </c>
    </row>
    <row r="105">
      <c r="A105" s="10" t="n">
        <v>28</v>
      </c>
      <c r="B105" s="18">
        <f>1-_xlfn.POISSON.DIST(A105-1,$F$12,TRUE)</f>
        <v/>
      </c>
    </row>
    <row r="106">
      <c r="A106" s="10" t="n">
        <v>29</v>
      </c>
      <c r="B106" s="18">
        <f>1-_xlfn.POISSON.DIST(A106-1,$F$12,TRUE)</f>
        <v/>
      </c>
    </row>
    <row r="107">
      <c r="A107" s="10" t="n">
        <v>30</v>
      </c>
      <c r="B107" s="18">
        <f>1-_xlfn.POISSON.DIST(A107-1,$F$12,TRUE)</f>
        <v/>
      </c>
    </row>
    <row r="108">
      <c r="A108" s="10" t="n">
        <v>31</v>
      </c>
      <c r="B108" s="18">
        <f>1-_xlfn.POISSON.DIST(A108-1,$F$12,TRUE)</f>
        <v/>
      </c>
    </row>
    <row r="109">
      <c r="A109" s="10" t="n">
        <v>32</v>
      </c>
      <c r="B109" s="18">
        <f>1-_xlfn.POISSON.DIST(A109-1,$F$12,TRUE)</f>
        <v/>
      </c>
    </row>
    <row r="110">
      <c r="A110" s="10" t="n">
        <v>33</v>
      </c>
      <c r="B110" s="18">
        <f>1-_xlfn.POISSON.DIST(A110-1,$F$12,TRUE)</f>
        <v/>
      </c>
    </row>
    <row r="111">
      <c r="A111" s="10" t="n">
        <v>34</v>
      </c>
      <c r="B111" s="18">
        <f>1-_xlfn.POISSON.DIST(A111-1,$F$12,TRUE)</f>
        <v/>
      </c>
    </row>
    <row r="112">
      <c r="A112" s="10" t="n">
        <v>35</v>
      </c>
      <c r="B112" s="18">
        <f>1-_xlfn.POISSON.DIST(A112-1,$F$12,TRUE)</f>
        <v/>
      </c>
    </row>
    <row r="113">
      <c r="A113" s="10" t="n">
        <v>36</v>
      </c>
      <c r="B113" s="18">
        <f>1-_xlfn.POISSON.DIST(A113-1,$F$12,TRUE)</f>
        <v/>
      </c>
    </row>
    <row r="114">
      <c r="A114" s="10" t="n">
        <v>37</v>
      </c>
      <c r="B114" s="18">
        <f>1-_xlfn.POISSON.DIST(A114-1,$F$12,TRUE)</f>
        <v/>
      </c>
    </row>
    <row r="115">
      <c r="A115" s="10" t="n">
        <v>38</v>
      </c>
      <c r="B115" s="18">
        <f>1-_xlfn.POISSON.DIST(A115-1,$F$12,TRUE)</f>
        <v/>
      </c>
    </row>
    <row r="116">
      <c r="A116" s="10" t="n">
        <v>39</v>
      </c>
      <c r="B116" s="18">
        <f>1-_xlfn.POISSON.DIST(A116-1,$F$12,TRUE)</f>
        <v/>
      </c>
    </row>
    <row r="117">
      <c r="A117" s="10" t="n">
        <v>40</v>
      </c>
      <c r="B117" s="18">
        <f>1-_xlfn.POISSON.DIST(A117-1,$F$12,TRUE)</f>
        <v/>
      </c>
    </row>
    <row r="118">
      <c r="A118" s="10" t="n">
        <v>41</v>
      </c>
      <c r="B118" s="18">
        <f>1-_xlfn.POISSON.DIST(A118-1,$F$12,TRUE)</f>
        <v/>
      </c>
    </row>
    <row r="119">
      <c r="A119" s="10" t="n">
        <v>42</v>
      </c>
      <c r="B119" s="18">
        <f>1-_xlfn.POISSON.DIST(A119-1,$F$12,TRUE)</f>
        <v/>
      </c>
    </row>
    <row r="120">
      <c r="A120" s="10" t="n">
        <v>43</v>
      </c>
      <c r="B120" s="18">
        <f>1-_xlfn.POISSON.DIST(A120-1,$F$12,TRUE)</f>
        <v/>
      </c>
    </row>
    <row r="121">
      <c r="A121" s="10" t="n">
        <v>44</v>
      </c>
      <c r="B121" s="18">
        <f>1-_xlfn.POISSON.DIST(A121-1,$F$12,TRUE)</f>
        <v/>
      </c>
    </row>
    <row r="122">
      <c r="A122" s="10" t="n">
        <v>45</v>
      </c>
      <c r="B122" s="18">
        <f>1-_xlfn.POISSON.DIST(A122-1,$F$12,TRUE)</f>
        <v/>
      </c>
    </row>
    <row r="123">
      <c r="A123" s="16" t="inlineStr">
        <is>
          <t>Order counts at L_0 = value 3</t>
        </is>
      </c>
    </row>
    <row r="124">
      <c r="A124" s="9" t="inlineStr">
        <is>
          <t>y</t>
        </is>
      </c>
      <c r="B124" s="9" t="inlineStr">
        <is>
          <t>P(D &gt;= y)</t>
        </is>
      </c>
      <c r="C124" s="9" t="inlineStr">
        <is>
          <t>n</t>
        </is>
      </c>
      <c r="D124" s="9" t="inlineStr">
        <is>
          <t>P(N &gt;= n)</t>
        </is>
      </c>
      <c r="E124" s="9" t="inlineStr">
        <is>
          <t>P(N = n)</t>
        </is>
      </c>
    </row>
    <row r="125">
      <c r="A125" s="10" t="n">
        <v>1</v>
      </c>
      <c r="B125" s="18">
        <f>1-_xlfn.POISSON.DIST(A125-1,$F$13,TRUE)</f>
        <v/>
      </c>
      <c r="C125" s="10" t="n">
        <v>0</v>
      </c>
      <c r="D125" s="18">
        <f>1</f>
        <v/>
      </c>
      <c r="E125" s="18">
        <f>D125-D126</f>
        <v/>
      </c>
    </row>
    <row r="126">
      <c r="A126" s="10" t="n">
        <v>2</v>
      </c>
      <c r="B126" s="18">
        <f>1-_xlfn.POISSON.DIST(A126-1,$F$13,TRUE)</f>
        <v/>
      </c>
      <c r="C126" s="10" t="n">
        <v>1</v>
      </c>
      <c r="D126" s="18">
        <f>AVERAGE(INDEX($B$125:$B$169,(1-1)*$B$6+1):INDEX($B$125:$B$169,1*$B$6))</f>
        <v/>
      </c>
      <c r="E126" s="18">
        <f>D126-D127</f>
        <v/>
      </c>
    </row>
    <row r="127">
      <c r="A127" s="10" t="n">
        <v>3</v>
      </c>
      <c r="B127" s="18">
        <f>1-_xlfn.POISSON.DIST(A127-1,$F$13,TRUE)</f>
        <v/>
      </c>
      <c r="C127" s="10" t="n">
        <v>2</v>
      </c>
      <c r="D127" s="18">
        <f>AVERAGE(INDEX($B$125:$B$169,(2-1)*$B$6+1):INDEX($B$125:$B$169,2*$B$6))</f>
        <v/>
      </c>
      <c r="E127" s="18">
        <f>D127-D128</f>
        <v/>
      </c>
    </row>
    <row r="128">
      <c r="A128" s="10" t="n">
        <v>4</v>
      </c>
      <c r="B128" s="18">
        <f>1-_xlfn.POISSON.DIST(A128-1,$F$13,TRUE)</f>
        <v/>
      </c>
      <c r="C128" s="10" t="n">
        <v>3</v>
      </c>
      <c r="D128" s="18">
        <f>AVERAGE(INDEX($B$125:$B$169,(3-1)*$B$6+1):INDEX($B$125:$B$169,3*$B$6))</f>
        <v/>
      </c>
      <c r="E128" s="18">
        <f>D128-D129</f>
        <v/>
      </c>
    </row>
    <row r="129">
      <c r="A129" s="10" t="n">
        <v>5</v>
      </c>
      <c r="B129" s="18">
        <f>1-_xlfn.POISSON.DIST(A129-1,$F$13,TRUE)</f>
        <v/>
      </c>
      <c r="C129" s="10" t="n">
        <v>4</v>
      </c>
      <c r="D129" s="18">
        <f>AVERAGE(INDEX($B$125:$B$169,(4-1)*$B$6+1):INDEX($B$125:$B$169,4*$B$6))</f>
        <v/>
      </c>
      <c r="E129" s="18">
        <f>D129-D130</f>
        <v/>
      </c>
    </row>
    <row r="130">
      <c r="A130" s="10" t="n">
        <v>6</v>
      </c>
      <c r="B130" s="18">
        <f>1-_xlfn.POISSON.DIST(A130-1,$F$13,TRUE)</f>
        <v/>
      </c>
      <c r="C130" s="10" t="n">
        <v>5</v>
      </c>
      <c r="D130" s="18">
        <f>AVERAGE(INDEX($B$125:$B$169,(5-1)*$B$6+1):INDEX($B$125:$B$169,5*$B$6))</f>
        <v/>
      </c>
      <c r="E130" s="18">
        <f>D130-D131</f>
        <v/>
      </c>
    </row>
    <row r="131">
      <c r="A131" s="10" t="n">
        <v>7</v>
      </c>
      <c r="B131" s="18">
        <f>1-_xlfn.POISSON.DIST(A131-1,$F$13,TRUE)</f>
        <v/>
      </c>
      <c r="C131" s="10" t="n">
        <v>6</v>
      </c>
      <c r="D131" s="18">
        <f>AVERAGE(INDEX($B$125:$B$169,(6-1)*$B$6+1):INDEX($B$125:$B$169,6*$B$6))</f>
        <v/>
      </c>
      <c r="E131" s="18">
        <f>D131-D132</f>
        <v/>
      </c>
    </row>
    <row r="132">
      <c r="A132" s="10" t="n">
        <v>8</v>
      </c>
      <c r="B132" s="18">
        <f>1-_xlfn.POISSON.DIST(A132-1,$F$13,TRUE)</f>
        <v/>
      </c>
      <c r="C132" s="10" t="n">
        <v>7</v>
      </c>
      <c r="D132" s="18">
        <f>AVERAGE(INDEX($B$125:$B$169,(7-1)*$B$6+1):INDEX($B$125:$B$169,7*$B$6))</f>
        <v/>
      </c>
      <c r="E132" s="18">
        <f>D132-D133</f>
        <v/>
      </c>
    </row>
    <row r="133">
      <c r="A133" s="10" t="n">
        <v>9</v>
      </c>
      <c r="B133" s="18">
        <f>1-_xlfn.POISSON.DIST(A133-1,$F$13,TRUE)</f>
        <v/>
      </c>
      <c r="C133" s="10" t="n">
        <v>8</v>
      </c>
      <c r="D133" s="18">
        <f>AVERAGE(INDEX($B$125:$B$169,(8-1)*$B$6+1):INDEX($B$125:$B$169,8*$B$6))</f>
        <v/>
      </c>
      <c r="E133" s="18">
        <f>D133-D134</f>
        <v/>
      </c>
    </row>
    <row r="134">
      <c r="A134" s="10" t="n">
        <v>10</v>
      </c>
      <c r="B134" s="18">
        <f>1-_xlfn.POISSON.DIST(A134-1,$F$13,TRUE)</f>
        <v/>
      </c>
      <c r="C134" s="10" t="n">
        <v>9</v>
      </c>
      <c r="D134" s="18">
        <f>AVERAGE(INDEX($B$125:$B$169,(9-1)*$B$6+1):INDEX($B$125:$B$169,9*$B$6))</f>
        <v/>
      </c>
      <c r="E134" s="18">
        <f>D134-D135</f>
        <v/>
      </c>
    </row>
    <row r="135">
      <c r="A135" s="10" t="n">
        <v>11</v>
      </c>
      <c r="B135" s="18">
        <f>1-_xlfn.POISSON.DIST(A135-1,$F$13,TRUE)</f>
        <v/>
      </c>
      <c r="C135" s="10" t="n">
        <v>10</v>
      </c>
      <c r="D135" s="18">
        <f>AVERAGE(INDEX($B$125:$B$169,(10-1)*$B$6+1):INDEX($B$125:$B$169,10*$B$6))</f>
        <v/>
      </c>
      <c r="E135" s="18">
        <f>D135-D136</f>
        <v/>
      </c>
    </row>
    <row r="136">
      <c r="A136" s="10" t="n">
        <v>12</v>
      </c>
      <c r="B136" s="18">
        <f>1-_xlfn.POISSON.DIST(A136-1,$F$13,TRUE)</f>
        <v/>
      </c>
      <c r="C136" s="10" t="n">
        <v>11</v>
      </c>
      <c r="D136" s="18">
        <f>AVERAGE(INDEX($B$125:$B$169,(11-1)*$B$6+1):INDEX($B$125:$B$169,11*$B$6))</f>
        <v/>
      </c>
      <c r="E136" s="18">
        <f>D136-D137</f>
        <v/>
      </c>
    </row>
    <row r="137">
      <c r="A137" s="10" t="n">
        <v>13</v>
      </c>
      <c r="B137" s="18">
        <f>1-_xlfn.POISSON.DIST(A137-1,$F$13,TRUE)</f>
        <v/>
      </c>
      <c r="C137" s="10" t="n">
        <v>12</v>
      </c>
      <c r="D137" s="18">
        <f>AVERAGE(INDEX($B$125:$B$169,(12-1)*$B$6+1):INDEX($B$125:$B$169,12*$B$6))</f>
        <v/>
      </c>
      <c r="E137" s="18">
        <f>D137-D138</f>
        <v/>
      </c>
    </row>
    <row r="138">
      <c r="A138" s="10" t="n">
        <v>14</v>
      </c>
      <c r="B138" s="18">
        <f>1-_xlfn.POISSON.DIST(A138-1,$F$13,TRUE)</f>
        <v/>
      </c>
      <c r="C138" s="10" t="n">
        <v>13</v>
      </c>
      <c r="D138" s="18">
        <f>AVERAGE(INDEX($B$125:$B$169,(13-1)*$B$6+1):INDEX($B$125:$B$169,13*$B$6))</f>
        <v/>
      </c>
      <c r="E138" s="18">
        <f>D138-D139</f>
        <v/>
      </c>
    </row>
    <row r="139">
      <c r="A139" s="10" t="n">
        <v>15</v>
      </c>
      <c r="B139" s="18">
        <f>1-_xlfn.POISSON.DIST(A139-1,$F$13,TRUE)</f>
        <v/>
      </c>
      <c r="C139" s="10" t="n">
        <v>14</v>
      </c>
      <c r="D139" s="18">
        <f>AVERAGE(INDEX($B$125:$B$169,(14-1)*$B$6+1):INDEX($B$125:$B$169,14*$B$6))</f>
        <v/>
      </c>
      <c r="E139" s="18">
        <f>D139-D140</f>
        <v/>
      </c>
    </row>
    <row r="140">
      <c r="A140" s="10" t="n">
        <v>16</v>
      </c>
      <c r="B140" s="18">
        <f>1-_xlfn.POISSON.DIST(A140-1,$F$13,TRUE)</f>
        <v/>
      </c>
      <c r="D140" s="18">
        <f>AVERAGE(INDEX($B$125:$B$169,(15-1)*$B$6+1):INDEX($B$125:$B$169,15*$B$6))</f>
        <v/>
      </c>
    </row>
    <row r="141">
      <c r="A141" s="10" t="n">
        <v>17</v>
      </c>
      <c r="B141" s="18">
        <f>1-_xlfn.POISSON.DIST(A141-1,$F$13,TRUE)</f>
        <v/>
      </c>
    </row>
    <row r="142">
      <c r="A142" s="10" t="n">
        <v>18</v>
      </c>
      <c r="B142" s="18">
        <f>1-_xlfn.POISSON.DIST(A142-1,$F$13,TRUE)</f>
        <v/>
      </c>
    </row>
    <row r="143">
      <c r="A143" s="10" t="n">
        <v>19</v>
      </c>
      <c r="B143" s="18">
        <f>1-_xlfn.POISSON.DIST(A143-1,$F$13,TRUE)</f>
        <v/>
      </c>
    </row>
    <row r="144">
      <c r="A144" s="10" t="n">
        <v>20</v>
      </c>
      <c r="B144" s="18">
        <f>1-_xlfn.POISSON.DIST(A144-1,$F$13,TRUE)</f>
        <v/>
      </c>
    </row>
    <row r="145">
      <c r="A145" s="10" t="n">
        <v>21</v>
      </c>
      <c r="B145" s="18">
        <f>1-_xlfn.POISSON.DIST(A145-1,$F$13,TRUE)</f>
        <v/>
      </c>
    </row>
    <row r="146">
      <c r="A146" s="10" t="n">
        <v>22</v>
      </c>
      <c r="B146" s="18">
        <f>1-_xlfn.POISSON.DIST(A146-1,$F$13,TRUE)</f>
        <v/>
      </c>
    </row>
    <row r="147">
      <c r="A147" s="10" t="n">
        <v>23</v>
      </c>
      <c r="B147" s="18">
        <f>1-_xlfn.POISSON.DIST(A147-1,$F$13,TRUE)</f>
        <v/>
      </c>
    </row>
    <row r="148">
      <c r="A148" s="10" t="n">
        <v>24</v>
      </c>
      <c r="B148" s="18">
        <f>1-_xlfn.POISSON.DIST(A148-1,$F$13,TRUE)</f>
        <v/>
      </c>
    </row>
    <row r="149">
      <c r="A149" s="10" t="n">
        <v>25</v>
      </c>
      <c r="B149" s="18">
        <f>1-_xlfn.POISSON.DIST(A149-1,$F$13,TRUE)</f>
        <v/>
      </c>
    </row>
    <row r="150">
      <c r="A150" s="10" t="n">
        <v>26</v>
      </c>
      <c r="B150" s="18">
        <f>1-_xlfn.POISSON.DIST(A150-1,$F$13,TRUE)</f>
        <v/>
      </c>
    </row>
    <row r="151">
      <c r="A151" s="10" t="n">
        <v>27</v>
      </c>
      <c r="B151" s="18">
        <f>1-_xlfn.POISSON.DIST(A151-1,$F$13,TRUE)</f>
        <v/>
      </c>
    </row>
    <row r="152">
      <c r="A152" s="10" t="n">
        <v>28</v>
      </c>
      <c r="B152" s="18">
        <f>1-_xlfn.POISSON.DIST(A152-1,$F$13,TRUE)</f>
        <v/>
      </c>
    </row>
    <row r="153">
      <c r="A153" s="10" t="n">
        <v>29</v>
      </c>
      <c r="B153" s="18">
        <f>1-_xlfn.POISSON.DIST(A153-1,$F$13,TRUE)</f>
        <v/>
      </c>
    </row>
    <row r="154">
      <c r="A154" s="10" t="n">
        <v>30</v>
      </c>
      <c r="B154" s="18">
        <f>1-_xlfn.POISSON.DIST(A154-1,$F$13,TRUE)</f>
        <v/>
      </c>
    </row>
    <row r="155">
      <c r="A155" s="10" t="n">
        <v>31</v>
      </c>
      <c r="B155" s="18">
        <f>1-_xlfn.POISSON.DIST(A155-1,$F$13,TRUE)</f>
        <v/>
      </c>
    </row>
    <row r="156">
      <c r="A156" s="10" t="n">
        <v>32</v>
      </c>
      <c r="B156" s="18">
        <f>1-_xlfn.POISSON.DIST(A156-1,$F$13,TRUE)</f>
        <v/>
      </c>
    </row>
    <row r="157">
      <c r="A157" s="10" t="n">
        <v>33</v>
      </c>
      <c r="B157" s="18">
        <f>1-_xlfn.POISSON.DIST(A157-1,$F$13,TRUE)</f>
        <v/>
      </c>
    </row>
    <row r="158">
      <c r="A158" s="10" t="n">
        <v>34</v>
      </c>
      <c r="B158" s="18">
        <f>1-_xlfn.POISSON.DIST(A158-1,$F$13,TRUE)</f>
        <v/>
      </c>
    </row>
    <row r="159">
      <c r="A159" s="10" t="n">
        <v>35</v>
      </c>
      <c r="B159" s="18">
        <f>1-_xlfn.POISSON.DIST(A159-1,$F$13,TRUE)</f>
        <v/>
      </c>
    </row>
    <row r="160">
      <c r="A160" s="10" t="n">
        <v>36</v>
      </c>
      <c r="B160" s="18">
        <f>1-_xlfn.POISSON.DIST(A160-1,$F$13,TRUE)</f>
        <v/>
      </c>
    </row>
    <row r="161">
      <c r="A161" s="10" t="n">
        <v>37</v>
      </c>
      <c r="B161" s="18">
        <f>1-_xlfn.POISSON.DIST(A161-1,$F$13,TRUE)</f>
        <v/>
      </c>
    </row>
    <row r="162">
      <c r="A162" s="10" t="n">
        <v>38</v>
      </c>
      <c r="B162" s="18">
        <f>1-_xlfn.POISSON.DIST(A162-1,$F$13,TRUE)</f>
        <v/>
      </c>
    </row>
    <row r="163">
      <c r="A163" s="10" t="n">
        <v>39</v>
      </c>
      <c r="B163" s="18">
        <f>1-_xlfn.POISSON.DIST(A163-1,$F$13,TRUE)</f>
        <v/>
      </c>
    </row>
    <row r="164">
      <c r="A164" s="10" t="n">
        <v>40</v>
      </c>
      <c r="B164" s="18">
        <f>1-_xlfn.POISSON.DIST(A164-1,$F$13,TRUE)</f>
        <v/>
      </c>
    </row>
    <row r="165">
      <c r="A165" s="10" t="n">
        <v>41</v>
      </c>
      <c r="B165" s="18">
        <f>1-_xlfn.POISSON.DIST(A165-1,$F$13,TRUE)</f>
        <v/>
      </c>
    </row>
    <row r="166">
      <c r="A166" s="10" t="n">
        <v>42</v>
      </c>
      <c r="B166" s="18">
        <f>1-_xlfn.POISSON.DIST(A166-1,$F$13,TRUE)</f>
        <v/>
      </c>
    </row>
    <row r="167">
      <c r="A167" s="10" t="n">
        <v>43</v>
      </c>
      <c r="B167" s="18">
        <f>1-_xlfn.POISSON.DIST(A167-1,$F$13,TRUE)</f>
        <v/>
      </c>
    </row>
    <row r="168">
      <c r="A168" s="10" t="n">
        <v>44</v>
      </c>
      <c r="B168" s="18">
        <f>1-_xlfn.POISSON.DIST(A168-1,$F$13,TRUE)</f>
        <v/>
      </c>
    </row>
    <row r="169">
      <c r="A169" s="10" t="n">
        <v>45</v>
      </c>
      <c r="B169" s="18">
        <f>1-_xlfn.POISSON.DIST(A169-1,$F$13,TRUE)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</cols>
  <sheetData>
    <row r="1">
      <c r="A1" s="1" t="inlineStr">
        <is>
          <t>The two-level iteration, one band per pass</t>
        </is>
      </c>
    </row>
    <row r="2">
      <c r="A2" s="2" t="inlineStr">
        <is>
          <t>@sec-batchedmultiechelon. Type each pass's policies in the yellow cells; the sheet prices them and their neighbours and hands the wait to the next pass.</t>
        </is>
      </c>
    </row>
    <row r="4">
      <c r="A4" s="3" t="inlineStr">
        <is>
          <t>Costs and the hub's target</t>
        </is>
      </c>
    </row>
    <row r="5">
      <c r="A5" t="inlineStr">
        <is>
          <t>order cost k, both locations</t>
        </is>
      </c>
      <c r="B5" s="6" t="n">
        <v>82.5</v>
      </c>
      <c r="C5" s="2" t="inlineStr">
        <is>
          <t>dollars an order</t>
        </is>
      </c>
    </row>
    <row r="6">
      <c r="A6" t="inlineStr">
        <is>
          <t>hub fill rate target</t>
        </is>
      </c>
      <c r="B6" s="4" t="n">
        <v>0.8</v>
      </c>
      <c r="C6" s="2" t="inlineStr">
        <is>
          <t>gamma_0</t>
        </is>
      </c>
    </row>
    <row r="7">
      <c r="A7" t="inlineStr">
        <is>
          <t>h per week</t>
        </is>
      </c>
      <c r="B7" s="8">
        <f>Hub!B14</f>
        <v/>
      </c>
    </row>
    <row r="8">
      <c r="A8" t="inlineStr">
        <is>
          <t>b per week, storeroom</t>
        </is>
      </c>
      <c r="B8" s="8">
        <f>Hub!B15</f>
        <v/>
      </c>
    </row>
    <row r="9">
      <c r="A9" t="inlineStr">
        <is>
          <t>b_0 per week, hub</t>
        </is>
      </c>
      <c r="B9" s="8">
        <f>B6*B7/(1-B6)</f>
        <v/>
      </c>
      <c r="C9" s="2" t="inlineStr">
        <is>
          <t>gamma_0 h/(1 - gamma_0), so b_0/(b_0 + h) = gamma_0</t>
        </is>
      </c>
    </row>
    <row r="10">
      <c r="A10" t="inlineStr">
        <is>
          <t>lambda_j</t>
        </is>
      </c>
      <c r="B10" s="7">
        <f>Orders!B5</f>
        <v/>
      </c>
    </row>
    <row r="11">
      <c r="A11" t="inlineStr">
        <is>
          <t>lambda_o</t>
        </is>
      </c>
      <c r="B11" s="7">
        <f>Orders!B7</f>
        <v/>
      </c>
    </row>
    <row r="12">
      <c r="A12" t="inlineStr">
        <is>
          <t>O_j</t>
        </is>
      </c>
      <c r="B12" s="7">
        <f>Hub!B8</f>
        <v/>
      </c>
    </row>
    <row r="13">
      <c r="A13" t="inlineStr">
        <is>
          <t>L_0</t>
        </is>
      </c>
      <c r="B13" s="7">
        <f>Orders!B8</f>
        <v/>
      </c>
    </row>
    <row r="15">
      <c r="A15" s="9" t="inlineStr">
        <is>
          <t>pass</t>
        </is>
      </c>
      <c r="B15" s="9" t="inlineStr">
        <is>
          <t>storeroom r_j</t>
        </is>
      </c>
      <c r="C15" s="9" t="inlineStr">
        <is>
          <t>storeroom Q_j</t>
        </is>
      </c>
      <c r="D15" s="9" t="inlineStr">
        <is>
          <t>storeroom cost</t>
        </is>
      </c>
      <c r="E15" s="9" t="inlineStr">
        <is>
          <t>hub r_0</t>
        </is>
      </c>
      <c r="F15" s="9" t="inlineStr">
        <is>
          <t>hub Q_0</t>
        </is>
      </c>
      <c r="G15" s="9" t="inlineStr">
        <is>
          <t>hub cost</t>
        </is>
      </c>
      <c r="H15" s="9" t="inlineStr">
        <is>
          <t>E[W]</t>
        </is>
      </c>
      <c r="I15" s="9" t="inlineStr">
        <is>
          <t>sd W</t>
        </is>
      </c>
      <c r="J15" s="9" t="inlineStr">
        <is>
          <t>a neighbour cheaper?</t>
        </is>
      </c>
    </row>
    <row r="16">
      <c r="A16" s="10" t="n">
        <v>1</v>
      </c>
      <c r="B16" s="12">
        <f>$B$25</f>
        <v/>
      </c>
      <c r="C16" s="12">
        <f>$B$26</f>
        <v/>
      </c>
      <c r="D16" s="8">
        <f>D43</f>
        <v/>
      </c>
      <c r="E16" s="12">
        <f>$B$34</f>
        <v/>
      </c>
      <c r="F16" s="12">
        <f>$B$35</f>
        <v/>
      </c>
      <c r="G16" s="8">
        <f>D44</f>
        <v/>
      </c>
      <c r="H16" s="7">
        <f>B43</f>
        <v/>
      </c>
      <c r="I16" s="7">
        <f>SQRT(MAX(0,B44))</f>
        <v/>
      </c>
      <c r="J16" s="12">
        <f>IF(OR(I43="yes",I44="yes"),"yes","no")</f>
        <v/>
      </c>
    </row>
    <row r="17">
      <c r="A17" s="10" t="n">
        <v>2</v>
      </c>
      <c r="B17" s="12">
        <f>$B$221</f>
        <v/>
      </c>
      <c r="C17" s="12">
        <f>$B$222</f>
        <v/>
      </c>
      <c r="D17" s="8">
        <f>D239</f>
        <v/>
      </c>
      <c r="E17" s="12">
        <f>$B$230</f>
        <v/>
      </c>
      <c r="F17" s="12">
        <f>$B$231</f>
        <v/>
      </c>
      <c r="G17" s="8">
        <f>D240</f>
        <v/>
      </c>
      <c r="H17" s="7">
        <f>B239</f>
        <v/>
      </c>
      <c r="I17" s="7">
        <f>SQRT(MAX(0,B240))</f>
        <v/>
      </c>
      <c r="J17" s="12">
        <f>IF(OR(I239="yes",I240="yes"),"yes","no")</f>
        <v/>
      </c>
    </row>
    <row r="18">
      <c r="A18" s="10" t="n">
        <v>3</v>
      </c>
      <c r="B18" s="12">
        <f>$B$417</f>
        <v/>
      </c>
      <c r="C18" s="12">
        <f>$B$418</f>
        <v/>
      </c>
      <c r="D18" s="8">
        <f>D435</f>
        <v/>
      </c>
      <c r="E18" s="12">
        <f>$B$426</f>
        <v/>
      </c>
      <c r="F18" s="12">
        <f>$B$427</f>
        <v/>
      </c>
      <c r="G18" s="8">
        <f>D436</f>
        <v/>
      </c>
      <c r="H18" s="7">
        <f>B435</f>
        <v/>
      </c>
      <c r="I18" s="7">
        <f>SQRT(MAX(0,B436))</f>
        <v/>
      </c>
      <c r="J18" s="12">
        <f>IF(OR(I435="yes",I436="yes"),"yes","no")</f>
        <v/>
      </c>
    </row>
    <row r="20">
      <c r="A20" s="2" t="inlineStr">
        <is>
          <t>Pass 1 starts from no wait, which is the planner who ignores the hub. The policies stop moving at pass 2; pass 3 is the confirmation.</t>
        </is>
      </c>
    </row>
    <row r="22">
      <c r="A22" s="3" t="inlineStr">
        <is>
          <t>Pass 1</t>
        </is>
      </c>
    </row>
    <row r="23">
      <c r="A23" t="inlineStr">
        <is>
          <t>E[W] from the last pass</t>
        </is>
      </c>
      <c r="B23" s="7">
        <f>0</f>
        <v/>
      </c>
    </row>
    <row r="24">
      <c r="A24" t="inlineStr">
        <is>
          <t>Var[W] from the last pass</t>
        </is>
      </c>
      <c r="B24" s="7">
        <f>0</f>
        <v/>
      </c>
    </row>
    <row r="25">
      <c r="A25" t="inlineStr">
        <is>
          <t>storeroom r_j</t>
        </is>
      </c>
      <c r="B25" s="20" t="n">
        <v>-1</v>
      </c>
    </row>
    <row r="26">
      <c r="A26" t="inlineStr">
        <is>
          <t>storeroom Q_j</t>
        </is>
      </c>
      <c r="B26" s="20" t="n">
        <v>26</v>
      </c>
    </row>
    <row r="27">
      <c r="A27" t="inlineStr">
        <is>
          <t>storeroom mean</t>
        </is>
      </c>
      <c r="B27" s="7">
        <f>$B$10*($B$12+B23)</f>
        <v/>
      </c>
    </row>
    <row r="28">
      <c r="A28" t="inlineStr">
        <is>
          <t>storeroom variance</t>
        </is>
      </c>
      <c r="B28" s="7">
        <f>B27+$B$10^2*B24</f>
        <v/>
      </c>
    </row>
    <row r="29">
      <c r="A29" t="inlineStr">
        <is>
          <t>Poisson? (ratio &lt;= 1.05)</t>
        </is>
      </c>
      <c r="B29" s="12">
        <f>IF(B28/B27&lt;=1.05,1,0)</f>
        <v/>
      </c>
    </row>
    <row r="30">
      <c r="A30" t="inlineStr">
        <is>
          <t>p</t>
        </is>
      </c>
      <c r="B30" s="7">
        <f>IF(B29=1,"",B27/B28)</f>
        <v/>
      </c>
    </row>
    <row r="31">
      <c r="A31" t="inlineStr">
        <is>
          <t>r</t>
        </is>
      </c>
      <c r="B31" s="7">
        <f>IF(B29=1,"",B27^2/(B28-B27))</f>
        <v/>
      </c>
    </row>
    <row r="32">
      <c r="A32" t="inlineStr">
        <is>
          <t>second moment</t>
        </is>
      </c>
      <c r="B32" s="7">
        <f>B28+B27^2</f>
        <v/>
      </c>
    </row>
    <row r="34">
      <c r="A34" t="inlineStr">
        <is>
          <t>hub r_0</t>
        </is>
      </c>
      <c r="B34" s="20" t="n">
        <v>2</v>
      </c>
    </row>
    <row r="35">
      <c r="A35" t="inlineStr">
        <is>
          <t>hub Q_0</t>
        </is>
      </c>
      <c r="B35" s="20" t="n">
        <v>47</v>
      </c>
    </row>
    <row r="36">
      <c r="A36" t="inlineStr">
        <is>
          <t>hub mean</t>
        </is>
      </c>
      <c r="B36" s="7">
        <f>($B$10+$B$11)*$B$13</f>
        <v/>
      </c>
    </row>
    <row r="37">
      <c r="A37" t="inlineStr">
        <is>
          <t>hub variance, the recipe</t>
        </is>
      </c>
      <c r="B37" s="7">
        <f>$B$11*$B$13+$B$10*$B$13+B26^2/6</f>
        <v/>
      </c>
    </row>
    <row r="38">
      <c r="A38" t="inlineStr">
        <is>
          <t>p</t>
        </is>
      </c>
      <c r="B38" s="7">
        <f>B36/B37</f>
        <v/>
      </c>
    </row>
    <row r="39">
      <c r="A39" t="inlineStr">
        <is>
          <t>r</t>
        </is>
      </c>
      <c r="B39" s="7">
        <f>B36^2/(B37-B36)</f>
        <v/>
      </c>
    </row>
    <row r="40">
      <c r="A40" t="inlineStr">
        <is>
          <t>second moment</t>
        </is>
      </c>
      <c r="B40" s="7">
        <f>B37+B36^2</f>
        <v/>
      </c>
    </row>
    <row r="42">
      <c r="A42" t="inlineStr">
        <is>
          <t>hub backorders</t>
        </is>
      </c>
      <c r="B42" s="7">
        <f>(INDEX(PassOneHubLossTwo,$B$34+6)-INDEX(PassOneHubLossTwo,$B$34+$B$35+6))/$B$35</f>
        <v/>
      </c>
      <c r="D42" s="16" t="inlineStr">
        <is>
          <t>at the policy</t>
        </is>
      </c>
      <c r="E42" s="16" t="inlineStr">
        <is>
          <t>r - 1</t>
        </is>
      </c>
      <c r="F42" s="16" t="inlineStr">
        <is>
          <t>r + 1</t>
        </is>
      </c>
      <c r="G42" s="16" t="inlineStr">
        <is>
          <t>Q - 1</t>
        </is>
      </c>
      <c r="H42" s="16" t="inlineStr">
        <is>
          <t>Q + 1</t>
        </is>
      </c>
    </row>
    <row r="43">
      <c r="A43" t="inlineStr">
        <is>
          <t>E[W]</t>
        </is>
      </c>
      <c r="B43" s="7">
        <f>B42/($B$10+$B$11)</f>
        <v/>
      </c>
      <c r="C43" t="inlineStr">
        <is>
          <t>storeroom</t>
        </is>
      </c>
      <c r="D43" s="21">
        <f>$B$5*$B$10/($B$26)+$B$7*((($B$26)+1)/2+($B$25)-$B$27+(INDEX(PassOneStoreLossTwo,$B$25+6)-INDEX(PassOneStoreLossTwo,($B$25)+($B$26)+6))/($B$26))+$B$8*(INDEX(PassOneStoreLossTwo,$B$25+6)-INDEX(PassOneStoreLossTwo,($B$25)+($B$26)+6))/($B$26)</f>
        <v/>
      </c>
      <c r="E43" s="8">
        <f>$B$5*$B$10/($B$26+0)+$B$7*((($B$26+0)+1)/2+($B$25-1)-$B$27+(INDEX(PassOneStoreLossTwo,$B$25-1+6)-INDEX(PassOneStoreLossTwo,($B$25-1)+($B$26+0)+6))/($B$26+0))+$B$8*(INDEX(PassOneStoreLossTwo,$B$25-1+6)-INDEX(PassOneStoreLossTwo,($B$25-1)+($B$26+0)+6))/($B$26+0)</f>
        <v/>
      </c>
      <c r="F43" s="8">
        <f>$B$5*$B$10/($B$26+0)+$B$7*((($B$26+0)+1)/2+($B$25+1)-$B$27+(INDEX(PassOneStoreLossTwo,$B$25+1+6)-INDEX(PassOneStoreLossTwo,($B$25+1)+($B$26+0)+6))/($B$26+0))+$B$8*(INDEX(PassOneStoreLossTwo,$B$25+1+6)-INDEX(PassOneStoreLossTwo,($B$25+1)+($B$26+0)+6))/($B$26+0)</f>
        <v/>
      </c>
      <c r="G43" s="8">
        <f>$B$5*$B$10/($B$26-1)+$B$7*((($B$26-1)+1)/2+($B$25+0)-$B$27+(INDEX(PassOneStoreLossTwo,$B$25+0+6)-INDEX(PassOneStoreLossTwo,($B$25+0)+($B$26-1)+6))/($B$26-1))+$B$8*(INDEX(PassOneStoreLossTwo,$B$25+0+6)-INDEX(PassOneStoreLossTwo,($B$25+0)+($B$26-1)+6))/($B$26-1)</f>
        <v/>
      </c>
      <c r="H43" s="8">
        <f>$B$5*$B$10/($B$26+1)+$B$7*((($B$26+1)+1)/2+($B$25+0)-$B$27+(INDEX(PassOneStoreLossTwo,$B$25+0+6)-INDEX(PassOneStoreLossTwo,($B$25+0)+($B$26+1)+6))/($B$26+1))+$B$8*(INDEX(PassOneStoreLossTwo,$B$25+0+6)-INDEX(PassOneStoreLossTwo,($B$25+0)+($B$26+1)+6))/($B$26+1)</f>
        <v/>
      </c>
      <c r="I43" s="12">
        <f>IF(MIN(E43:H43)&lt;D43,"yes","no")</f>
        <v/>
      </c>
    </row>
    <row r="44">
      <c r="A44" t="inlineStr">
        <is>
          <t>Var[W]</t>
        </is>
      </c>
      <c r="B44" s="7">
        <f>(2/$B$35*SUM(INDEX(PassOneHubLossTwo,$B$34+1+6):INDEX(PassOneHubLossTwo,$B$34+$B$35+6))-B42^2)/($B$10+$B$11)^2</f>
        <v/>
      </c>
      <c r="C44" t="inlineStr">
        <is>
          <t>hub</t>
        </is>
      </c>
      <c r="D44" s="21">
        <f>$B$5*($B$10+$B$11)/($B$35)+$B$7*((($B$35)+1)/2+($B$34)-$B$36+(INDEX(PassOneHubLossTwo,$B$34+6)-INDEX(PassOneHubLossTwo,($B$34)+($B$35)+6))/($B$35))+$B$9*(INDEX(PassOneHubLossTwo,$B$34+6)-INDEX(PassOneHubLossTwo,($B$34)+($B$35)+6))/($B$35)</f>
        <v/>
      </c>
      <c r="E44" s="8">
        <f>$B$5*($B$10+$B$11)/($B$35+0)+$B$7*((($B$35+0)+1)/2+($B$34-1)-$B$36+(INDEX(PassOneHubLossTwo,$B$34-1+6)-INDEX(PassOneHubLossTwo,($B$34-1)+($B$35+0)+6))/($B$35+0))+$B$9*(INDEX(PassOneHubLossTwo,$B$34-1+6)-INDEX(PassOneHubLossTwo,($B$34-1)+($B$35+0)+6))/($B$35+0)</f>
        <v/>
      </c>
      <c r="F44" s="8">
        <f>$B$5*($B$10+$B$11)/($B$35+0)+$B$7*((($B$35+0)+1)/2+($B$34+1)-$B$36+(INDEX(PassOneHubLossTwo,$B$34+1+6)-INDEX(PassOneHubLossTwo,($B$34+1)+($B$35+0)+6))/($B$35+0))+$B$9*(INDEX(PassOneHubLossTwo,$B$34+1+6)-INDEX(PassOneHubLossTwo,($B$34+1)+($B$35+0)+6))/($B$35+0)</f>
        <v/>
      </c>
      <c r="G44" s="8">
        <f>$B$5*($B$10+$B$11)/($B$35-1)+$B$7*((($B$35-1)+1)/2+($B$34+0)-$B$36+(INDEX(PassOneHubLossTwo,$B$34+0+6)-INDEX(PassOneHubLossTwo,($B$34+0)+($B$35-1)+6))/($B$35-1))+$B$9*(INDEX(PassOneHubLossTwo,$B$34+0+6)-INDEX(PassOneHubLossTwo,($B$34+0)+($B$35-1)+6))/($B$35-1)</f>
        <v/>
      </c>
      <c r="H44" s="8">
        <f>$B$5*($B$10+$B$11)/($B$35+1)+$B$7*((($B$35+1)+1)/2+($B$34+0)-$B$36+(INDEX(PassOneHubLossTwo,$B$34+0+6)-INDEX(PassOneHubLossTwo,($B$34+0)+($B$35+1)+6))/($B$35+1))+$B$9*(INDEX(PassOneHubLossTwo,$B$34+0+6)-INDEX(PassOneHubLossTwo,($B$34+0)+($B$35+1)+6))/($B$35+1)</f>
        <v/>
      </c>
      <c r="I44" s="12">
        <f>IF(MIN(E44:H44)&lt;D44,"yes","no")</f>
        <v/>
      </c>
    </row>
    <row r="48">
      <c r="A48" s="9" t="inlineStr">
        <is>
          <t>x</t>
        </is>
      </c>
      <c r="B48" s="9" t="inlineStr">
        <is>
          <t>storeroom</t>
        </is>
      </c>
      <c r="C48" s="9" t="inlineStr">
        <is>
          <t>F</t>
        </is>
      </c>
      <c r="D48" s="9" t="inlineStr">
        <is>
          <t>LossOne</t>
        </is>
      </c>
      <c r="E48" s="9" t="inlineStr">
        <is>
          <t>LossTwo</t>
        </is>
      </c>
      <c r="F48" s="9" t="inlineStr">
        <is>
          <t>hub</t>
        </is>
      </c>
      <c r="G48" s="9" t="inlineStr">
        <is>
          <t>F</t>
        </is>
      </c>
      <c r="H48" s="9" t="inlineStr">
        <is>
          <t>LossOne</t>
        </is>
      </c>
      <c r="I48" s="9" t="inlineStr">
        <is>
          <t>LossTwo</t>
        </is>
      </c>
    </row>
    <row r="49">
      <c r="A49" s="10" t="n">
        <v>-5</v>
      </c>
      <c r="B49" s="11" t="n">
        <v>0</v>
      </c>
      <c r="C49" s="11" t="n">
        <v>0</v>
      </c>
      <c r="D49" s="11">
        <f>$B$27-A49</f>
        <v/>
      </c>
      <c r="E49" s="11">
        <f>0.5*($B$32-$B$27^2+($B$27-A49)^2-($B$27-A49))</f>
        <v/>
      </c>
      <c r="F49" s="11" t="n">
        <v>0</v>
      </c>
      <c r="G49" s="11" t="n">
        <v>0</v>
      </c>
      <c r="H49" s="11">
        <f>$B$36-A49</f>
        <v/>
      </c>
      <c r="I49" s="11">
        <f>0.5*($B$40-$B$36^2+($B$36-A49)^2-($B$36-A49))</f>
        <v/>
      </c>
    </row>
    <row r="50">
      <c r="A50" s="10" t="n">
        <v>-4</v>
      </c>
      <c r="B50" s="11" t="n">
        <v>0</v>
      </c>
      <c r="C50" s="11" t="n">
        <v>0</v>
      </c>
      <c r="D50" s="11">
        <f>$B$27-A50</f>
        <v/>
      </c>
      <c r="E50" s="11">
        <f>0.5*($B$32-$B$27^2+($B$27-A50)^2-($B$27-A50))</f>
        <v/>
      </c>
      <c r="F50" s="11" t="n">
        <v>0</v>
      </c>
      <c r="G50" s="11" t="n">
        <v>0</v>
      </c>
      <c r="H50" s="11">
        <f>$B$36-A50</f>
        <v/>
      </c>
      <c r="I50" s="11">
        <f>0.5*($B$40-$B$36^2+($B$36-A50)^2-($B$36-A50))</f>
        <v/>
      </c>
    </row>
    <row r="51">
      <c r="A51" s="10" t="n">
        <v>-3</v>
      </c>
      <c r="B51" s="11" t="n">
        <v>0</v>
      </c>
      <c r="C51" s="11" t="n">
        <v>0</v>
      </c>
      <c r="D51" s="11">
        <f>$B$27-A51</f>
        <v/>
      </c>
      <c r="E51" s="11">
        <f>0.5*($B$32-$B$27^2+($B$27-A51)^2-($B$27-A51))</f>
        <v/>
      </c>
      <c r="F51" s="11" t="n">
        <v>0</v>
      </c>
      <c r="G51" s="11" t="n">
        <v>0</v>
      </c>
      <c r="H51" s="11">
        <f>$B$36-A51</f>
        <v/>
      </c>
      <c r="I51" s="11">
        <f>0.5*($B$40-$B$36^2+($B$36-A51)^2-($B$36-A51))</f>
        <v/>
      </c>
    </row>
    <row r="52">
      <c r="A52" s="10" t="n">
        <v>-2</v>
      </c>
      <c r="B52" s="11" t="n">
        <v>0</v>
      </c>
      <c r="C52" s="11" t="n">
        <v>0</v>
      </c>
      <c r="D52" s="11">
        <f>$B$27-A52</f>
        <v/>
      </c>
      <c r="E52" s="11">
        <f>0.5*($B$32-$B$27^2+($B$27-A52)^2-($B$27-A52))</f>
        <v/>
      </c>
      <c r="F52" s="11" t="n">
        <v>0</v>
      </c>
      <c r="G52" s="11" t="n">
        <v>0</v>
      </c>
      <c r="H52" s="11">
        <f>$B$36-A52</f>
        <v/>
      </c>
      <c r="I52" s="11">
        <f>0.5*($B$40-$B$36^2+($B$36-A52)^2-($B$36-A52))</f>
        <v/>
      </c>
    </row>
    <row r="53">
      <c r="A53" s="10" t="n">
        <v>-1</v>
      </c>
      <c r="B53" s="11" t="n">
        <v>0</v>
      </c>
      <c r="C53" s="11" t="n">
        <v>0</v>
      </c>
      <c r="D53" s="11">
        <f>$B$27-A53</f>
        <v/>
      </c>
      <c r="E53" s="11">
        <f>0.5*($B$32-$B$27^2+($B$27-A53)^2-($B$27-A53))</f>
        <v/>
      </c>
      <c r="F53" s="11" t="n">
        <v>0</v>
      </c>
      <c r="G53" s="11" t="n">
        <v>0</v>
      </c>
      <c r="H53" s="11">
        <f>$B$36-A53</f>
        <v/>
      </c>
      <c r="I53" s="11">
        <f>0.5*($B$40-$B$36^2+($B$36-A53)^2-($B$36-A53))</f>
        <v/>
      </c>
    </row>
    <row r="54">
      <c r="A54" s="10" t="n">
        <v>0</v>
      </c>
      <c r="B54" s="11">
        <f>IF($B$29=1,_xlfn.POISSON.DIST(0,$B$27,FALSE),B30^B31)</f>
        <v/>
      </c>
      <c r="C54" s="11">
        <f>B54</f>
        <v/>
      </c>
      <c r="D54" s="11">
        <f>$B$27</f>
        <v/>
      </c>
      <c r="E54" s="11">
        <f>0.5*($B$32-$B$27)</f>
        <v/>
      </c>
      <c r="F54" s="11">
        <f>$B$38^$B$39</f>
        <v/>
      </c>
      <c r="G54" s="11">
        <f>F54</f>
        <v/>
      </c>
      <c r="H54" s="11">
        <f>$B$36</f>
        <v/>
      </c>
      <c r="I54" s="11">
        <f>0.5*($B$40-$B$36)</f>
        <v/>
      </c>
    </row>
    <row r="55">
      <c r="A55" s="10" t="n">
        <v>1</v>
      </c>
      <c r="B55" s="11">
        <f>IF($B$29=1,_xlfn.POISSON.DIST(1,$B$27,FALSE),B54*(B31+1-1)*(1-B30)/1)</f>
        <v/>
      </c>
      <c r="C55" s="11">
        <f>C54+B55</f>
        <v/>
      </c>
      <c r="D55" s="11">
        <f>D54-(1-C54)</f>
        <v/>
      </c>
      <c r="E55" s="11">
        <f>E54-D55</f>
        <v/>
      </c>
      <c r="F55" s="11">
        <f>F54*($B$39+1-1)*(1-$B$38)/1</f>
        <v/>
      </c>
      <c r="G55" s="11">
        <f>G54+F55</f>
        <v/>
      </c>
      <c r="H55" s="11">
        <f>H54-(1-G54)</f>
        <v/>
      </c>
      <c r="I55" s="11">
        <f>I54-H55</f>
        <v/>
      </c>
    </row>
    <row r="56">
      <c r="A56" s="10" t="n">
        <v>2</v>
      </c>
      <c r="B56" s="11">
        <f>IF($B$29=1,_xlfn.POISSON.DIST(2,$B$27,FALSE),B55*(B31+2-1)*(1-B30)/2)</f>
        <v/>
      </c>
      <c r="C56" s="11">
        <f>C55+B56</f>
        <v/>
      </c>
      <c r="D56" s="11">
        <f>D55-(1-C55)</f>
        <v/>
      </c>
      <c r="E56" s="11">
        <f>E55-D56</f>
        <v/>
      </c>
      <c r="F56" s="11">
        <f>F55*($B$39+2-1)*(1-$B$38)/2</f>
        <v/>
      </c>
      <c r="G56" s="11">
        <f>G55+F56</f>
        <v/>
      </c>
      <c r="H56" s="11">
        <f>H55-(1-G55)</f>
        <v/>
      </c>
      <c r="I56" s="11">
        <f>I55-H56</f>
        <v/>
      </c>
    </row>
    <row r="57">
      <c r="A57" s="10" t="n">
        <v>3</v>
      </c>
      <c r="B57" s="11">
        <f>IF($B$29=1,_xlfn.POISSON.DIST(3,$B$27,FALSE),B56*(B31+3-1)*(1-B30)/3)</f>
        <v/>
      </c>
      <c r="C57" s="11">
        <f>C56+B57</f>
        <v/>
      </c>
      <c r="D57" s="11">
        <f>D56-(1-C56)</f>
        <v/>
      </c>
      <c r="E57" s="11">
        <f>E56-D57</f>
        <v/>
      </c>
      <c r="F57" s="11">
        <f>F56*($B$39+3-1)*(1-$B$38)/3</f>
        <v/>
      </c>
      <c r="G57" s="11">
        <f>G56+F57</f>
        <v/>
      </c>
      <c r="H57" s="11">
        <f>H56-(1-G56)</f>
        <v/>
      </c>
      <c r="I57" s="11">
        <f>I56-H57</f>
        <v/>
      </c>
    </row>
    <row r="58">
      <c r="A58" s="10" t="n">
        <v>4</v>
      </c>
      <c r="B58" s="11">
        <f>IF($B$29=1,_xlfn.POISSON.DIST(4,$B$27,FALSE),B57*(B31+4-1)*(1-B30)/4)</f>
        <v/>
      </c>
      <c r="C58" s="11">
        <f>C57+B58</f>
        <v/>
      </c>
      <c r="D58" s="11">
        <f>D57-(1-C57)</f>
        <v/>
      </c>
      <c r="E58" s="11">
        <f>E57-D58</f>
        <v/>
      </c>
      <c r="F58" s="11">
        <f>F57*($B$39+4-1)*(1-$B$38)/4</f>
        <v/>
      </c>
      <c r="G58" s="11">
        <f>G57+F58</f>
        <v/>
      </c>
      <c r="H58" s="11">
        <f>H57-(1-G57)</f>
        <v/>
      </c>
      <c r="I58" s="11">
        <f>I57-H58</f>
        <v/>
      </c>
    </row>
    <row r="59">
      <c r="A59" s="10" t="n">
        <v>5</v>
      </c>
      <c r="B59" s="11">
        <f>IF($B$29=1,_xlfn.POISSON.DIST(5,$B$27,FALSE),B58*(B31+5-1)*(1-B30)/5)</f>
        <v/>
      </c>
      <c r="C59" s="11">
        <f>C58+B59</f>
        <v/>
      </c>
      <c r="D59" s="11">
        <f>D58-(1-C58)</f>
        <v/>
      </c>
      <c r="E59" s="11">
        <f>E58-D59</f>
        <v/>
      </c>
      <c r="F59" s="11">
        <f>F58*($B$39+5-1)*(1-$B$38)/5</f>
        <v/>
      </c>
      <c r="G59" s="11">
        <f>G58+F59</f>
        <v/>
      </c>
      <c r="H59" s="11">
        <f>H58-(1-G58)</f>
        <v/>
      </c>
      <c r="I59" s="11">
        <f>I58-H59</f>
        <v/>
      </c>
    </row>
    <row r="60">
      <c r="A60" s="10" t="n">
        <v>6</v>
      </c>
      <c r="B60" s="11">
        <f>IF($B$29=1,_xlfn.POISSON.DIST(6,$B$27,FALSE),B59*(B31+6-1)*(1-B30)/6)</f>
        <v/>
      </c>
      <c r="C60" s="11">
        <f>C59+B60</f>
        <v/>
      </c>
      <c r="D60" s="11">
        <f>D59-(1-C59)</f>
        <v/>
      </c>
      <c r="E60" s="11">
        <f>E59-D60</f>
        <v/>
      </c>
      <c r="F60" s="11">
        <f>F59*($B$39+6-1)*(1-$B$38)/6</f>
        <v/>
      </c>
      <c r="G60" s="11">
        <f>G59+F60</f>
        <v/>
      </c>
      <c r="H60" s="11">
        <f>H59-(1-G59)</f>
        <v/>
      </c>
      <c r="I60" s="11">
        <f>I59-H60</f>
        <v/>
      </c>
    </row>
    <row r="61">
      <c r="A61" s="10" t="n">
        <v>7</v>
      </c>
      <c r="B61" s="11">
        <f>IF($B$29=1,_xlfn.POISSON.DIST(7,$B$27,FALSE),B60*(B31+7-1)*(1-B30)/7)</f>
        <v/>
      </c>
      <c r="C61" s="11">
        <f>C60+B61</f>
        <v/>
      </c>
      <c r="D61" s="11">
        <f>D60-(1-C60)</f>
        <v/>
      </c>
      <c r="E61" s="11">
        <f>E60-D61</f>
        <v/>
      </c>
      <c r="F61" s="11">
        <f>F60*($B$39+7-1)*(1-$B$38)/7</f>
        <v/>
      </c>
      <c r="G61" s="11">
        <f>G60+F61</f>
        <v/>
      </c>
      <c r="H61" s="11">
        <f>H60-(1-G60)</f>
        <v/>
      </c>
      <c r="I61" s="11">
        <f>I60-H61</f>
        <v/>
      </c>
    </row>
    <row r="62">
      <c r="A62" s="10" t="n">
        <v>8</v>
      </c>
      <c r="B62" s="11">
        <f>IF($B$29=1,_xlfn.POISSON.DIST(8,$B$27,FALSE),B61*(B31+8-1)*(1-B30)/8)</f>
        <v/>
      </c>
      <c r="C62" s="11">
        <f>C61+B62</f>
        <v/>
      </c>
      <c r="D62" s="11">
        <f>D61-(1-C61)</f>
        <v/>
      </c>
      <c r="E62" s="11">
        <f>E61-D62</f>
        <v/>
      </c>
      <c r="F62" s="11">
        <f>F61*($B$39+8-1)*(1-$B$38)/8</f>
        <v/>
      </c>
      <c r="G62" s="11">
        <f>G61+F62</f>
        <v/>
      </c>
      <c r="H62" s="11">
        <f>H61-(1-G61)</f>
        <v/>
      </c>
      <c r="I62" s="11">
        <f>I61-H62</f>
        <v/>
      </c>
    </row>
    <row r="63">
      <c r="A63" s="10" t="n">
        <v>9</v>
      </c>
      <c r="B63" s="11">
        <f>IF($B$29=1,_xlfn.POISSON.DIST(9,$B$27,FALSE),B62*(B31+9-1)*(1-B30)/9)</f>
        <v/>
      </c>
      <c r="C63" s="11">
        <f>C62+B63</f>
        <v/>
      </c>
      <c r="D63" s="11">
        <f>D62-(1-C62)</f>
        <v/>
      </c>
      <c r="E63" s="11">
        <f>E62-D63</f>
        <v/>
      </c>
      <c r="F63" s="11">
        <f>F62*($B$39+9-1)*(1-$B$38)/9</f>
        <v/>
      </c>
      <c r="G63" s="11">
        <f>G62+F63</f>
        <v/>
      </c>
      <c r="H63" s="11">
        <f>H62-(1-G62)</f>
        <v/>
      </c>
      <c r="I63" s="11">
        <f>I62-H63</f>
        <v/>
      </c>
    </row>
    <row r="64">
      <c r="A64" s="10" t="n">
        <v>10</v>
      </c>
      <c r="B64" s="11">
        <f>IF($B$29=1,_xlfn.POISSON.DIST(10,$B$27,FALSE),B63*(B31+10-1)*(1-B30)/10)</f>
        <v/>
      </c>
      <c r="C64" s="11">
        <f>C63+B64</f>
        <v/>
      </c>
      <c r="D64" s="11">
        <f>D63-(1-C63)</f>
        <v/>
      </c>
      <c r="E64" s="11">
        <f>E63-D64</f>
        <v/>
      </c>
      <c r="F64" s="11">
        <f>F63*($B$39+10-1)*(1-$B$38)/10</f>
        <v/>
      </c>
      <c r="G64" s="11">
        <f>G63+F64</f>
        <v/>
      </c>
      <c r="H64" s="11">
        <f>H63-(1-G63)</f>
        <v/>
      </c>
      <c r="I64" s="11">
        <f>I63-H64</f>
        <v/>
      </c>
    </row>
    <row r="65">
      <c r="A65" s="10" t="n">
        <v>11</v>
      </c>
      <c r="B65" s="11">
        <f>IF($B$29=1,_xlfn.POISSON.DIST(11,$B$27,FALSE),B64*(B31+11-1)*(1-B30)/11)</f>
        <v/>
      </c>
      <c r="C65" s="11">
        <f>C64+B65</f>
        <v/>
      </c>
      <c r="D65" s="11">
        <f>D64-(1-C64)</f>
        <v/>
      </c>
      <c r="E65" s="11">
        <f>E64-D65</f>
        <v/>
      </c>
      <c r="F65" s="11">
        <f>F64*($B$39+11-1)*(1-$B$38)/11</f>
        <v/>
      </c>
      <c r="G65" s="11">
        <f>G64+F65</f>
        <v/>
      </c>
      <c r="H65" s="11">
        <f>H64-(1-G64)</f>
        <v/>
      </c>
      <c r="I65" s="11">
        <f>I64-H65</f>
        <v/>
      </c>
    </row>
    <row r="66">
      <c r="A66" s="10" t="n">
        <v>12</v>
      </c>
      <c r="B66" s="11">
        <f>IF($B$29=1,_xlfn.POISSON.DIST(12,$B$27,FALSE),B65*(B31+12-1)*(1-B30)/12)</f>
        <v/>
      </c>
      <c r="C66" s="11">
        <f>C65+B66</f>
        <v/>
      </c>
      <c r="D66" s="11">
        <f>D65-(1-C65)</f>
        <v/>
      </c>
      <c r="E66" s="11">
        <f>E65-D66</f>
        <v/>
      </c>
      <c r="F66" s="11">
        <f>F65*($B$39+12-1)*(1-$B$38)/12</f>
        <v/>
      </c>
      <c r="G66" s="11">
        <f>G65+F66</f>
        <v/>
      </c>
      <c r="H66" s="11">
        <f>H65-(1-G65)</f>
        <v/>
      </c>
      <c r="I66" s="11">
        <f>I65-H66</f>
        <v/>
      </c>
    </row>
    <row r="67">
      <c r="A67" s="10" t="n">
        <v>13</v>
      </c>
      <c r="B67" s="11">
        <f>IF($B$29=1,_xlfn.POISSON.DIST(13,$B$27,FALSE),B66*(B31+13-1)*(1-B30)/13)</f>
        <v/>
      </c>
      <c r="C67" s="11">
        <f>C66+B67</f>
        <v/>
      </c>
      <c r="D67" s="11">
        <f>D66-(1-C66)</f>
        <v/>
      </c>
      <c r="E67" s="11">
        <f>E66-D67</f>
        <v/>
      </c>
      <c r="F67" s="11">
        <f>F66*($B$39+13-1)*(1-$B$38)/13</f>
        <v/>
      </c>
      <c r="G67" s="11">
        <f>G66+F67</f>
        <v/>
      </c>
      <c r="H67" s="11">
        <f>H66-(1-G66)</f>
        <v/>
      </c>
      <c r="I67" s="11">
        <f>I66-H67</f>
        <v/>
      </c>
    </row>
    <row r="68">
      <c r="A68" s="10" t="n">
        <v>14</v>
      </c>
      <c r="B68" s="11">
        <f>IF($B$29=1,_xlfn.POISSON.DIST(14,$B$27,FALSE),B67*(B31+14-1)*(1-B30)/14)</f>
        <v/>
      </c>
      <c r="C68" s="11">
        <f>C67+B68</f>
        <v/>
      </c>
      <c r="D68" s="11">
        <f>D67-(1-C67)</f>
        <v/>
      </c>
      <c r="E68" s="11">
        <f>E67-D68</f>
        <v/>
      </c>
      <c r="F68" s="11">
        <f>F67*($B$39+14-1)*(1-$B$38)/14</f>
        <v/>
      </c>
      <c r="G68" s="11">
        <f>G67+F68</f>
        <v/>
      </c>
      <c r="H68" s="11">
        <f>H67-(1-G67)</f>
        <v/>
      </c>
      <c r="I68" s="11">
        <f>I67-H68</f>
        <v/>
      </c>
    </row>
    <row r="69">
      <c r="A69" s="10" t="n">
        <v>15</v>
      </c>
      <c r="B69" s="11">
        <f>IF($B$29=1,_xlfn.POISSON.DIST(15,$B$27,FALSE),B68*(B31+15-1)*(1-B30)/15)</f>
        <v/>
      </c>
      <c r="C69" s="11">
        <f>C68+B69</f>
        <v/>
      </c>
      <c r="D69" s="11">
        <f>D68-(1-C68)</f>
        <v/>
      </c>
      <c r="E69" s="11">
        <f>E68-D69</f>
        <v/>
      </c>
      <c r="F69" s="11">
        <f>F68*($B$39+15-1)*(1-$B$38)/15</f>
        <v/>
      </c>
      <c r="G69" s="11">
        <f>G68+F69</f>
        <v/>
      </c>
      <c r="H69" s="11">
        <f>H68-(1-G68)</f>
        <v/>
      </c>
      <c r="I69" s="11">
        <f>I68-H69</f>
        <v/>
      </c>
    </row>
    <row r="70">
      <c r="A70" s="10" t="n">
        <v>16</v>
      </c>
      <c r="B70" s="11">
        <f>IF($B$29=1,_xlfn.POISSON.DIST(16,$B$27,FALSE),B69*(B31+16-1)*(1-B30)/16)</f>
        <v/>
      </c>
      <c r="C70" s="11">
        <f>C69+B70</f>
        <v/>
      </c>
      <c r="D70" s="11">
        <f>D69-(1-C69)</f>
        <v/>
      </c>
      <c r="E70" s="11">
        <f>E69-D70</f>
        <v/>
      </c>
      <c r="F70" s="11">
        <f>F69*($B$39+16-1)*(1-$B$38)/16</f>
        <v/>
      </c>
      <c r="G70" s="11">
        <f>G69+F70</f>
        <v/>
      </c>
      <c r="H70" s="11">
        <f>H69-(1-G69)</f>
        <v/>
      </c>
      <c r="I70" s="11">
        <f>I69-H70</f>
        <v/>
      </c>
    </row>
    <row r="71">
      <c r="A71" s="10" t="n">
        <v>17</v>
      </c>
      <c r="B71" s="11">
        <f>IF($B$29=1,_xlfn.POISSON.DIST(17,$B$27,FALSE),B70*(B31+17-1)*(1-B30)/17)</f>
        <v/>
      </c>
      <c r="C71" s="11">
        <f>C70+B71</f>
        <v/>
      </c>
      <c r="D71" s="11">
        <f>D70-(1-C70)</f>
        <v/>
      </c>
      <c r="E71" s="11">
        <f>E70-D71</f>
        <v/>
      </c>
      <c r="F71" s="11">
        <f>F70*($B$39+17-1)*(1-$B$38)/17</f>
        <v/>
      </c>
      <c r="G71" s="11">
        <f>G70+F71</f>
        <v/>
      </c>
      <c r="H71" s="11">
        <f>H70-(1-G70)</f>
        <v/>
      </c>
      <c r="I71" s="11">
        <f>I70-H71</f>
        <v/>
      </c>
    </row>
    <row r="72">
      <c r="A72" s="10" t="n">
        <v>18</v>
      </c>
      <c r="B72" s="11">
        <f>IF($B$29=1,_xlfn.POISSON.DIST(18,$B$27,FALSE),B71*(B31+18-1)*(1-B30)/18)</f>
        <v/>
      </c>
      <c r="C72" s="11">
        <f>C71+B72</f>
        <v/>
      </c>
      <c r="D72" s="11">
        <f>D71-(1-C71)</f>
        <v/>
      </c>
      <c r="E72" s="11">
        <f>E71-D72</f>
        <v/>
      </c>
      <c r="F72" s="11">
        <f>F71*($B$39+18-1)*(1-$B$38)/18</f>
        <v/>
      </c>
      <c r="G72" s="11">
        <f>G71+F72</f>
        <v/>
      </c>
      <c r="H72" s="11">
        <f>H71-(1-G71)</f>
        <v/>
      </c>
      <c r="I72" s="11">
        <f>I71-H72</f>
        <v/>
      </c>
    </row>
    <row r="73">
      <c r="A73" s="10" t="n">
        <v>19</v>
      </c>
      <c r="B73" s="11">
        <f>IF($B$29=1,_xlfn.POISSON.DIST(19,$B$27,FALSE),B72*(B31+19-1)*(1-B30)/19)</f>
        <v/>
      </c>
      <c r="C73" s="11">
        <f>C72+B73</f>
        <v/>
      </c>
      <c r="D73" s="11">
        <f>D72-(1-C72)</f>
        <v/>
      </c>
      <c r="E73" s="11">
        <f>E72-D73</f>
        <v/>
      </c>
      <c r="F73" s="11">
        <f>F72*($B$39+19-1)*(1-$B$38)/19</f>
        <v/>
      </c>
      <c r="G73" s="11">
        <f>G72+F73</f>
        <v/>
      </c>
      <c r="H73" s="11">
        <f>H72-(1-G72)</f>
        <v/>
      </c>
      <c r="I73" s="11">
        <f>I72-H73</f>
        <v/>
      </c>
    </row>
    <row r="74">
      <c r="A74" s="10" t="n">
        <v>20</v>
      </c>
      <c r="B74" s="11">
        <f>IF($B$29=1,_xlfn.POISSON.DIST(20,$B$27,FALSE),B73*(B31+20-1)*(1-B30)/20)</f>
        <v/>
      </c>
      <c r="C74" s="11">
        <f>C73+B74</f>
        <v/>
      </c>
      <c r="D74" s="11">
        <f>D73-(1-C73)</f>
        <v/>
      </c>
      <c r="E74" s="11">
        <f>E73-D74</f>
        <v/>
      </c>
      <c r="F74" s="11">
        <f>F73*($B$39+20-1)*(1-$B$38)/20</f>
        <v/>
      </c>
      <c r="G74" s="11">
        <f>G73+F74</f>
        <v/>
      </c>
      <c r="H74" s="11">
        <f>H73-(1-G73)</f>
        <v/>
      </c>
      <c r="I74" s="11">
        <f>I73-H74</f>
        <v/>
      </c>
    </row>
    <row r="75">
      <c r="A75" s="10" t="n">
        <v>21</v>
      </c>
      <c r="B75" s="11">
        <f>IF($B$29=1,_xlfn.POISSON.DIST(21,$B$27,FALSE),B74*(B31+21-1)*(1-B30)/21)</f>
        <v/>
      </c>
      <c r="C75" s="11">
        <f>C74+B75</f>
        <v/>
      </c>
      <c r="D75" s="11">
        <f>D74-(1-C74)</f>
        <v/>
      </c>
      <c r="E75" s="11">
        <f>E74-D75</f>
        <v/>
      </c>
      <c r="F75" s="11">
        <f>F74*($B$39+21-1)*(1-$B$38)/21</f>
        <v/>
      </c>
      <c r="G75" s="11">
        <f>G74+F75</f>
        <v/>
      </c>
      <c r="H75" s="11">
        <f>H74-(1-G74)</f>
        <v/>
      </c>
      <c r="I75" s="11">
        <f>I74-H75</f>
        <v/>
      </c>
    </row>
    <row r="76">
      <c r="A76" s="10" t="n">
        <v>22</v>
      </c>
      <c r="B76" s="11">
        <f>IF($B$29=1,_xlfn.POISSON.DIST(22,$B$27,FALSE),B75*(B31+22-1)*(1-B30)/22)</f>
        <v/>
      </c>
      <c r="C76" s="11">
        <f>C75+B76</f>
        <v/>
      </c>
      <c r="D76" s="11">
        <f>D75-(1-C75)</f>
        <v/>
      </c>
      <c r="E76" s="11">
        <f>E75-D76</f>
        <v/>
      </c>
      <c r="F76" s="11">
        <f>F75*($B$39+22-1)*(1-$B$38)/22</f>
        <v/>
      </c>
      <c r="G76" s="11">
        <f>G75+F76</f>
        <v/>
      </c>
      <c r="H76" s="11">
        <f>H75-(1-G75)</f>
        <v/>
      </c>
      <c r="I76" s="11">
        <f>I75-H76</f>
        <v/>
      </c>
    </row>
    <row r="77">
      <c r="A77" s="10" t="n">
        <v>23</v>
      </c>
      <c r="B77" s="11">
        <f>IF($B$29=1,_xlfn.POISSON.DIST(23,$B$27,FALSE),B76*(B31+23-1)*(1-B30)/23)</f>
        <v/>
      </c>
      <c r="C77" s="11">
        <f>C76+B77</f>
        <v/>
      </c>
      <c r="D77" s="11">
        <f>D76-(1-C76)</f>
        <v/>
      </c>
      <c r="E77" s="11">
        <f>E76-D77</f>
        <v/>
      </c>
      <c r="F77" s="11">
        <f>F76*($B$39+23-1)*(1-$B$38)/23</f>
        <v/>
      </c>
      <c r="G77" s="11">
        <f>G76+F77</f>
        <v/>
      </c>
      <c r="H77" s="11">
        <f>H76-(1-G76)</f>
        <v/>
      </c>
      <c r="I77" s="11">
        <f>I76-H77</f>
        <v/>
      </c>
    </row>
    <row r="78">
      <c r="A78" s="10" t="n">
        <v>24</v>
      </c>
      <c r="B78" s="11">
        <f>IF($B$29=1,_xlfn.POISSON.DIST(24,$B$27,FALSE),B77*(B31+24-1)*(1-B30)/24)</f>
        <v/>
      </c>
      <c r="C78" s="11">
        <f>C77+B78</f>
        <v/>
      </c>
      <c r="D78" s="11">
        <f>D77-(1-C77)</f>
        <v/>
      </c>
      <c r="E78" s="11">
        <f>E77-D78</f>
        <v/>
      </c>
      <c r="F78" s="11">
        <f>F77*($B$39+24-1)*(1-$B$38)/24</f>
        <v/>
      </c>
      <c r="G78" s="11">
        <f>G77+F78</f>
        <v/>
      </c>
      <c r="H78" s="11">
        <f>H77-(1-G77)</f>
        <v/>
      </c>
      <c r="I78" s="11">
        <f>I77-H78</f>
        <v/>
      </c>
    </row>
    <row r="79">
      <c r="A79" s="10" t="n">
        <v>25</v>
      </c>
      <c r="B79" s="11">
        <f>IF($B$29=1,_xlfn.POISSON.DIST(25,$B$27,FALSE),B78*(B31+25-1)*(1-B30)/25)</f>
        <v/>
      </c>
      <c r="C79" s="11">
        <f>C78+B79</f>
        <v/>
      </c>
      <c r="D79" s="11">
        <f>D78-(1-C78)</f>
        <v/>
      </c>
      <c r="E79" s="11">
        <f>E78-D79</f>
        <v/>
      </c>
      <c r="F79" s="11">
        <f>F78*($B$39+25-1)*(1-$B$38)/25</f>
        <v/>
      </c>
      <c r="G79" s="11">
        <f>G78+F79</f>
        <v/>
      </c>
      <c r="H79" s="11">
        <f>H78-(1-G78)</f>
        <v/>
      </c>
      <c r="I79" s="11">
        <f>I78-H79</f>
        <v/>
      </c>
    </row>
    <row r="80">
      <c r="A80" s="10" t="n">
        <v>26</v>
      </c>
      <c r="B80" s="11">
        <f>IF($B$29=1,_xlfn.POISSON.DIST(26,$B$27,FALSE),B79*(B31+26-1)*(1-B30)/26)</f>
        <v/>
      </c>
      <c r="C80" s="11">
        <f>C79+B80</f>
        <v/>
      </c>
      <c r="D80" s="11">
        <f>D79-(1-C79)</f>
        <v/>
      </c>
      <c r="E80" s="11">
        <f>E79-D80</f>
        <v/>
      </c>
      <c r="F80" s="11">
        <f>F79*($B$39+26-1)*(1-$B$38)/26</f>
        <v/>
      </c>
      <c r="G80" s="11">
        <f>G79+F80</f>
        <v/>
      </c>
      <c r="H80" s="11">
        <f>H79-(1-G79)</f>
        <v/>
      </c>
      <c r="I80" s="11">
        <f>I79-H80</f>
        <v/>
      </c>
    </row>
    <row r="81">
      <c r="A81" s="10" t="n">
        <v>27</v>
      </c>
      <c r="B81" s="11">
        <f>IF($B$29=1,_xlfn.POISSON.DIST(27,$B$27,FALSE),B80*(B31+27-1)*(1-B30)/27)</f>
        <v/>
      </c>
      <c r="C81" s="11">
        <f>C80+B81</f>
        <v/>
      </c>
      <c r="D81" s="11">
        <f>D80-(1-C80)</f>
        <v/>
      </c>
      <c r="E81" s="11">
        <f>E80-D81</f>
        <v/>
      </c>
      <c r="F81" s="11">
        <f>F80*($B$39+27-1)*(1-$B$38)/27</f>
        <v/>
      </c>
      <c r="G81" s="11">
        <f>G80+F81</f>
        <v/>
      </c>
      <c r="H81" s="11">
        <f>H80-(1-G80)</f>
        <v/>
      </c>
      <c r="I81" s="11">
        <f>I80-H81</f>
        <v/>
      </c>
    </row>
    <row r="82">
      <c r="A82" s="10" t="n">
        <v>28</v>
      </c>
      <c r="B82" s="11">
        <f>IF($B$29=1,_xlfn.POISSON.DIST(28,$B$27,FALSE),B81*(B31+28-1)*(1-B30)/28)</f>
        <v/>
      </c>
      <c r="C82" s="11">
        <f>C81+B82</f>
        <v/>
      </c>
      <c r="D82" s="11">
        <f>D81-(1-C81)</f>
        <v/>
      </c>
      <c r="E82" s="11">
        <f>E81-D82</f>
        <v/>
      </c>
      <c r="F82" s="11">
        <f>F81*($B$39+28-1)*(1-$B$38)/28</f>
        <v/>
      </c>
      <c r="G82" s="11">
        <f>G81+F82</f>
        <v/>
      </c>
      <c r="H82" s="11">
        <f>H81-(1-G81)</f>
        <v/>
      </c>
      <c r="I82" s="11">
        <f>I81-H82</f>
        <v/>
      </c>
    </row>
    <row r="83">
      <c r="A83" s="10" t="n">
        <v>29</v>
      </c>
      <c r="B83" s="11">
        <f>IF($B$29=1,_xlfn.POISSON.DIST(29,$B$27,FALSE),B82*(B31+29-1)*(1-B30)/29)</f>
        <v/>
      </c>
      <c r="C83" s="11">
        <f>C82+B83</f>
        <v/>
      </c>
      <c r="D83" s="11">
        <f>D82-(1-C82)</f>
        <v/>
      </c>
      <c r="E83" s="11">
        <f>E82-D83</f>
        <v/>
      </c>
      <c r="F83" s="11">
        <f>F82*($B$39+29-1)*(1-$B$38)/29</f>
        <v/>
      </c>
      <c r="G83" s="11">
        <f>G82+F83</f>
        <v/>
      </c>
      <c r="H83" s="11">
        <f>H82-(1-G82)</f>
        <v/>
      </c>
      <c r="I83" s="11">
        <f>I82-H83</f>
        <v/>
      </c>
    </row>
    <row r="84">
      <c r="A84" s="10" t="n">
        <v>30</v>
      </c>
      <c r="B84" s="11">
        <f>IF($B$29=1,_xlfn.POISSON.DIST(30,$B$27,FALSE),B83*(B31+30-1)*(1-B30)/30)</f>
        <v/>
      </c>
      <c r="C84" s="11">
        <f>C83+B84</f>
        <v/>
      </c>
      <c r="D84" s="11">
        <f>D83-(1-C83)</f>
        <v/>
      </c>
      <c r="E84" s="11">
        <f>E83-D84</f>
        <v/>
      </c>
      <c r="F84" s="11">
        <f>F83*($B$39+30-1)*(1-$B$38)/30</f>
        <v/>
      </c>
      <c r="G84" s="11">
        <f>G83+F84</f>
        <v/>
      </c>
      <c r="H84" s="11">
        <f>H83-(1-G83)</f>
        <v/>
      </c>
      <c r="I84" s="11">
        <f>I83-H84</f>
        <v/>
      </c>
    </row>
    <row r="85">
      <c r="A85" s="10" t="n">
        <v>31</v>
      </c>
      <c r="B85" s="11">
        <f>IF($B$29=1,_xlfn.POISSON.DIST(31,$B$27,FALSE),B84*(B31+31-1)*(1-B30)/31)</f>
        <v/>
      </c>
      <c r="C85" s="11">
        <f>C84+B85</f>
        <v/>
      </c>
      <c r="D85" s="11">
        <f>D84-(1-C84)</f>
        <v/>
      </c>
      <c r="E85" s="11">
        <f>E84-D85</f>
        <v/>
      </c>
      <c r="F85" s="11">
        <f>F84*($B$39+31-1)*(1-$B$38)/31</f>
        <v/>
      </c>
      <c r="G85" s="11">
        <f>G84+F85</f>
        <v/>
      </c>
      <c r="H85" s="11">
        <f>H84-(1-G84)</f>
        <v/>
      </c>
      <c r="I85" s="11">
        <f>I84-H85</f>
        <v/>
      </c>
    </row>
    <row r="86">
      <c r="A86" s="10" t="n">
        <v>32</v>
      </c>
      <c r="B86" s="11">
        <f>IF($B$29=1,_xlfn.POISSON.DIST(32,$B$27,FALSE),B85*(B31+32-1)*(1-B30)/32)</f>
        <v/>
      </c>
      <c r="C86" s="11">
        <f>C85+B86</f>
        <v/>
      </c>
      <c r="D86" s="11">
        <f>D85-(1-C85)</f>
        <v/>
      </c>
      <c r="E86" s="11">
        <f>E85-D86</f>
        <v/>
      </c>
      <c r="F86" s="11">
        <f>F85*($B$39+32-1)*(1-$B$38)/32</f>
        <v/>
      </c>
      <c r="G86" s="11">
        <f>G85+F86</f>
        <v/>
      </c>
      <c r="H86" s="11">
        <f>H85-(1-G85)</f>
        <v/>
      </c>
      <c r="I86" s="11">
        <f>I85-H86</f>
        <v/>
      </c>
    </row>
    <row r="87">
      <c r="A87" s="10" t="n">
        <v>33</v>
      </c>
      <c r="B87" s="11">
        <f>IF($B$29=1,_xlfn.POISSON.DIST(33,$B$27,FALSE),B86*(B31+33-1)*(1-B30)/33)</f>
        <v/>
      </c>
      <c r="C87" s="11">
        <f>C86+B87</f>
        <v/>
      </c>
      <c r="D87" s="11">
        <f>D86-(1-C86)</f>
        <v/>
      </c>
      <c r="E87" s="11">
        <f>E86-D87</f>
        <v/>
      </c>
      <c r="F87" s="11">
        <f>F86*($B$39+33-1)*(1-$B$38)/33</f>
        <v/>
      </c>
      <c r="G87" s="11">
        <f>G86+F87</f>
        <v/>
      </c>
      <c r="H87" s="11">
        <f>H86-(1-G86)</f>
        <v/>
      </c>
      <c r="I87" s="11">
        <f>I86-H87</f>
        <v/>
      </c>
    </row>
    <row r="88">
      <c r="A88" s="10" t="n">
        <v>34</v>
      </c>
      <c r="B88" s="11">
        <f>IF($B$29=1,_xlfn.POISSON.DIST(34,$B$27,FALSE),B87*(B31+34-1)*(1-B30)/34)</f>
        <v/>
      </c>
      <c r="C88" s="11">
        <f>C87+B88</f>
        <v/>
      </c>
      <c r="D88" s="11">
        <f>D87-(1-C87)</f>
        <v/>
      </c>
      <c r="E88" s="11">
        <f>E87-D88</f>
        <v/>
      </c>
      <c r="F88" s="11">
        <f>F87*($B$39+34-1)*(1-$B$38)/34</f>
        <v/>
      </c>
      <c r="G88" s="11">
        <f>G87+F88</f>
        <v/>
      </c>
      <c r="H88" s="11">
        <f>H87-(1-G87)</f>
        <v/>
      </c>
      <c r="I88" s="11">
        <f>I87-H88</f>
        <v/>
      </c>
    </row>
    <row r="89">
      <c r="A89" s="10" t="n">
        <v>35</v>
      </c>
      <c r="B89" s="11">
        <f>IF($B$29=1,_xlfn.POISSON.DIST(35,$B$27,FALSE),B88*(B31+35-1)*(1-B30)/35)</f>
        <v/>
      </c>
      <c r="C89" s="11">
        <f>C88+B89</f>
        <v/>
      </c>
      <c r="D89" s="11">
        <f>D88-(1-C88)</f>
        <v/>
      </c>
      <c r="E89" s="11">
        <f>E88-D89</f>
        <v/>
      </c>
      <c r="F89" s="11">
        <f>F88*($B$39+35-1)*(1-$B$38)/35</f>
        <v/>
      </c>
      <c r="G89" s="11">
        <f>G88+F89</f>
        <v/>
      </c>
      <c r="H89" s="11">
        <f>H88-(1-G88)</f>
        <v/>
      </c>
      <c r="I89" s="11">
        <f>I88-H89</f>
        <v/>
      </c>
    </row>
    <row r="90">
      <c r="A90" s="10" t="n">
        <v>36</v>
      </c>
      <c r="B90" s="11">
        <f>IF($B$29=1,_xlfn.POISSON.DIST(36,$B$27,FALSE),B89*(B31+36-1)*(1-B30)/36)</f>
        <v/>
      </c>
      <c r="C90" s="11">
        <f>C89+B90</f>
        <v/>
      </c>
      <c r="D90" s="11">
        <f>D89-(1-C89)</f>
        <v/>
      </c>
      <c r="E90" s="11">
        <f>E89-D90</f>
        <v/>
      </c>
      <c r="F90" s="11">
        <f>F89*($B$39+36-1)*(1-$B$38)/36</f>
        <v/>
      </c>
      <c r="G90" s="11">
        <f>G89+F90</f>
        <v/>
      </c>
      <c r="H90" s="11">
        <f>H89-(1-G89)</f>
        <v/>
      </c>
      <c r="I90" s="11">
        <f>I89-H90</f>
        <v/>
      </c>
    </row>
    <row r="91">
      <c r="A91" s="10" t="n">
        <v>37</v>
      </c>
      <c r="B91" s="11">
        <f>IF($B$29=1,_xlfn.POISSON.DIST(37,$B$27,FALSE),B90*(B31+37-1)*(1-B30)/37)</f>
        <v/>
      </c>
      <c r="C91" s="11">
        <f>C90+B91</f>
        <v/>
      </c>
      <c r="D91" s="11">
        <f>D90-(1-C90)</f>
        <v/>
      </c>
      <c r="E91" s="11">
        <f>E90-D91</f>
        <v/>
      </c>
      <c r="F91" s="11">
        <f>F90*($B$39+37-1)*(1-$B$38)/37</f>
        <v/>
      </c>
      <c r="G91" s="11">
        <f>G90+F91</f>
        <v/>
      </c>
      <c r="H91" s="11">
        <f>H90-(1-G90)</f>
        <v/>
      </c>
      <c r="I91" s="11">
        <f>I90-H91</f>
        <v/>
      </c>
    </row>
    <row r="92">
      <c r="A92" s="10" t="n">
        <v>38</v>
      </c>
      <c r="B92" s="11">
        <f>IF($B$29=1,_xlfn.POISSON.DIST(38,$B$27,FALSE),B91*(B31+38-1)*(1-B30)/38)</f>
        <v/>
      </c>
      <c r="C92" s="11">
        <f>C91+B92</f>
        <v/>
      </c>
      <c r="D92" s="11">
        <f>D91-(1-C91)</f>
        <v/>
      </c>
      <c r="E92" s="11">
        <f>E91-D92</f>
        <v/>
      </c>
      <c r="F92" s="11">
        <f>F91*($B$39+38-1)*(1-$B$38)/38</f>
        <v/>
      </c>
      <c r="G92" s="11">
        <f>G91+F92</f>
        <v/>
      </c>
      <c r="H92" s="11">
        <f>H91-(1-G91)</f>
        <v/>
      </c>
      <c r="I92" s="11">
        <f>I91-H92</f>
        <v/>
      </c>
    </row>
    <row r="93">
      <c r="A93" s="10" t="n">
        <v>39</v>
      </c>
      <c r="B93" s="11">
        <f>IF($B$29=1,_xlfn.POISSON.DIST(39,$B$27,FALSE),B92*(B31+39-1)*(1-B30)/39)</f>
        <v/>
      </c>
      <c r="C93" s="11">
        <f>C92+B93</f>
        <v/>
      </c>
      <c r="D93" s="11">
        <f>D92-(1-C92)</f>
        <v/>
      </c>
      <c r="E93" s="11">
        <f>E92-D93</f>
        <v/>
      </c>
      <c r="F93" s="11">
        <f>F92*($B$39+39-1)*(1-$B$38)/39</f>
        <v/>
      </c>
      <c r="G93" s="11">
        <f>G92+F93</f>
        <v/>
      </c>
      <c r="H93" s="11">
        <f>H92-(1-G92)</f>
        <v/>
      </c>
      <c r="I93" s="11">
        <f>I92-H93</f>
        <v/>
      </c>
    </row>
    <row r="94">
      <c r="A94" s="10" t="n">
        <v>40</v>
      </c>
      <c r="B94" s="11">
        <f>IF($B$29=1,_xlfn.POISSON.DIST(40,$B$27,FALSE),B93*(B31+40-1)*(1-B30)/40)</f>
        <v/>
      </c>
      <c r="C94" s="11">
        <f>C93+B94</f>
        <v/>
      </c>
      <c r="D94" s="11">
        <f>D93-(1-C93)</f>
        <v/>
      </c>
      <c r="E94" s="11">
        <f>E93-D94</f>
        <v/>
      </c>
      <c r="F94" s="11">
        <f>F93*($B$39+40-1)*(1-$B$38)/40</f>
        <v/>
      </c>
      <c r="G94" s="11">
        <f>G93+F94</f>
        <v/>
      </c>
      <c r="H94" s="11">
        <f>H93-(1-G93)</f>
        <v/>
      </c>
      <c r="I94" s="11">
        <f>I93-H94</f>
        <v/>
      </c>
    </row>
    <row r="95">
      <c r="A95" s="10" t="n">
        <v>41</v>
      </c>
      <c r="B95" s="11">
        <f>IF($B$29=1,_xlfn.POISSON.DIST(41,$B$27,FALSE),B94*(B31+41-1)*(1-B30)/41)</f>
        <v/>
      </c>
      <c r="C95" s="11">
        <f>C94+B95</f>
        <v/>
      </c>
      <c r="D95" s="11">
        <f>D94-(1-C94)</f>
        <v/>
      </c>
      <c r="E95" s="11">
        <f>E94-D95</f>
        <v/>
      </c>
      <c r="F95" s="11">
        <f>F94*($B$39+41-1)*(1-$B$38)/41</f>
        <v/>
      </c>
      <c r="G95" s="11">
        <f>G94+F95</f>
        <v/>
      </c>
      <c r="H95" s="11">
        <f>H94-(1-G94)</f>
        <v/>
      </c>
      <c r="I95" s="11">
        <f>I94-H95</f>
        <v/>
      </c>
    </row>
    <row r="96">
      <c r="A96" s="10" t="n">
        <v>42</v>
      </c>
      <c r="B96" s="11">
        <f>IF($B$29=1,_xlfn.POISSON.DIST(42,$B$27,FALSE),B95*(B31+42-1)*(1-B30)/42)</f>
        <v/>
      </c>
      <c r="C96" s="11">
        <f>C95+B96</f>
        <v/>
      </c>
      <c r="D96" s="11">
        <f>D95-(1-C95)</f>
        <v/>
      </c>
      <c r="E96" s="11">
        <f>E95-D96</f>
        <v/>
      </c>
      <c r="F96" s="11">
        <f>F95*($B$39+42-1)*(1-$B$38)/42</f>
        <v/>
      </c>
      <c r="G96" s="11">
        <f>G95+F96</f>
        <v/>
      </c>
      <c r="H96" s="11">
        <f>H95-(1-G95)</f>
        <v/>
      </c>
      <c r="I96" s="11">
        <f>I95-H96</f>
        <v/>
      </c>
    </row>
    <row r="97">
      <c r="A97" s="10" t="n">
        <v>43</v>
      </c>
      <c r="B97" s="11">
        <f>IF($B$29=1,_xlfn.POISSON.DIST(43,$B$27,FALSE),B96*(B31+43-1)*(1-B30)/43)</f>
        <v/>
      </c>
      <c r="C97" s="11">
        <f>C96+B97</f>
        <v/>
      </c>
      <c r="D97" s="11">
        <f>D96-(1-C96)</f>
        <v/>
      </c>
      <c r="E97" s="11">
        <f>E96-D97</f>
        <v/>
      </c>
      <c r="F97" s="11">
        <f>F96*($B$39+43-1)*(1-$B$38)/43</f>
        <v/>
      </c>
      <c r="G97" s="11">
        <f>G96+F97</f>
        <v/>
      </c>
      <c r="H97" s="11">
        <f>H96-(1-G96)</f>
        <v/>
      </c>
      <c r="I97" s="11">
        <f>I96-H97</f>
        <v/>
      </c>
    </row>
    <row r="98">
      <c r="A98" s="10" t="n">
        <v>44</v>
      </c>
      <c r="B98" s="11">
        <f>IF($B$29=1,_xlfn.POISSON.DIST(44,$B$27,FALSE),B97*(B31+44-1)*(1-B30)/44)</f>
        <v/>
      </c>
      <c r="C98" s="11">
        <f>C97+B98</f>
        <v/>
      </c>
      <c r="D98" s="11">
        <f>D97-(1-C97)</f>
        <v/>
      </c>
      <c r="E98" s="11">
        <f>E97-D98</f>
        <v/>
      </c>
      <c r="F98" s="11">
        <f>F97*($B$39+44-1)*(1-$B$38)/44</f>
        <v/>
      </c>
      <c r="G98" s="11">
        <f>G97+F98</f>
        <v/>
      </c>
      <c r="H98" s="11">
        <f>H97-(1-G97)</f>
        <v/>
      </c>
      <c r="I98" s="11">
        <f>I97-H98</f>
        <v/>
      </c>
    </row>
    <row r="99">
      <c r="A99" s="10" t="n">
        <v>45</v>
      </c>
      <c r="B99" s="11">
        <f>IF($B$29=1,_xlfn.POISSON.DIST(45,$B$27,FALSE),B98*(B31+45-1)*(1-B30)/45)</f>
        <v/>
      </c>
      <c r="C99" s="11">
        <f>C98+B99</f>
        <v/>
      </c>
      <c r="D99" s="11">
        <f>D98-(1-C98)</f>
        <v/>
      </c>
      <c r="E99" s="11">
        <f>E98-D99</f>
        <v/>
      </c>
      <c r="F99" s="11">
        <f>F98*($B$39+45-1)*(1-$B$38)/45</f>
        <v/>
      </c>
      <c r="G99" s="11">
        <f>G98+F99</f>
        <v/>
      </c>
      <c r="H99" s="11">
        <f>H98-(1-G98)</f>
        <v/>
      </c>
      <c r="I99" s="11">
        <f>I98-H99</f>
        <v/>
      </c>
    </row>
    <row r="100">
      <c r="A100" s="10" t="n">
        <v>46</v>
      </c>
      <c r="B100" s="11">
        <f>IF($B$29=1,_xlfn.POISSON.DIST(46,$B$27,FALSE),B99*(B31+46-1)*(1-B30)/46)</f>
        <v/>
      </c>
      <c r="C100" s="11">
        <f>C99+B100</f>
        <v/>
      </c>
      <c r="D100" s="11">
        <f>D99-(1-C99)</f>
        <v/>
      </c>
      <c r="E100" s="11">
        <f>E99-D100</f>
        <v/>
      </c>
      <c r="F100" s="11">
        <f>F99*($B$39+46-1)*(1-$B$38)/46</f>
        <v/>
      </c>
      <c r="G100" s="11">
        <f>G99+F100</f>
        <v/>
      </c>
      <c r="H100" s="11">
        <f>H99-(1-G99)</f>
        <v/>
      </c>
      <c r="I100" s="11">
        <f>I99-H100</f>
        <v/>
      </c>
    </row>
    <row r="101">
      <c r="A101" s="10" t="n">
        <v>47</v>
      </c>
      <c r="B101" s="11">
        <f>IF($B$29=1,_xlfn.POISSON.DIST(47,$B$27,FALSE),B100*(B31+47-1)*(1-B30)/47)</f>
        <v/>
      </c>
      <c r="C101" s="11">
        <f>C100+B101</f>
        <v/>
      </c>
      <c r="D101" s="11">
        <f>D100-(1-C100)</f>
        <v/>
      </c>
      <c r="E101" s="11">
        <f>E100-D101</f>
        <v/>
      </c>
      <c r="F101" s="11">
        <f>F100*($B$39+47-1)*(1-$B$38)/47</f>
        <v/>
      </c>
      <c r="G101" s="11">
        <f>G100+F101</f>
        <v/>
      </c>
      <c r="H101" s="11">
        <f>H100-(1-G100)</f>
        <v/>
      </c>
      <c r="I101" s="11">
        <f>I100-H101</f>
        <v/>
      </c>
    </row>
    <row r="102">
      <c r="A102" s="10" t="n">
        <v>48</v>
      </c>
      <c r="B102" s="11">
        <f>IF($B$29=1,_xlfn.POISSON.DIST(48,$B$27,FALSE),B101*(B31+48-1)*(1-B30)/48)</f>
        <v/>
      </c>
      <c r="C102" s="11">
        <f>C101+B102</f>
        <v/>
      </c>
      <c r="D102" s="11">
        <f>D101-(1-C101)</f>
        <v/>
      </c>
      <c r="E102" s="11">
        <f>E101-D102</f>
        <v/>
      </c>
      <c r="F102" s="11">
        <f>F101*($B$39+48-1)*(1-$B$38)/48</f>
        <v/>
      </c>
      <c r="G102" s="11">
        <f>G101+F102</f>
        <v/>
      </c>
      <c r="H102" s="11">
        <f>H101-(1-G101)</f>
        <v/>
      </c>
      <c r="I102" s="11">
        <f>I101-H102</f>
        <v/>
      </c>
    </row>
    <row r="103">
      <c r="A103" s="10" t="n">
        <v>49</v>
      </c>
      <c r="B103" s="11">
        <f>IF($B$29=1,_xlfn.POISSON.DIST(49,$B$27,FALSE),B102*(B31+49-1)*(1-B30)/49)</f>
        <v/>
      </c>
      <c r="C103" s="11">
        <f>C102+B103</f>
        <v/>
      </c>
      <c r="D103" s="11">
        <f>D102-(1-C102)</f>
        <v/>
      </c>
      <c r="E103" s="11">
        <f>E102-D103</f>
        <v/>
      </c>
      <c r="F103" s="11">
        <f>F102*($B$39+49-1)*(1-$B$38)/49</f>
        <v/>
      </c>
      <c r="G103" s="11">
        <f>G102+F103</f>
        <v/>
      </c>
      <c r="H103" s="11">
        <f>H102-(1-G102)</f>
        <v/>
      </c>
      <c r="I103" s="11">
        <f>I102-H103</f>
        <v/>
      </c>
    </row>
    <row r="104">
      <c r="A104" s="10" t="n">
        <v>50</v>
      </c>
      <c r="B104" s="11">
        <f>IF($B$29=1,_xlfn.POISSON.DIST(50,$B$27,FALSE),B103*(B31+50-1)*(1-B30)/50)</f>
        <v/>
      </c>
      <c r="C104" s="11">
        <f>C103+B104</f>
        <v/>
      </c>
      <c r="D104" s="11">
        <f>D103-(1-C103)</f>
        <v/>
      </c>
      <c r="E104" s="11">
        <f>E103-D104</f>
        <v/>
      </c>
      <c r="F104" s="11">
        <f>F103*($B$39+50-1)*(1-$B$38)/50</f>
        <v/>
      </c>
      <c r="G104" s="11">
        <f>G103+F104</f>
        <v/>
      </c>
      <c r="H104" s="11">
        <f>H103-(1-G103)</f>
        <v/>
      </c>
      <c r="I104" s="11">
        <f>I103-H104</f>
        <v/>
      </c>
    </row>
    <row r="105">
      <c r="A105" s="10" t="n">
        <v>51</v>
      </c>
      <c r="B105" s="11">
        <f>IF($B$29=1,_xlfn.POISSON.DIST(51,$B$27,FALSE),B104*(B31+51-1)*(1-B30)/51)</f>
        <v/>
      </c>
      <c r="C105" s="11">
        <f>C104+B105</f>
        <v/>
      </c>
      <c r="D105" s="11">
        <f>D104-(1-C104)</f>
        <v/>
      </c>
      <c r="E105" s="11">
        <f>E104-D105</f>
        <v/>
      </c>
      <c r="F105" s="11">
        <f>F104*($B$39+51-1)*(1-$B$38)/51</f>
        <v/>
      </c>
      <c r="G105" s="11">
        <f>G104+F105</f>
        <v/>
      </c>
      <c r="H105" s="11">
        <f>H104-(1-G104)</f>
        <v/>
      </c>
      <c r="I105" s="11">
        <f>I104-H105</f>
        <v/>
      </c>
    </row>
    <row r="106">
      <c r="A106" s="10" t="n">
        <v>52</v>
      </c>
      <c r="B106" s="11">
        <f>IF($B$29=1,_xlfn.POISSON.DIST(52,$B$27,FALSE),B105*(B31+52-1)*(1-B30)/52)</f>
        <v/>
      </c>
      <c r="C106" s="11">
        <f>C105+B106</f>
        <v/>
      </c>
      <c r="D106" s="11">
        <f>D105-(1-C105)</f>
        <v/>
      </c>
      <c r="E106" s="11">
        <f>E105-D106</f>
        <v/>
      </c>
      <c r="F106" s="11">
        <f>F105*($B$39+52-1)*(1-$B$38)/52</f>
        <v/>
      </c>
      <c r="G106" s="11">
        <f>G105+F106</f>
        <v/>
      </c>
      <c r="H106" s="11">
        <f>H105-(1-G105)</f>
        <v/>
      </c>
      <c r="I106" s="11">
        <f>I105-H106</f>
        <v/>
      </c>
    </row>
    <row r="107">
      <c r="A107" s="10" t="n">
        <v>53</v>
      </c>
      <c r="B107" s="11">
        <f>IF($B$29=1,_xlfn.POISSON.DIST(53,$B$27,FALSE),B106*(B31+53-1)*(1-B30)/53)</f>
        <v/>
      </c>
      <c r="C107" s="11">
        <f>C106+B107</f>
        <v/>
      </c>
      <c r="D107" s="11">
        <f>D106-(1-C106)</f>
        <v/>
      </c>
      <c r="E107" s="11">
        <f>E106-D107</f>
        <v/>
      </c>
      <c r="F107" s="11">
        <f>F106*($B$39+53-1)*(1-$B$38)/53</f>
        <v/>
      </c>
      <c r="G107" s="11">
        <f>G106+F107</f>
        <v/>
      </c>
      <c r="H107" s="11">
        <f>H106-(1-G106)</f>
        <v/>
      </c>
      <c r="I107" s="11">
        <f>I106-H107</f>
        <v/>
      </c>
    </row>
    <row r="108">
      <c r="A108" s="10" t="n">
        <v>54</v>
      </c>
      <c r="B108" s="11">
        <f>IF($B$29=1,_xlfn.POISSON.DIST(54,$B$27,FALSE),B107*(B31+54-1)*(1-B30)/54)</f>
        <v/>
      </c>
      <c r="C108" s="11">
        <f>C107+B108</f>
        <v/>
      </c>
      <c r="D108" s="11">
        <f>D107-(1-C107)</f>
        <v/>
      </c>
      <c r="E108" s="11">
        <f>E107-D108</f>
        <v/>
      </c>
      <c r="F108" s="11">
        <f>F107*($B$39+54-1)*(1-$B$38)/54</f>
        <v/>
      </c>
      <c r="G108" s="11">
        <f>G107+F108</f>
        <v/>
      </c>
      <c r="H108" s="11">
        <f>H107-(1-G107)</f>
        <v/>
      </c>
      <c r="I108" s="11">
        <f>I107-H108</f>
        <v/>
      </c>
    </row>
    <row r="109">
      <c r="A109" s="10" t="n">
        <v>55</v>
      </c>
      <c r="B109" s="11">
        <f>IF($B$29=1,_xlfn.POISSON.DIST(55,$B$27,FALSE),B108*(B31+55-1)*(1-B30)/55)</f>
        <v/>
      </c>
      <c r="C109" s="11">
        <f>C108+B109</f>
        <v/>
      </c>
      <c r="D109" s="11">
        <f>D108-(1-C108)</f>
        <v/>
      </c>
      <c r="E109" s="11">
        <f>E108-D109</f>
        <v/>
      </c>
      <c r="F109" s="11">
        <f>F108*($B$39+55-1)*(1-$B$38)/55</f>
        <v/>
      </c>
      <c r="G109" s="11">
        <f>G108+F109</f>
        <v/>
      </c>
      <c r="H109" s="11">
        <f>H108-(1-G108)</f>
        <v/>
      </c>
      <c r="I109" s="11">
        <f>I108-H109</f>
        <v/>
      </c>
    </row>
    <row r="110">
      <c r="A110" s="10" t="n">
        <v>56</v>
      </c>
      <c r="B110" s="11">
        <f>IF($B$29=1,_xlfn.POISSON.DIST(56,$B$27,FALSE),B109*(B31+56-1)*(1-B30)/56)</f>
        <v/>
      </c>
      <c r="C110" s="11">
        <f>C109+B110</f>
        <v/>
      </c>
      <c r="D110" s="11">
        <f>D109-(1-C109)</f>
        <v/>
      </c>
      <c r="E110" s="11">
        <f>E109-D110</f>
        <v/>
      </c>
      <c r="F110" s="11">
        <f>F109*($B$39+56-1)*(1-$B$38)/56</f>
        <v/>
      </c>
      <c r="G110" s="11">
        <f>G109+F110</f>
        <v/>
      </c>
      <c r="H110" s="11">
        <f>H109-(1-G109)</f>
        <v/>
      </c>
      <c r="I110" s="11">
        <f>I109-H110</f>
        <v/>
      </c>
    </row>
    <row r="111">
      <c r="A111" s="10" t="n">
        <v>57</v>
      </c>
      <c r="B111" s="11">
        <f>IF($B$29=1,_xlfn.POISSON.DIST(57,$B$27,FALSE),B110*(B31+57-1)*(1-B30)/57)</f>
        <v/>
      </c>
      <c r="C111" s="11">
        <f>C110+B111</f>
        <v/>
      </c>
      <c r="D111" s="11">
        <f>D110-(1-C110)</f>
        <v/>
      </c>
      <c r="E111" s="11">
        <f>E110-D111</f>
        <v/>
      </c>
      <c r="F111" s="11">
        <f>F110*($B$39+57-1)*(1-$B$38)/57</f>
        <v/>
      </c>
      <c r="G111" s="11">
        <f>G110+F111</f>
        <v/>
      </c>
      <c r="H111" s="11">
        <f>H110-(1-G110)</f>
        <v/>
      </c>
      <c r="I111" s="11">
        <f>I110-H111</f>
        <v/>
      </c>
    </row>
    <row r="112">
      <c r="A112" s="10" t="n">
        <v>58</v>
      </c>
      <c r="B112" s="11">
        <f>IF($B$29=1,_xlfn.POISSON.DIST(58,$B$27,FALSE),B111*(B31+58-1)*(1-B30)/58)</f>
        <v/>
      </c>
      <c r="C112" s="11">
        <f>C111+B112</f>
        <v/>
      </c>
      <c r="D112" s="11">
        <f>D111-(1-C111)</f>
        <v/>
      </c>
      <c r="E112" s="11">
        <f>E111-D112</f>
        <v/>
      </c>
      <c r="F112" s="11">
        <f>F111*($B$39+58-1)*(1-$B$38)/58</f>
        <v/>
      </c>
      <c r="G112" s="11">
        <f>G111+F112</f>
        <v/>
      </c>
      <c r="H112" s="11">
        <f>H111-(1-G111)</f>
        <v/>
      </c>
      <c r="I112" s="11">
        <f>I111-H112</f>
        <v/>
      </c>
    </row>
    <row r="113">
      <c r="A113" s="10" t="n">
        <v>59</v>
      </c>
      <c r="B113" s="11">
        <f>IF($B$29=1,_xlfn.POISSON.DIST(59,$B$27,FALSE),B112*(B31+59-1)*(1-B30)/59)</f>
        <v/>
      </c>
      <c r="C113" s="11">
        <f>C112+B113</f>
        <v/>
      </c>
      <c r="D113" s="11">
        <f>D112-(1-C112)</f>
        <v/>
      </c>
      <c r="E113" s="11">
        <f>E112-D113</f>
        <v/>
      </c>
      <c r="F113" s="11">
        <f>F112*($B$39+59-1)*(1-$B$38)/59</f>
        <v/>
      </c>
      <c r="G113" s="11">
        <f>G112+F113</f>
        <v/>
      </c>
      <c r="H113" s="11">
        <f>H112-(1-G112)</f>
        <v/>
      </c>
      <c r="I113" s="11">
        <f>I112-H113</f>
        <v/>
      </c>
    </row>
    <row r="114">
      <c r="A114" s="10" t="n">
        <v>60</v>
      </c>
      <c r="B114" s="11">
        <f>IF($B$29=1,_xlfn.POISSON.DIST(60,$B$27,FALSE),B113*(B31+60-1)*(1-B30)/60)</f>
        <v/>
      </c>
      <c r="C114" s="11">
        <f>C113+B114</f>
        <v/>
      </c>
      <c r="D114" s="11">
        <f>D113-(1-C113)</f>
        <v/>
      </c>
      <c r="E114" s="11">
        <f>E113-D114</f>
        <v/>
      </c>
      <c r="F114" s="11">
        <f>F113*($B$39+60-1)*(1-$B$38)/60</f>
        <v/>
      </c>
      <c r="G114" s="11">
        <f>G113+F114</f>
        <v/>
      </c>
      <c r="H114" s="11">
        <f>H113-(1-G113)</f>
        <v/>
      </c>
      <c r="I114" s="11">
        <f>I113-H114</f>
        <v/>
      </c>
    </row>
    <row r="115">
      <c r="A115" s="10" t="n">
        <v>61</v>
      </c>
      <c r="B115" s="11">
        <f>IF($B$29=1,_xlfn.POISSON.DIST(61,$B$27,FALSE),B114*(B31+61-1)*(1-B30)/61)</f>
        <v/>
      </c>
      <c r="C115" s="11">
        <f>C114+B115</f>
        <v/>
      </c>
      <c r="D115" s="11">
        <f>D114-(1-C114)</f>
        <v/>
      </c>
      <c r="E115" s="11">
        <f>E114-D115</f>
        <v/>
      </c>
      <c r="F115" s="11">
        <f>F114*($B$39+61-1)*(1-$B$38)/61</f>
        <v/>
      </c>
      <c r="G115" s="11">
        <f>G114+F115</f>
        <v/>
      </c>
      <c r="H115" s="11">
        <f>H114-(1-G114)</f>
        <v/>
      </c>
      <c r="I115" s="11">
        <f>I114-H115</f>
        <v/>
      </c>
    </row>
    <row r="116">
      <c r="A116" s="10" t="n">
        <v>62</v>
      </c>
      <c r="B116" s="11">
        <f>IF($B$29=1,_xlfn.POISSON.DIST(62,$B$27,FALSE),B115*(B31+62-1)*(1-B30)/62)</f>
        <v/>
      </c>
      <c r="C116" s="11">
        <f>C115+B116</f>
        <v/>
      </c>
      <c r="D116" s="11">
        <f>D115-(1-C115)</f>
        <v/>
      </c>
      <c r="E116" s="11">
        <f>E115-D116</f>
        <v/>
      </c>
      <c r="F116" s="11">
        <f>F115*($B$39+62-1)*(1-$B$38)/62</f>
        <v/>
      </c>
      <c r="G116" s="11">
        <f>G115+F116</f>
        <v/>
      </c>
      <c r="H116" s="11">
        <f>H115-(1-G115)</f>
        <v/>
      </c>
      <c r="I116" s="11">
        <f>I115-H116</f>
        <v/>
      </c>
    </row>
    <row r="117">
      <c r="A117" s="10" t="n">
        <v>63</v>
      </c>
      <c r="B117" s="11">
        <f>IF($B$29=1,_xlfn.POISSON.DIST(63,$B$27,FALSE),B116*(B31+63-1)*(1-B30)/63)</f>
        <v/>
      </c>
      <c r="C117" s="11">
        <f>C116+B117</f>
        <v/>
      </c>
      <c r="D117" s="11">
        <f>D116-(1-C116)</f>
        <v/>
      </c>
      <c r="E117" s="11">
        <f>E116-D117</f>
        <v/>
      </c>
      <c r="F117" s="11">
        <f>F116*($B$39+63-1)*(1-$B$38)/63</f>
        <v/>
      </c>
      <c r="G117" s="11">
        <f>G116+F117</f>
        <v/>
      </c>
      <c r="H117" s="11">
        <f>H116-(1-G116)</f>
        <v/>
      </c>
      <c r="I117" s="11">
        <f>I116-H117</f>
        <v/>
      </c>
    </row>
    <row r="118">
      <c r="A118" s="10" t="n">
        <v>64</v>
      </c>
      <c r="B118" s="11">
        <f>IF($B$29=1,_xlfn.POISSON.DIST(64,$B$27,FALSE),B117*(B31+64-1)*(1-B30)/64)</f>
        <v/>
      </c>
      <c r="C118" s="11">
        <f>C117+B118</f>
        <v/>
      </c>
      <c r="D118" s="11">
        <f>D117-(1-C117)</f>
        <v/>
      </c>
      <c r="E118" s="11">
        <f>E117-D118</f>
        <v/>
      </c>
      <c r="F118" s="11">
        <f>F117*($B$39+64-1)*(1-$B$38)/64</f>
        <v/>
      </c>
      <c r="G118" s="11">
        <f>G117+F118</f>
        <v/>
      </c>
      <c r="H118" s="11">
        <f>H117-(1-G117)</f>
        <v/>
      </c>
      <c r="I118" s="11">
        <f>I117-H118</f>
        <v/>
      </c>
    </row>
    <row r="119">
      <c r="A119" s="10" t="n">
        <v>65</v>
      </c>
      <c r="B119" s="11">
        <f>IF($B$29=1,_xlfn.POISSON.DIST(65,$B$27,FALSE),B118*(B31+65-1)*(1-B30)/65)</f>
        <v/>
      </c>
      <c r="C119" s="11">
        <f>C118+B119</f>
        <v/>
      </c>
      <c r="D119" s="11">
        <f>D118-(1-C118)</f>
        <v/>
      </c>
      <c r="E119" s="11">
        <f>E118-D119</f>
        <v/>
      </c>
      <c r="F119" s="11">
        <f>F118*($B$39+65-1)*(1-$B$38)/65</f>
        <v/>
      </c>
      <c r="G119" s="11">
        <f>G118+F119</f>
        <v/>
      </c>
      <c r="H119" s="11">
        <f>H118-(1-G118)</f>
        <v/>
      </c>
      <c r="I119" s="11">
        <f>I118-H119</f>
        <v/>
      </c>
    </row>
    <row r="120">
      <c r="A120" s="10" t="n">
        <v>66</v>
      </c>
      <c r="B120" s="11">
        <f>IF($B$29=1,_xlfn.POISSON.DIST(66,$B$27,FALSE),B119*(B31+66-1)*(1-B30)/66)</f>
        <v/>
      </c>
      <c r="C120" s="11">
        <f>C119+B120</f>
        <v/>
      </c>
      <c r="D120" s="11">
        <f>D119-(1-C119)</f>
        <v/>
      </c>
      <c r="E120" s="11">
        <f>E119-D120</f>
        <v/>
      </c>
      <c r="F120" s="11">
        <f>F119*($B$39+66-1)*(1-$B$38)/66</f>
        <v/>
      </c>
      <c r="G120" s="11">
        <f>G119+F120</f>
        <v/>
      </c>
      <c r="H120" s="11">
        <f>H119-(1-G119)</f>
        <v/>
      </c>
      <c r="I120" s="11">
        <f>I119-H120</f>
        <v/>
      </c>
    </row>
    <row r="121">
      <c r="A121" s="10" t="n">
        <v>67</v>
      </c>
      <c r="B121" s="11">
        <f>IF($B$29=1,_xlfn.POISSON.DIST(67,$B$27,FALSE),B120*(B31+67-1)*(1-B30)/67)</f>
        <v/>
      </c>
      <c r="C121" s="11">
        <f>C120+B121</f>
        <v/>
      </c>
      <c r="D121" s="11">
        <f>D120-(1-C120)</f>
        <v/>
      </c>
      <c r="E121" s="11">
        <f>E120-D121</f>
        <v/>
      </c>
      <c r="F121" s="11">
        <f>F120*($B$39+67-1)*(1-$B$38)/67</f>
        <v/>
      </c>
      <c r="G121" s="11">
        <f>G120+F121</f>
        <v/>
      </c>
      <c r="H121" s="11">
        <f>H120-(1-G120)</f>
        <v/>
      </c>
      <c r="I121" s="11">
        <f>I120-H121</f>
        <v/>
      </c>
    </row>
    <row r="122">
      <c r="A122" s="10" t="n">
        <v>68</v>
      </c>
      <c r="B122" s="11">
        <f>IF($B$29=1,_xlfn.POISSON.DIST(68,$B$27,FALSE),B121*(B31+68-1)*(1-B30)/68)</f>
        <v/>
      </c>
      <c r="C122" s="11">
        <f>C121+B122</f>
        <v/>
      </c>
      <c r="D122" s="11">
        <f>D121-(1-C121)</f>
        <v/>
      </c>
      <c r="E122" s="11">
        <f>E121-D122</f>
        <v/>
      </c>
      <c r="F122" s="11">
        <f>F121*($B$39+68-1)*(1-$B$38)/68</f>
        <v/>
      </c>
      <c r="G122" s="11">
        <f>G121+F122</f>
        <v/>
      </c>
      <c r="H122" s="11">
        <f>H121-(1-G121)</f>
        <v/>
      </c>
      <c r="I122" s="11">
        <f>I121-H122</f>
        <v/>
      </c>
    </row>
    <row r="123">
      <c r="A123" s="10" t="n">
        <v>69</v>
      </c>
      <c r="B123" s="11">
        <f>IF($B$29=1,_xlfn.POISSON.DIST(69,$B$27,FALSE),B122*(B31+69-1)*(1-B30)/69)</f>
        <v/>
      </c>
      <c r="C123" s="11">
        <f>C122+B123</f>
        <v/>
      </c>
      <c r="D123" s="11">
        <f>D122-(1-C122)</f>
        <v/>
      </c>
      <c r="E123" s="11">
        <f>E122-D123</f>
        <v/>
      </c>
      <c r="F123" s="11">
        <f>F122*($B$39+69-1)*(1-$B$38)/69</f>
        <v/>
      </c>
      <c r="G123" s="11">
        <f>G122+F123</f>
        <v/>
      </c>
      <c r="H123" s="11">
        <f>H122-(1-G122)</f>
        <v/>
      </c>
      <c r="I123" s="11">
        <f>I122-H123</f>
        <v/>
      </c>
    </row>
    <row r="124">
      <c r="A124" s="10" t="n">
        <v>70</v>
      </c>
      <c r="B124" s="11">
        <f>IF($B$29=1,_xlfn.POISSON.DIST(70,$B$27,FALSE),B123*(B31+70-1)*(1-B30)/70)</f>
        <v/>
      </c>
      <c r="C124" s="11">
        <f>C123+B124</f>
        <v/>
      </c>
      <c r="D124" s="11">
        <f>D123-(1-C123)</f>
        <v/>
      </c>
      <c r="E124" s="11">
        <f>E123-D124</f>
        <v/>
      </c>
      <c r="F124" s="11">
        <f>F123*($B$39+70-1)*(1-$B$38)/70</f>
        <v/>
      </c>
      <c r="G124" s="11">
        <f>G123+F124</f>
        <v/>
      </c>
      <c r="H124" s="11">
        <f>H123-(1-G123)</f>
        <v/>
      </c>
      <c r="I124" s="11">
        <f>I123-H124</f>
        <v/>
      </c>
    </row>
    <row r="125">
      <c r="A125" s="10" t="n">
        <v>71</v>
      </c>
      <c r="B125" s="11">
        <f>IF($B$29=1,_xlfn.POISSON.DIST(71,$B$27,FALSE),B124*(B31+71-1)*(1-B30)/71)</f>
        <v/>
      </c>
      <c r="C125" s="11">
        <f>C124+B125</f>
        <v/>
      </c>
      <c r="D125" s="11">
        <f>D124-(1-C124)</f>
        <v/>
      </c>
      <c r="E125" s="11">
        <f>E124-D125</f>
        <v/>
      </c>
      <c r="F125" s="11">
        <f>F124*($B$39+71-1)*(1-$B$38)/71</f>
        <v/>
      </c>
      <c r="G125" s="11">
        <f>G124+F125</f>
        <v/>
      </c>
      <c r="H125" s="11">
        <f>H124-(1-G124)</f>
        <v/>
      </c>
      <c r="I125" s="11">
        <f>I124-H125</f>
        <v/>
      </c>
    </row>
    <row r="126">
      <c r="A126" s="10" t="n">
        <v>72</v>
      </c>
      <c r="B126" s="11">
        <f>IF($B$29=1,_xlfn.POISSON.DIST(72,$B$27,FALSE),B125*(B31+72-1)*(1-B30)/72)</f>
        <v/>
      </c>
      <c r="C126" s="11">
        <f>C125+B126</f>
        <v/>
      </c>
      <c r="D126" s="11">
        <f>D125-(1-C125)</f>
        <v/>
      </c>
      <c r="E126" s="11">
        <f>E125-D126</f>
        <v/>
      </c>
      <c r="F126" s="11">
        <f>F125*($B$39+72-1)*(1-$B$38)/72</f>
        <v/>
      </c>
      <c r="G126" s="11">
        <f>G125+F126</f>
        <v/>
      </c>
      <c r="H126" s="11">
        <f>H125-(1-G125)</f>
        <v/>
      </c>
      <c r="I126" s="11">
        <f>I125-H126</f>
        <v/>
      </c>
    </row>
    <row r="127">
      <c r="A127" s="10" t="n">
        <v>73</v>
      </c>
      <c r="B127" s="11">
        <f>IF($B$29=1,_xlfn.POISSON.DIST(73,$B$27,FALSE),B126*(B31+73-1)*(1-B30)/73)</f>
        <v/>
      </c>
      <c r="C127" s="11">
        <f>C126+B127</f>
        <v/>
      </c>
      <c r="D127" s="11">
        <f>D126-(1-C126)</f>
        <v/>
      </c>
      <c r="E127" s="11">
        <f>E126-D127</f>
        <v/>
      </c>
      <c r="F127" s="11">
        <f>F126*($B$39+73-1)*(1-$B$38)/73</f>
        <v/>
      </c>
      <c r="G127" s="11">
        <f>G126+F127</f>
        <v/>
      </c>
      <c r="H127" s="11">
        <f>H126-(1-G126)</f>
        <v/>
      </c>
      <c r="I127" s="11">
        <f>I126-H127</f>
        <v/>
      </c>
    </row>
    <row r="128">
      <c r="A128" s="10" t="n">
        <v>74</v>
      </c>
      <c r="B128" s="11">
        <f>IF($B$29=1,_xlfn.POISSON.DIST(74,$B$27,FALSE),B127*(B31+74-1)*(1-B30)/74)</f>
        <v/>
      </c>
      <c r="C128" s="11">
        <f>C127+B128</f>
        <v/>
      </c>
      <c r="D128" s="11">
        <f>D127-(1-C127)</f>
        <v/>
      </c>
      <c r="E128" s="11">
        <f>E127-D128</f>
        <v/>
      </c>
      <c r="F128" s="11">
        <f>F127*($B$39+74-1)*(1-$B$38)/74</f>
        <v/>
      </c>
      <c r="G128" s="11">
        <f>G127+F128</f>
        <v/>
      </c>
      <c r="H128" s="11">
        <f>H127-(1-G127)</f>
        <v/>
      </c>
      <c r="I128" s="11">
        <f>I127-H128</f>
        <v/>
      </c>
    </row>
    <row r="129">
      <c r="A129" s="10" t="n">
        <v>75</v>
      </c>
      <c r="B129" s="11">
        <f>IF($B$29=1,_xlfn.POISSON.DIST(75,$B$27,FALSE),B128*(B31+75-1)*(1-B30)/75)</f>
        <v/>
      </c>
      <c r="C129" s="11">
        <f>C128+B129</f>
        <v/>
      </c>
      <c r="D129" s="11">
        <f>D128-(1-C128)</f>
        <v/>
      </c>
      <c r="E129" s="11">
        <f>E128-D129</f>
        <v/>
      </c>
      <c r="F129" s="11">
        <f>F128*($B$39+75-1)*(1-$B$38)/75</f>
        <v/>
      </c>
      <c r="G129" s="11">
        <f>G128+F129</f>
        <v/>
      </c>
      <c r="H129" s="11">
        <f>H128-(1-G128)</f>
        <v/>
      </c>
      <c r="I129" s="11">
        <f>I128-H129</f>
        <v/>
      </c>
    </row>
    <row r="130">
      <c r="A130" s="10" t="n">
        <v>76</v>
      </c>
      <c r="B130" s="11">
        <f>IF($B$29=1,_xlfn.POISSON.DIST(76,$B$27,FALSE),B129*(B31+76-1)*(1-B30)/76)</f>
        <v/>
      </c>
      <c r="C130" s="11">
        <f>C129+B130</f>
        <v/>
      </c>
      <c r="D130" s="11">
        <f>D129-(1-C129)</f>
        <v/>
      </c>
      <c r="E130" s="11">
        <f>E129-D130</f>
        <v/>
      </c>
      <c r="F130" s="11">
        <f>F129*($B$39+76-1)*(1-$B$38)/76</f>
        <v/>
      </c>
      <c r="G130" s="11">
        <f>G129+F130</f>
        <v/>
      </c>
      <c r="H130" s="11">
        <f>H129-(1-G129)</f>
        <v/>
      </c>
      <c r="I130" s="11">
        <f>I129-H130</f>
        <v/>
      </c>
    </row>
    <row r="131">
      <c r="A131" s="10" t="n">
        <v>77</v>
      </c>
      <c r="B131" s="11">
        <f>IF($B$29=1,_xlfn.POISSON.DIST(77,$B$27,FALSE),B130*(B31+77-1)*(1-B30)/77)</f>
        <v/>
      </c>
      <c r="C131" s="11">
        <f>C130+B131</f>
        <v/>
      </c>
      <c r="D131" s="11">
        <f>D130-(1-C130)</f>
        <v/>
      </c>
      <c r="E131" s="11">
        <f>E130-D131</f>
        <v/>
      </c>
      <c r="F131" s="11">
        <f>F130*($B$39+77-1)*(1-$B$38)/77</f>
        <v/>
      </c>
      <c r="G131" s="11">
        <f>G130+F131</f>
        <v/>
      </c>
      <c r="H131" s="11">
        <f>H130-(1-G130)</f>
        <v/>
      </c>
      <c r="I131" s="11">
        <f>I130-H131</f>
        <v/>
      </c>
    </row>
    <row r="132">
      <c r="A132" s="10" t="n">
        <v>78</v>
      </c>
      <c r="B132" s="11">
        <f>IF($B$29=1,_xlfn.POISSON.DIST(78,$B$27,FALSE),B131*(B31+78-1)*(1-B30)/78)</f>
        <v/>
      </c>
      <c r="C132" s="11">
        <f>C131+B132</f>
        <v/>
      </c>
      <c r="D132" s="11">
        <f>D131-(1-C131)</f>
        <v/>
      </c>
      <c r="E132" s="11">
        <f>E131-D132</f>
        <v/>
      </c>
      <c r="F132" s="11">
        <f>F131*($B$39+78-1)*(1-$B$38)/78</f>
        <v/>
      </c>
      <c r="G132" s="11">
        <f>G131+F132</f>
        <v/>
      </c>
      <c r="H132" s="11">
        <f>H131-(1-G131)</f>
        <v/>
      </c>
      <c r="I132" s="11">
        <f>I131-H132</f>
        <v/>
      </c>
    </row>
    <row r="133">
      <c r="A133" s="10" t="n">
        <v>79</v>
      </c>
      <c r="B133" s="11">
        <f>IF($B$29=1,_xlfn.POISSON.DIST(79,$B$27,FALSE),B132*(B31+79-1)*(1-B30)/79)</f>
        <v/>
      </c>
      <c r="C133" s="11">
        <f>C132+B133</f>
        <v/>
      </c>
      <c r="D133" s="11">
        <f>D132-(1-C132)</f>
        <v/>
      </c>
      <c r="E133" s="11">
        <f>E132-D133</f>
        <v/>
      </c>
      <c r="F133" s="11">
        <f>F132*($B$39+79-1)*(1-$B$38)/79</f>
        <v/>
      </c>
      <c r="G133" s="11">
        <f>G132+F133</f>
        <v/>
      </c>
      <c r="H133" s="11">
        <f>H132-(1-G132)</f>
        <v/>
      </c>
      <c r="I133" s="11">
        <f>I132-H133</f>
        <v/>
      </c>
    </row>
    <row r="134">
      <c r="A134" s="10" t="n">
        <v>80</v>
      </c>
      <c r="B134" s="11">
        <f>IF($B$29=1,_xlfn.POISSON.DIST(80,$B$27,FALSE),B133*(B31+80-1)*(1-B30)/80)</f>
        <v/>
      </c>
      <c r="C134" s="11">
        <f>C133+B134</f>
        <v/>
      </c>
      <c r="D134" s="11">
        <f>D133-(1-C133)</f>
        <v/>
      </c>
      <c r="E134" s="11">
        <f>E133-D134</f>
        <v/>
      </c>
      <c r="F134" s="11">
        <f>F133*($B$39+80-1)*(1-$B$38)/80</f>
        <v/>
      </c>
      <c r="G134" s="11">
        <f>G133+F134</f>
        <v/>
      </c>
      <c r="H134" s="11">
        <f>H133-(1-G133)</f>
        <v/>
      </c>
      <c r="I134" s="11">
        <f>I133-H134</f>
        <v/>
      </c>
    </row>
    <row r="135">
      <c r="A135" s="10" t="n">
        <v>81</v>
      </c>
      <c r="B135" s="11">
        <f>IF($B$29=1,_xlfn.POISSON.DIST(81,$B$27,FALSE),B134*(B31+81-1)*(1-B30)/81)</f>
        <v/>
      </c>
      <c r="C135" s="11">
        <f>C134+B135</f>
        <v/>
      </c>
      <c r="D135" s="11">
        <f>D134-(1-C134)</f>
        <v/>
      </c>
      <c r="E135" s="11">
        <f>E134-D135</f>
        <v/>
      </c>
      <c r="F135" s="11">
        <f>F134*($B$39+81-1)*(1-$B$38)/81</f>
        <v/>
      </c>
      <c r="G135" s="11">
        <f>G134+F135</f>
        <v/>
      </c>
      <c r="H135" s="11">
        <f>H134-(1-G134)</f>
        <v/>
      </c>
      <c r="I135" s="11">
        <f>I134-H135</f>
        <v/>
      </c>
    </row>
    <row r="136">
      <c r="A136" s="10" t="n">
        <v>82</v>
      </c>
      <c r="B136" s="11">
        <f>IF($B$29=1,_xlfn.POISSON.DIST(82,$B$27,FALSE),B135*(B31+82-1)*(1-B30)/82)</f>
        <v/>
      </c>
      <c r="C136" s="11">
        <f>C135+B136</f>
        <v/>
      </c>
      <c r="D136" s="11">
        <f>D135-(1-C135)</f>
        <v/>
      </c>
      <c r="E136" s="11">
        <f>E135-D136</f>
        <v/>
      </c>
      <c r="F136" s="11">
        <f>F135*($B$39+82-1)*(1-$B$38)/82</f>
        <v/>
      </c>
      <c r="G136" s="11">
        <f>G135+F136</f>
        <v/>
      </c>
      <c r="H136" s="11">
        <f>H135-(1-G135)</f>
        <v/>
      </c>
      <c r="I136" s="11">
        <f>I135-H136</f>
        <v/>
      </c>
    </row>
    <row r="137">
      <c r="A137" s="10" t="n">
        <v>83</v>
      </c>
      <c r="B137" s="11">
        <f>IF($B$29=1,_xlfn.POISSON.DIST(83,$B$27,FALSE),B136*(B31+83-1)*(1-B30)/83)</f>
        <v/>
      </c>
      <c r="C137" s="11">
        <f>C136+B137</f>
        <v/>
      </c>
      <c r="D137" s="11">
        <f>D136-(1-C136)</f>
        <v/>
      </c>
      <c r="E137" s="11">
        <f>E136-D137</f>
        <v/>
      </c>
      <c r="F137" s="11">
        <f>F136*($B$39+83-1)*(1-$B$38)/83</f>
        <v/>
      </c>
      <c r="G137" s="11">
        <f>G136+F137</f>
        <v/>
      </c>
      <c r="H137" s="11">
        <f>H136-(1-G136)</f>
        <v/>
      </c>
      <c r="I137" s="11">
        <f>I136-H137</f>
        <v/>
      </c>
    </row>
    <row r="138">
      <c r="A138" s="10" t="n">
        <v>84</v>
      </c>
      <c r="B138" s="11">
        <f>IF($B$29=1,_xlfn.POISSON.DIST(84,$B$27,FALSE),B137*(B31+84-1)*(1-B30)/84)</f>
        <v/>
      </c>
      <c r="C138" s="11">
        <f>C137+B138</f>
        <v/>
      </c>
      <c r="D138" s="11">
        <f>D137-(1-C137)</f>
        <v/>
      </c>
      <c r="E138" s="11">
        <f>E137-D138</f>
        <v/>
      </c>
      <c r="F138" s="11">
        <f>F137*($B$39+84-1)*(1-$B$38)/84</f>
        <v/>
      </c>
      <c r="G138" s="11">
        <f>G137+F138</f>
        <v/>
      </c>
      <c r="H138" s="11">
        <f>H137-(1-G137)</f>
        <v/>
      </c>
      <c r="I138" s="11">
        <f>I137-H138</f>
        <v/>
      </c>
    </row>
    <row r="139">
      <c r="A139" s="10" t="n">
        <v>85</v>
      </c>
      <c r="B139" s="11">
        <f>IF($B$29=1,_xlfn.POISSON.DIST(85,$B$27,FALSE),B138*(B31+85-1)*(1-B30)/85)</f>
        <v/>
      </c>
      <c r="C139" s="11">
        <f>C138+B139</f>
        <v/>
      </c>
      <c r="D139" s="11">
        <f>D138-(1-C138)</f>
        <v/>
      </c>
      <c r="E139" s="11">
        <f>E138-D139</f>
        <v/>
      </c>
      <c r="F139" s="11">
        <f>F138*($B$39+85-1)*(1-$B$38)/85</f>
        <v/>
      </c>
      <c r="G139" s="11">
        <f>G138+F139</f>
        <v/>
      </c>
      <c r="H139" s="11">
        <f>H138-(1-G138)</f>
        <v/>
      </c>
      <c r="I139" s="11">
        <f>I138-H139</f>
        <v/>
      </c>
    </row>
    <row r="140">
      <c r="A140" s="10" t="n">
        <v>86</v>
      </c>
      <c r="B140" s="11">
        <f>IF($B$29=1,_xlfn.POISSON.DIST(86,$B$27,FALSE),B139*(B31+86-1)*(1-B30)/86)</f>
        <v/>
      </c>
      <c r="C140" s="11">
        <f>C139+B140</f>
        <v/>
      </c>
      <c r="D140" s="11">
        <f>D139-(1-C139)</f>
        <v/>
      </c>
      <c r="E140" s="11">
        <f>E139-D140</f>
        <v/>
      </c>
      <c r="F140" s="11">
        <f>F139*($B$39+86-1)*(1-$B$38)/86</f>
        <v/>
      </c>
      <c r="G140" s="11">
        <f>G139+F140</f>
        <v/>
      </c>
      <c r="H140" s="11">
        <f>H139-(1-G139)</f>
        <v/>
      </c>
      <c r="I140" s="11">
        <f>I139-H140</f>
        <v/>
      </c>
    </row>
    <row r="141">
      <c r="A141" s="10" t="n">
        <v>87</v>
      </c>
      <c r="B141" s="11">
        <f>IF($B$29=1,_xlfn.POISSON.DIST(87,$B$27,FALSE),B140*(B31+87-1)*(1-B30)/87)</f>
        <v/>
      </c>
      <c r="C141" s="11">
        <f>C140+B141</f>
        <v/>
      </c>
      <c r="D141" s="11">
        <f>D140-(1-C140)</f>
        <v/>
      </c>
      <c r="E141" s="11">
        <f>E140-D141</f>
        <v/>
      </c>
      <c r="F141" s="11">
        <f>F140*($B$39+87-1)*(1-$B$38)/87</f>
        <v/>
      </c>
      <c r="G141" s="11">
        <f>G140+F141</f>
        <v/>
      </c>
      <c r="H141" s="11">
        <f>H140-(1-G140)</f>
        <v/>
      </c>
      <c r="I141" s="11">
        <f>I140-H141</f>
        <v/>
      </c>
    </row>
    <row r="142">
      <c r="A142" s="10" t="n">
        <v>88</v>
      </c>
      <c r="B142" s="11">
        <f>IF($B$29=1,_xlfn.POISSON.DIST(88,$B$27,FALSE),B141*(B31+88-1)*(1-B30)/88)</f>
        <v/>
      </c>
      <c r="C142" s="11">
        <f>C141+B142</f>
        <v/>
      </c>
      <c r="D142" s="11">
        <f>D141-(1-C141)</f>
        <v/>
      </c>
      <c r="E142" s="11">
        <f>E141-D142</f>
        <v/>
      </c>
      <c r="F142" s="11">
        <f>F141*($B$39+88-1)*(1-$B$38)/88</f>
        <v/>
      </c>
      <c r="G142" s="11">
        <f>G141+F142</f>
        <v/>
      </c>
      <c r="H142" s="11">
        <f>H141-(1-G141)</f>
        <v/>
      </c>
      <c r="I142" s="11">
        <f>I141-H142</f>
        <v/>
      </c>
    </row>
    <row r="143">
      <c r="A143" s="10" t="n">
        <v>89</v>
      </c>
      <c r="B143" s="11">
        <f>IF($B$29=1,_xlfn.POISSON.DIST(89,$B$27,FALSE),B142*(B31+89-1)*(1-B30)/89)</f>
        <v/>
      </c>
      <c r="C143" s="11">
        <f>C142+B143</f>
        <v/>
      </c>
      <c r="D143" s="11">
        <f>D142-(1-C142)</f>
        <v/>
      </c>
      <c r="E143" s="11">
        <f>E142-D143</f>
        <v/>
      </c>
      <c r="F143" s="11">
        <f>F142*($B$39+89-1)*(1-$B$38)/89</f>
        <v/>
      </c>
      <c r="G143" s="11">
        <f>G142+F143</f>
        <v/>
      </c>
      <c r="H143" s="11">
        <f>H142-(1-G142)</f>
        <v/>
      </c>
      <c r="I143" s="11">
        <f>I142-H143</f>
        <v/>
      </c>
    </row>
    <row r="144">
      <c r="A144" s="10" t="n">
        <v>90</v>
      </c>
      <c r="B144" s="11">
        <f>IF($B$29=1,_xlfn.POISSON.DIST(90,$B$27,FALSE),B143*(B31+90-1)*(1-B30)/90)</f>
        <v/>
      </c>
      <c r="C144" s="11">
        <f>C143+B144</f>
        <v/>
      </c>
      <c r="D144" s="11">
        <f>D143-(1-C143)</f>
        <v/>
      </c>
      <c r="E144" s="11">
        <f>E143-D144</f>
        <v/>
      </c>
      <c r="F144" s="11">
        <f>F143*($B$39+90-1)*(1-$B$38)/90</f>
        <v/>
      </c>
      <c r="G144" s="11">
        <f>G143+F144</f>
        <v/>
      </c>
      <c r="H144" s="11">
        <f>H143-(1-G143)</f>
        <v/>
      </c>
      <c r="I144" s="11">
        <f>I143-H144</f>
        <v/>
      </c>
    </row>
    <row r="145">
      <c r="A145" s="10" t="n">
        <v>91</v>
      </c>
      <c r="F145" s="11">
        <f>F144*($B$39+91-1)*(1-$B$38)/91</f>
        <v/>
      </c>
      <c r="G145" s="11">
        <f>G144+F145</f>
        <v/>
      </c>
      <c r="H145" s="11">
        <f>H144-(1-G144)</f>
        <v/>
      </c>
      <c r="I145" s="11">
        <f>I144-H145</f>
        <v/>
      </c>
    </row>
    <row r="146">
      <c r="A146" s="10" t="n">
        <v>92</v>
      </c>
      <c r="F146" s="11">
        <f>F145*($B$39+92-1)*(1-$B$38)/92</f>
        <v/>
      </c>
      <c r="G146" s="11">
        <f>G145+F146</f>
        <v/>
      </c>
      <c r="H146" s="11">
        <f>H145-(1-G145)</f>
        <v/>
      </c>
      <c r="I146" s="11">
        <f>I145-H146</f>
        <v/>
      </c>
    </row>
    <row r="147">
      <c r="A147" s="10" t="n">
        <v>93</v>
      </c>
      <c r="F147" s="11">
        <f>F146*($B$39+93-1)*(1-$B$38)/93</f>
        <v/>
      </c>
      <c r="G147" s="11">
        <f>G146+F147</f>
        <v/>
      </c>
      <c r="H147" s="11">
        <f>H146-(1-G146)</f>
        <v/>
      </c>
      <c r="I147" s="11">
        <f>I146-H147</f>
        <v/>
      </c>
    </row>
    <row r="148">
      <c r="A148" s="10" t="n">
        <v>94</v>
      </c>
      <c r="F148" s="11">
        <f>F147*($B$39+94-1)*(1-$B$38)/94</f>
        <v/>
      </c>
      <c r="G148" s="11">
        <f>G147+F148</f>
        <v/>
      </c>
      <c r="H148" s="11">
        <f>H147-(1-G147)</f>
        <v/>
      </c>
      <c r="I148" s="11">
        <f>I147-H148</f>
        <v/>
      </c>
    </row>
    <row r="149">
      <c r="A149" s="10" t="n">
        <v>95</v>
      </c>
      <c r="F149" s="11">
        <f>F148*($B$39+95-1)*(1-$B$38)/95</f>
        <v/>
      </c>
      <c r="G149" s="11">
        <f>G148+F149</f>
        <v/>
      </c>
      <c r="H149" s="11">
        <f>H148-(1-G148)</f>
        <v/>
      </c>
      <c r="I149" s="11">
        <f>I148-H149</f>
        <v/>
      </c>
    </row>
    <row r="150">
      <c r="A150" s="10" t="n">
        <v>96</v>
      </c>
      <c r="F150" s="11">
        <f>F149*($B$39+96-1)*(1-$B$38)/96</f>
        <v/>
      </c>
      <c r="G150" s="11">
        <f>G149+F150</f>
        <v/>
      </c>
      <c r="H150" s="11">
        <f>H149-(1-G149)</f>
        <v/>
      </c>
      <c r="I150" s="11">
        <f>I149-H150</f>
        <v/>
      </c>
    </row>
    <row r="151">
      <c r="A151" s="10" t="n">
        <v>97</v>
      </c>
      <c r="F151" s="11">
        <f>F150*($B$39+97-1)*(1-$B$38)/97</f>
        <v/>
      </c>
      <c r="G151" s="11">
        <f>G150+F151</f>
        <v/>
      </c>
      <c r="H151" s="11">
        <f>H150-(1-G150)</f>
        <v/>
      </c>
      <c r="I151" s="11">
        <f>I150-H151</f>
        <v/>
      </c>
    </row>
    <row r="152">
      <c r="A152" s="10" t="n">
        <v>98</v>
      </c>
      <c r="F152" s="11">
        <f>F151*($B$39+98-1)*(1-$B$38)/98</f>
        <v/>
      </c>
      <c r="G152" s="11">
        <f>G151+F152</f>
        <v/>
      </c>
      <c r="H152" s="11">
        <f>H151-(1-G151)</f>
        <v/>
      </c>
      <c r="I152" s="11">
        <f>I151-H152</f>
        <v/>
      </c>
    </row>
    <row r="153">
      <c r="A153" s="10" t="n">
        <v>99</v>
      </c>
      <c r="F153" s="11">
        <f>F152*($B$39+99-1)*(1-$B$38)/99</f>
        <v/>
      </c>
      <c r="G153" s="11">
        <f>G152+F153</f>
        <v/>
      </c>
      <c r="H153" s="11">
        <f>H152-(1-G152)</f>
        <v/>
      </c>
      <c r="I153" s="11">
        <f>I152-H153</f>
        <v/>
      </c>
    </row>
    <row r="154">
      <c r="A154" s="10" t="n">
        <v>100</v>
      </c>
      <c r="F154" s="11">
        <f>F153*($B$39+100-1)*(1-$B$38)/100</f>
        <v/>
      </c>
      <c r="G154" s="11">
        <f>G153+F154</f>
        <v/>
      </c>
      <c r="H154" s="11">
        <f>H153-(1-G153)</f>
        <v/>
      </c>
      <c r="I154" s="11">
        <f>I153-H154</f>
        <v/>
      </c>
    </row>
    <row r="155">
      <c r="A155" s="10" t="n">
        <v>101</v>
      </c>
      <c r="F155" s="11">
        <f>F154*($B$39+101-1)*(1-$B$38)/101</f>
        <v/>
      </c>
      <c r="G155" s="11">
        <f>G154+F155</f>
        <v/>
      </c>
      <c r="H155" s="11">
        <f>H154-(1-G154)</f>
        <v/>
      </c>
      <c r="I155" s="11">
        <f>I154-H155</f>
        <v/>
      </c>
    </row>
    <row r="156">
      <c r="A156" s="10" t="n">
        <v>102</v>
      </c>
      <c r="F156" s="11">
        <f>F155*($B$39+102-1)*(1-$B$38)/102</f>
        <v/>
      </c>
      <c r="G156" s="11">
        <f>G155+F156</f>
        <v/>
      </c>
      <c r="H156" s="11">
        <f>H155-(1-G155)</f>
        <v/>
      </c>
      <c r="I156" s="11">
        <f>I155-H156</f>
        <v/>
      </c>
    </row>
    <row r="157">
      <c r="A157" s="10" t="n">
        <v>103</v>
      </c>
      <c r="F157" s="11">
        <f>F156*($B$39+103-1)*(1-$B$38)/103</f>
        <v/>
      </c>
      <c r="G157" s="11">
        <f>G156+F157</f>
        <v/>
      </c>
      <c r="H157" s="11">
        <f>H156-(1-G156)</f>
        <v/>
      </c>
      <c r="I157" s="11">
        <f>I156-H157</f>
        <v/>
      </c>
    </row>
    <row r="158">
      <c r="A158" s="10" t="n">
        <v>104</v>
      </c>
      <c r="F158" s="11">
        <f>F157*($B$39+104-1)*(1-$B$38)/104</f>
        <v/>
      </c>
      <c r="G158" s="11">
        <f>G157+F158</f>
        <v/>
      </c>
      <c r="H158" s="11">
        <f>H157-(1-G157)</f>
        <v/>
      </c>
      <c r="I158" s="11">
        <f>I157-H158</f>
        <v/>
      </c>
    </row>
    <row r="159">
      <c r="A159" s="10" t="n">
        <v>105</v>
      </c>
      <c r="F159" s="11">
        <f>F158*($B$39+105-1)*(1-$B$38)/105</f>
        <v/>
      </c>
      <c r="G159" s="11">
        <f>G158+F159</f>
        <v/>
      </c>
      <c r="H159" s="11">
        <f>H158-(1-G158)</f>
        <v/>
      </c>
      <c r="I159" s="11">
        <f>I158-H159</f>
        <v/>
      </c>
    </row>
    <row r="160">
      <c r="A160" s="10" t="n">
        <v>106</v>
      </c>
      <c r="F160" s="11">
        <f>F159*($B$39+106-1)*(1-$B$38)/106</f>
        <v/>
      </c>
      <c r="G160" s="11">
        <f>G159+F160</f>
        <v/>
      </c>
      <c r="H160" s="11">
        <f>H159-(1-G159)</f>
        <v/>
      </c>
      <c r="I160" s="11">
        <f>I159-H160</f>
        <v/>
      </c>
    </row>
    <row r="161">
      <c r="A161" s="10" t="n">
        <v>107</v>
      </c>
      <c r="F161" s="11">
        <f>F160*($B$39+107-1)*(1-$B$38)/107</f>
        <v/>
      </c>
      <c r="G161" s="11">
        <f>G160+F161</f>
        <v/>
      </c>
      <c r="H161" s="11">
        <f>H160-(1-G160)</f>
        <v/>
      </c>
      <c r="I161" s="11">
        <f>I160-H161</f>
        <v/>
      </c>
    </row>
    <row r="162">
      <c r="A162" s="10" t="n">
        <v>108</v>
      </c>
      <c r="F162" s="11">
        <f>F161*($B$39+108-1)*(1-$B$38)/108</f>
        <v/>
      </c>
      <c r="G162" s="11">
        <f>G161+F162</f>
        <v/>
      </c>
      <c r="H162" s="11">
        <f>H161-(1-G161)</f>
        <v/>
      </c>
      <c r="I162" s="11">
        <f>I161-H162</f>
        <v/>
      </c>
    </row>
    <row r="163">
      <c r="A163" s="10" t="n">
        <v>109</v>
      </c>
      <c r="F163" s="11">
        <f>F162*($B$39+109-1)*(1-$B$38)/109</f>
        <v/>
      </c>
      <c r="G163" s="11">
        <f>G162+F163</f>
        <v/>
      </c>
      <c r="H163" s="11">
        <f>H162-(1-G162)</f>
        <v/>
      </c>
      <c r="I163" s="11">
        <f>I162-H163</f>
        <v/>
      </c>
    </row>
    <row r="164">
      <c r="A164" s="10" t="n">
        <v>110</v>
      </c>
      <c r="F164" s="11">
        <f>F163*($B$39+110-1)*(1-$B$38)/110</f>
        <v/>
      </c>
      <c r="G164" s="11">
        <f>G163+F164</f>
        <v/>
      </c>
      <c r="H164" s="11">
        <f>H163-(1-G163)</f>
        <v/>
      </c>
      <c r="I164" s="11">
        <f>I163-H164</f>
        <v/>
      </c>
    </row>
    <row r="165">
      <c r="A165" s="10" t="n">
        <v>111</v>
      </c>
      <c r="F165" s="11">
        <f>F164*($B$39+111-1)*(1-$B$38)/111</f>
        <v/>
      </c>
      <c r="G165" s="11">
        <f>G164+F165</f>
        <v/>
      </c>
      <c r="H165" s="11">
        <f>H164-(1-G164)</f>
        <v/>
      </c>
      <c r="I165" s="11">
        <f>I164-H165</f>
        <v/>
      </c>
    </row>
    <row r="166">
      <c r="A166" s="10" t="n">
        <v>112</v>
      </c>
      <c r="F166" s="11">
        <f>F165*($B$39+112-1)*(1-$B$38)/112</f>
        <v/>
      </c>
      <c r="G166" s="11">
        <f>G165+F166</f>
        <v/>
      </c>
      <c r="H166" s="11">
        <f>H165-(1-G165)</f>
        <v/>
      </c>
      <c r="I166" s="11">
        <f>I165-H166</f>
        <v/>
      </c>
    </row>
    <row r="167">
      <c r="A167" s="10" t="n">
        <v>113</v>
      </c>
      <c r="F167" s="11">
        <f>F166*($B$39+113-1)*(1-$B$38)/113</f>
        <v/>
      </c>
      <c r="G167" s="11">
        <f>G166+F167</f>
        <v/>
      </c>
      <c r="H167" s="11">
        <f>H166-(1-G166)</f>
        <v/>
      </c>
      <c r="I167" s="11">
        <f>I166-H167</f>
        <v/>
      </c>
    </row>
    <row r="168">
      <c r="A168" s="10" t="n">
        <v>114</v>
      </c>
      <c r="F168" s="11">
        <f>F167*($B$39+114-1)*(1-$B$38)/114</f>
        <v/>
      </c>
      <c r="G168" s="11">
        <f>G167+F168</f>
        <v/>
      </c>
      <c r="H168" s="11">
        <f>H167-(1-G167)</f>
        <v/>
      </c>
      <c r="I168" s="11">
        <f>I167-H168</f>
        <v/>
      </c>
    </row>
    <row r="169">
      <c r="A169" s="10" t="n">
        <v>115</v>
      </c>
      <c r="F169" s="11">
        <f>F168*($B$39+115-1)*(1-$B$38)/115</f>
        <v/>
      </c>
      <c r="G169" s="11">
        <f>G168+F169</f>
        <v/>
      </c>
      <c r="H169" s="11">
        <f>H168-(1-G168)</f>
        <v/>
      </c>
      <c r="I169" s="11">
        <f>I168-H169</f>
        <v/>
      </c>
    </row>
    <row r="170">
      <c r="A170" s="10" t="n">
        <v>116</v>
      </c>
      <c r="F170" s="11">
        <f>F169*($B$39+116-1)*(1-$B$38)/116</f>
        <v/>
      </c>
      <c r="G170" s="11">
        <f>G169+F170</f>
        <v/>
      </c>
      <c r="H170" s="11">
        <f>H169-(1-G169)</f>
        <v/>
      </c>
      <c r="I170" s="11">
        <f>I169-H170</f>
        <v/>
      </c>
    </row>
    <row r="171">
      <c r="A171" s="10" t="n">
        <v>117</v>
      </c>
      <c r="F171" s="11">
        <f>F170*($B$39+117-1)*(1-$B$38)/117</f>
        <v/>
      </c>
      <c r="G171" s="11">
        <f>G170+F171</f>
        <v/>
      </c>
      <c r="H171" s="11">
        <f>H170-(1-G170)</f>
        <v/>
      </c>
      <c r="I171" s="11">
        <f>I170-H171</f>
        <v/>
      </c>
    </row>
    <row r="172">
      <c r="A172" s="10" t="n">
        <v>118</v>
      </c>
      <c r="F172" s="11">
        <f>F171*($B$39+118-1)*(1-$B$38)/118</f>
        <v/>
      </c>
      <c r="G172" s="11">
        <f>G171+F172</f>
        <v/>
      </c>
      <c r="H172" s="11">
        <f>H171-(1-G171)</f>
        <v/>
      </c>
      <c r="I172" s="11">
        <f>I171-H172</f>
        <v/>
      </c>
    </row>
    <row r="173">
      <c r="A173" s="10" t="n">
        <v>119</v>
      </c>
      <c r="F173" s="11">
        <f>F172*($B$39+119-1)*(1-$B$38)/119</f>
        <v/>
      </c>
      <c r="G173" s="11">
        <f>G172+F173</f>
        <v/>
      </c>
      <c r="H173" s="11">
        <f>H172-(1-G172)</f>
        <v/>
      </c>
      <c r="I173" s="11">
        <f>I172-H173</f>
        <v/>
      </c>
    </row>
    <row r="174">
      <c r="A174" s="10" t="n">
        <v>120</v>
      </c>
      <c r="F174" s="11">
        <f>F173*($B$39+120-1)*(1-$B$38)/120</f>
        <v/>
      </c>
      <c r="G174" s="11">
        <f>G173+F174</f>
        <v/>
      </c>
      <c r="H174" s="11">
        <f>H173-(1-G173)</f>
        <v/>
      </c>
      <c r="I174" s="11">
        <f>I173-H174</f>
        <v/>
      </c>
    </row>
    <row r="175">
      <c r="A175" s="10" t="n">
        <v>121</v>
      </c>
      <c r="F175" s="11">
        <f>F174*($B$39+121-1)*(1-$B$38)/121</f>
        <v/>
      </c>
      <c r="G175" s="11">
        <f>G174+F175</f>
        <v/>
      </c>
      <c r="H175" s="11">
        <f>H174-(1-G174)</f>
        <v/>
      </c>
      <c r="I175" s="11">
        <f>I174-H175</f>
        <v/>
      </c>
    </row>
    <row r="176">
      <c r="A176" s="10" t="n">
        <v>122</v>
      </c>
      <c r="F176" s="11">
        <f>F175*($B$39+122-1)*(1-$B$38)/122</f>
        <v/>
      </c>
      <c r="G176" s="11">
        <f>G175+F176</f>
        <v/>
      </c>
      <c r="H176" s="11">
        <f>H175-(1-G175)</f>
        <v/>
      </c>
      <c r="I176" s="11">
        <f>I175-H176</f>
        <v/>
      </c>
    </row>
    <row r="177">
      <c r="A177" s="10" t="n">
        <v>123</v>
      </c>
      <c r="F177" s="11">
        <f>F176*($B$39+123-1)*(1-$B$38)/123</f>
        <v/>
      </c>
      <c r="G177" s="11">
        <f>G176+F177</f>
        <v/>
      </c>
      <c r="H177" s="11">
        <f>H176-(1-G176)</f>
        <v/>
      </c>
      <c r="I177" s="11">
        <f>I176-H177</f>
        <v/>
      </c>
    </row>
    <row r="178">
      <c r="A178" s="10" t="n">
        <v>124</v>
      </c>
      <c r="F178" s="11">
        <f>F177*($B$39+124-1)*(1-$B$38)/124</f>
        <v/>
      </c>
      <c r="G178" s="11">
        <f>G177+F178</f>
        <v/>
      </c>
      <c r="H178" s="11">
        <f>H177-(1-G177)</f>
        <v/>
      </c>
      <c r="I178" s="11">
        <f>I177-H178</f>
        <v/>
      </c>
    </row>
    <row r="179">
      <c r="A179" s="10" t="n">
        <v>125</v>
      </c>
      <c r="F179" s="11">
        <f>F178*($B$39+125-1)*(1-$B$38)/125</f>
        <v/>
      </c>
      <c r="G179" s="11">
        <f>G178+F179</f>
        <v/>
      </c>
      <c r="H179" s="11">
        <f>H178-(1-G178)</f>
        <v/>
      </c>
      <c r="I179" s="11">
        <f>I178-H179</f>
        <v/>
      </c>
    </row>
    <row r="180">
      <c r="A180" s="10" t="n">
        <v>126</v>
      </c>
      <c r="F180" s="11">
        <f>F179*($B$39+126-1)*(1-$B$38)/126</f>
        <v/>
      </c>
      <c r="G180" s="11">
        <f>G179+F180</f>
        <v/>
      </c>
      <c r="H180" s="11">
        <f>H179-(1-G179)</f>
        <v/>
      </c>
      <c r="I180" s="11">
        <f>I179-H180</f>
        <v/>
      </c>
    </row>
    <row r="181">
      <c r="A181" s="10" t="n">
        <v>127</v>
      </c>
      <c r="F181" s="11">
        <f>F180*($B$39+127-1)*(1-$B$38)/127</f>
        <v/>
      </c>
      <c r="G181" s="11">
        <f>G180+F181</f>
        <v/>
      </c>
      <c r="H181" s="11">
        <f>H180-(1-G180)</f>
        <v/>
      </c>
      <c r="I181" s="11">
        <f>I180-H181</f>
        <v/>
      </c>
    </row>
    <row r="182">
      <c r="A182" s="10" t="n">
        <v>128</v>
      </c>
      <c r="F182" s="11">
        <f>F181*($B$39+128-1)*(1-$B$38)/128</f>
        <v/>
      </c>
      <c r="G182" s="11">
        <f>G181+F182</f>
        <v/>
      </c>
      <c r="H182" s="11">
        <f>H181-(1-G181)</f>
        <v/>
      </c>
      <c r="I182" s="11">
        <f>I181-H182</f>
        <v/>
      </c>
    </row>
    <row r="183">
      <c r="A183" s="10" t="n">
        <v>129</v>
      </c>
      <c r="F183" s="11">
        <f>F182*($B$39+129-1)*(1-$B$38)/129</f>
        <v/>
      </c>
      <c r="G183" s="11">
        <f>G182+F183</f>
        <v/>
      </c>
      <c r="H183" s="11">
        <f>H182-(1-G182)</f>
        <v/>
      </c>
      <c r="I183" s="11">
        <f>I182-H183</f>
        <v/>
      </c>
    </row>
    <row r="184">
      <c r="A184" s="10" t="n">
        <v>130</v>
      </c>
      <c r="F184" s="11">
        <f>F183*($B$39+130-1)*(1-$B$38)/130</f>
        <v/>
      </c>
      <c r="G184" s="11">
        <f>G183+F184</f>
        <v/>
      </c>
      <c r="H184" s="11">
        <f>H183-(1-G183)</f>
        <v/>
      </c>
      <c r="I184" s="11">
        <f>I183-H184</f>
        <v/>
      </c>
    </row>
    <row r="185">
      <c r="A185" s="10" t="n">
        <v>131</v>
      </c>
      <c r="F185" s="11">
        <f>F184*($B$39+131-1)*(1-$B$38)/131</f>
        <v/>
      </c>
      <c r="G185" s="11">
        <f>G184+F185</f>
        <v/>
      </c>
      <c r="H185" s="11">
        <f>H184-(1-G184)</f>
        <v/>
      </c>
      <c r="I185" s="11">
        <f>I184-H185</f>
        <v/>
      </c>
    </row>
    <row r="186">
      <c r="A186" s="10" t="n">
        <v>132</v>
      </c>
      <c r="F186" s="11">
        <f>F185*($B$39+132-1)*(1-$B$38)/132</f>
        <v/>
      </c>
      <c r="G186" s="11">
        <f>G185+F186</f>
        <v/>
      </c>
      <c r="H186" s="11">
        <f>H185-(1-G185)</f>
        <v/>
      </c>
      <c r="I186" s="11">
        <f>I185-H186</f>
        <v/>
      </c>
    </row>
    <row r="187">
      <c r="A187" s="10" t="n">
        <v>133</v>
      </c>
      <c r="F187" s="11">
        <f>F186*($B$39+133-1)*(1-$B$38)/133</f>
        <v/>
      </c>
      <c r="G187" s="11">
        <f>G186+F187</f>
        <v/>
      </c>
      <c r="H187" s="11">
        <f>H186-(1-G186)</f>
        <v/>
      </c>
      <c r="I187" s="11">
        <f>I186-H187</f>
        <v/>
      </c>
    </row>
    <row r="188">
      <c r="A188" s="10" t="n">
        <v>134</v>
      </c>
      <c r="F188" s="11">
        <f>F187*($B$39+134-1)*(1-$B$38)/134</f>
        <v/>
      </c>
      <c r="G188" s="11">
        <f>G187+F188</f>
        <v/>
      </c>
      <c r="H188" s="11">
        <f>H187-(1-G187)</f>
        <v/>
      </c>
      <c r="I188" s="11">
        <f>I187-H188</f>
        <v/>
      </c>
    </row>
    <row r="189">
      <c r="A189" s="10" t="n">
        <v>135</v>
      </c>
      <c r="F189" s="11">
        <f>F188*($B$39+135-1)*(1-$B$38)/135</f>
        <v/>
      </c>
      <c r="G189" s="11">
        <f>G188+F189</f>
        <v/>
      </c>
      <c r="H189" s="11">
        <f>H188-(1-G188)</f>
        <v/>
      </c>
      <c r="I189" s="11">
        <f>I188-H189</f>
        <v/>
      </c>
    </row>
    <row r="190">
      <c r="A190" s="10" t="n">
        <v>136</v>
      </c>
      <c r="F190" s="11">
        <f>F189*($B$39+136-1)*(1-$B$38)/136</f>
        <v/>
      </c>
      <c r="G190" s="11">
        <f>G189+F190</f>
        <v/>
      </c>
      <c r="H190" s="11">
        <f>H189-(1-G189)</f>
        <v/>
      </c>
      <c r="I190" s="11">
        <f>I189-H190</f>
        <v/>
      </c>
    </row>
    <row r="191">
      <c r="A191" s="10" t="n">
        <v>137</v>
      </c>
      <c r="F191" s="11">
        <f>F190*($B$39+137-1)*(1-$B$38)/137</f>
        <v/>
      </c>
      <c r="G191" s="11">
        <f>G190+F191</f>
        <v/>
      </c>
      <c r="H191" s="11">
        <f>H190-(1-G190)</f>
        <v/>
      </c>
      <c r="I191" s="11">
        <f>I190-H191</f>
        <v/>
      </c>
    </row>
    <row r="192">
      <c r="A192" s="10" t="n">
        <v>138</v>
      </c>
      <c r="F192" s="11">
        <f>F191*($B$39+138-1)*(1-$B$38)/138</f>
        <v/>
      </c>
      <c r="G192" s="11">
        <f>G191+F192</f>
        <v/>
      </c>
      <c r="H192" s="11">
        <f>H191-(1-G191)</f>
        <v/>
      </c>
      <c r="I192" s="11">
        <f>I191-H192</f>
        <v/>
      </c>
    </row>
    <row r="193">
      <c r="A193" s="10" t="n">
        <v>139</v>
      </c>
      <c r="F193" s="11">
        <f>F192*($B$39+139-1)*(1-$B$38)/139</f>
        <v/>
      </c>
      <c r="G193" s="11">
        <f>G192+F193</f>
        <v/>
      </c>
      <c r="H193" s="11">
        <f>H192-(1-G192)</f>
        <v/>
      </c>
      <c r="I193" s="11">
        <f>I192-H193</f>
        <v/>
      </c>
    </row>
    <row r="194">
      <c r="A194" s="10" t="n">
        <v>140</v>
      </c>
      <c r="F194" s="11">
        <f>F193*($B$39+140-1)*(1-$B$38)/140</f>
        <v/>
      </c>
      <c r="G194" s="11">
        <f>G193+F194</f>
        <v/>
      </c>
      <c r="H194" s="11">
        <f>H193-(1-G193)</f>
        <v/>
      </c>
      <c r="I194" s="11">
        <f>I193-H194</f>
        <v/>
      </c>
    </row>
    <row r="195">
      <c r="A195" s="10" t="n">
        <v>141</v>
      </c>
      <c r="F195" s="11">
        <f>F194*($B$39+141-1)*(1-$B$38)/141</f>
        <v/>
      </c>
      <c r="G195" s="11">
        <f>G194+F195</f>
        <v/>
      </c>
      <c r="H195" s="11">
        <f>H194-(1-G194)</f>
        <v/>
      </c>
      <c r="I195" s="11">
        <f>I194-H195</f>
        <v/>
      </c>
    </row>
    <row r="196">
      <c r="A196" s="10" t="n">
        <v>142</v>
      </c>
      <c r="F196" s="11">
        <f>F195*($B$39+142-1)*(1-$B$38)/142</f>
        <v/>
      </c>
      <c r="G196" s="11">
        <f>G195+F196</f>
        <v/>
      </c>
      <c r="H196" s="11">
        <f>H195-(1-G195)</f>
        <v/>
      </c>
      <c r="I196" s="11">
        <f>I195-H196</f>
        <v/>
      </c>
    </row>
    <row r="197">
      <c r="A197" s="10" t="n">
        <v>143</v>
      </c>
      <c r="F197" s="11">
        <f>F196*($B$39+143-1)*(1-$B$38)/143</f>
        <v/>
      </c>
      <c r="G197" s="11">
        <f>G196+F197</f>
        <v/>
      </c>
      <c r="H197" s="11">
        <f>H196-(1-G196)</f>
        <v/>
      </c>
      <c r="I197" s="11">
        <f>I196-H197</f>
        <v/>
      </c>
    </row>
    <row r="198">
      <c r="A198" s="10" t="n">
        <v>144</v>
      </c>
      <c r="F198" s="11">
        <f>F197*($B$39+144-1)*(1-$B$38)/144</f>
        <v/>
      </c>
      <c r="G198" s="11">
        <f>G197+F198</f>
        <v/>
      </c>
      <c r="H198" s="11">
        <f>H197-(1-G197)</f>
        <v/>
      </c>
      <c r="I198" s="11">
        <f>I197-H198</f>
        <v/>
      </c>
    </row>
    <row r="199">
      <c r="A199" s="10" t="n">
        <v>145</v>
      </c>
      <c r="F199" s="11">
        <f>F198*($B$39+145-1)*(1-$B$38)/145</f>
        <v/>
      </c>
      <c r="G199" s="11">
        <f>G198+F199</f>
        <v/>
      </c>
      <c r="H199" s="11">
        <f>H198-(1-G198)</f>
        <v/>
      </c>
      <c r="I199" s="11">
        <f>I198-H199</f>
        <v/>
      </c>
    </row>
    <row r="200">
      <c r="A200" s="10" t="n">
        <v>146</v>
      </c>
      <c r="F200" s="11">
        <f>F199*($B$39+146-1)*(1-$B$38)/146</f>
        <v/>
      </c>
      <c r="G200" s="11">
        <f>G199+F200</f>
        <v/>
      </c>
      <c r="H200" s="11">
        <f>H199-(1-G199)</f>
        <v/>
      </c>
      <c r="I200" s="11">
        <f>I199-H200</f>
        <v/>
      </c>
    </row>
    <row r="201">
      <c r="A201" s="10" t="n">
        <v>147</v>
      </c>
      <c r="F201" s="11">
        <f>F200*($B$39+147-1)*(1-$B$38)/147</f>
        <v/>
      </c>
      <c r="G201" s="11">
        <f>G200+F201</f>
        <v/>
      </c>
      <c r="H201" s="11">
        <f>H200-(1-G200)</f>
        <v/>
      </c>
      <c r="I201" s="11">
        <f>I200-H201</f>
        <v/>
      </c>
    </row>
    <row r="202">
      <c r="A202" s="10" t="n">
        <v>148</v>
      </c>
      <c r="F202" s="11">
        <f>F201*($B$39+148-1)*(1-$B$38)/148</f>
        <v/>
      </c>
      <c r="G202" s="11">
        <f>G201+F202</f>
        <v/>
      </c>
      <c r="H202" s="11">
        <f>H201-(1-G201)</f>
        <v/>
      </c>
      <c r="I202" s="11">
        <f>I201-H202</f>
        <v/>
      </c>
    </row>
    <row r="203">
      <c r="A203" s="10" t="n">
        <v>149</v>
      </c>
      <c r="F203" s="11">
        <f>F202*($B$39+149-1)*(1-$B$38)/149</f>
        <v/>
      </c>
      <c r="G203" s="11">
        <f>G202+F203</f>
        <v/>
      </c>
      <c r="H203" s="11">
        <f>H202-(1-G202)</f>
        <v/>
      </c>
      <c r="I203" s="11">
        <f>I202-H203</f>
        <v/>
      </c>
    </row>
    <row r="204">
      <c r="A204" s="10" t="n">
        <v>150</v>
      </c>
      <c r="F204" s="11">
        <f>F203*($B$39+150-1)*(1-$B$38)/150</f>
        <v/>
      </c>
      <c r="G204" s="11">
        <f>G203+F204</f>
        <v/>
      </c>
      <c r="H204" s="11">
        <f>H203-(1-G203)</f>
        <v/>
      </c>
      <c r="I204" s="11">
        <f>I203-H204</f>
        <v/>
      </c>
    </row>
    <row r="205">
      <c r="A205" s="10" t="n">
        <v>151</v>
      </c>
      <c r="F205" s="11">
        <f>F204*($B$39+151-1)*(1-$B$38)/151</f>
        <v/>
      </c>
      <c r="G205" s="11">
        <f>G204+F205</f>
        <v/>
      </c>
      <c r="H205" s="11">
        <f>H204-(1-G204)</f>
        <v/>
      </c>
      <c r="I205" s="11">
        <f>I204-H205</f>
        <v/>
      </c>
    </row>
    <row r="206">
      <c r="A206" s="10" t="n">
        <v>152</v>
      </c>
      <c r="F206" s="11">
        <f>F205*($B$39+152-1)*(1-$B$38)/152</f>
        <v/>
      </c>
      <c r="G206" s="11">
        <f>G205+F206</f>
        <v/>
      </c>
      <c r="H206" s="11">
        <f>H205-(1-G205)</f>
        <v/>
      </c>
      <c r="I206" s="11">
        <f>I205-H206</f>
        <v/>
      </c>
    </row>
    <row r="207">
      <c r="A207" s="10" t="n">
        <v>153</v>
      </c>
      <c r="F207" s="11">
        <f>F206*($B$39+153-1)*(1-$B$38)/153</f>
        <v/>
      </c>
      <c r="G207" s="11">
        <f>G206+F207</f>
        <v/>
      </c>
      <c r="H207" s="11">
        <f>H206-(1-G206)</f>
        <v/>
      </c>
      <c r="I207" s="11">
        <f>I206-H207</f>
        <v/>
      </c>
    </row>
    <row r="208">
      <c r="A208" s="10" t="n">
        <v>154</v>
      </c>
      <c r="F208" s="11">
        <f>F207*($B$39+154-1)*(1-$B$38)/154</f>
        <v/>
      </c>
      <c r="G208" s="11">
        <f>G207+F208</f>
        <v/>
      </c>
      <c r="H208" s="11">
        <f>H207-(1-G207)</f>
        <v/>
      </c>
      <c r="I208" s="11">
        <f>I207-H208</f>
        <v/>
      </c>
    </row>
    <row r="209">
      <c r="A209" s="10" t="n">
        <v>155</v>
      </c>
      <c r="F209" s="11">
        <f>F208*($B$39+155-1)*(1-$B$38)/155</f>
        <v/>
      </c>
      <c r="G209" s="11">
        <f>G208+F209</f>
        <v/>
      </c>
      <c r="H209" s="11">
        <f>H208-(1-G208)</f>
        <v/>
      </c>
      <c r="I209" s="11">
        <f>I208-H209</f>
        <v/>
      </c>
    </row>
    <row r="210">
      <c r="A210" s="10" t="n">
        <v>156</v>
      </c>
      <c r="F210" s="11">
        <f>F209*($B$39+156-1)*(1-$B$38)/156</f>
        <v/>
      </c>
      <c r="G210" s="11">
        <f>G209+F210</f>
        <v/>
      </c>
      <c r="H210" s="11">
        <f>H209-(1-G209)</f>
        <v/>
      </c>
      <c r="I210" s="11">
        <f>I209-H210</f>
        <v/>
      </c>
    </row>
    <row r="211">
      <c r="A211" s="10" t="n">
        <v>157</v>
      </c>
      <c r="F211" s="11">
        <f>F210*($B$39+157-1)*(1-$B$38)/157</f>
        <v/>
      </c>
      <c r="G211" s="11">
        <f>G210+F211</f>
        <v/>
      </c>
      <c r="H211" s="11">
        <f>H210-(1-G210)</f>
        <v/>
      </c>
      <c r="I211" s="11">
        <f>I210-H211</f>
        <v/>
      </c>
    </row>
    <row r="212">
      <c r="A212" s="10" t="n">
        <v>158</v>
      </c>
      <c r="F212" s="11">
        <f>F211*($B$39+158-1)*(1-$B$38)/158</f>
        <v/>
      </c>
      <c r="G212" s="11">
        <f>G211+F212</f>
        <v/>
      </c>
      <c r="H212" s="11">
        <f>H211-(1-G211)</f>
        <v/>
      </c>
      <c r="I212" s="11">
        <f>I211-H212</f>
        <v/>
      </c>
    </row>
    <row r="213">
      <c r="A213" s="10" t="n">
        <v>159</v>
      </c>
      <c r="F213" s="11">
        <f>F212*($B$39+159-1)*(1-$B$38)/159</f>
        <v/>
      </c>
      <c r="G213" s="11">
        <f>G212+F213</f>
        <v/>
      </c>
      <c r="H213" s="11">
        <f>H212-(1-G212)</f>
        <v/>
      </c>
      <c r="I213" s="11">
        <f>I212-H213</f>
        <v/>
      </c>
    </row>
    <row r="214">
      <c r="A214" s="10" t="n">
        <v>160</v>
      </c>
      <c r="F214" s="11">
        <f>F213*($B$39+160-1)*(1-$B$38)/160</f>
        <v/>
      </c>
      <c r="G214" s="11">
        <f>G213+F214</f>
        <v/>
      </c>
      <c r="H214" s="11">
        <f>H213-(1-G213)</f>
        <v/>
      </c>
      <c r="I214" s="11">
        <f>I213-H214</f>
        <v/>
      </c>
    </row>
    <row r="218">
      <c r="A218" s="3" t="inlineStr">
        <is>
          <t>Pass 2</t>
        </is>
      </c>
    </row>
    <row r="219">
      <c r="A219" t="inlineStr">
        <is>
          <t>E[W] from the last pass</t>
        </is>
      </c>
      <c r="B219" s="7">
        <f>B43</f>
        <v/>
      </c>
    </row>
    <row r="220">
      <c r="A220" t="inlineStr">
        <is>
          <t>Var[W] from the last pass</t>
        </is>
      </c>
      <c r="B220" s="7">
        <f>B44</f>
        <v/>
      </c>
    </row>
    <row r="221">
      <c r="A221" t="inlineStr">
        <is>
          <t>storeroom r_j</t>
        </is>
      </c>
      <c r="B221" s="20" t="n">
        <v>0</v>
      </c>
    </row>
    <row r="222">
      <c r="A222" t="inlineStr">
        <is>
          <t>storeroom Q_j</t>
        </is>
      </c>
      <c r="B222" s="20" t="n">
        <v>29</v>
      </c>
    </row>
    <row r="223">
      <c r="A223" t="inlineStr">
        <is>
          <t>storeroom mean</t>
        </is>
      </c>
      <c r="B223" s="7">
        <f>$B$10*($B$12+B219)</f>
        <v/>
      </c>
    </row>
    <row r="224">
      <c r="A224" t="inlineStr">
        <is>
          <t>storeroom variance</t>
        </is>
      </c>
      <c r="B224" s="7">
        <f>B223+$B$10^2*B220</f>
        <v/>
      </c>
    </row>
    <row r="225">
      <c r="A225" t="inlineStr">
        <is>
          <t>Poisson? (ratio &lt;= 1.05)</t>
        </is>
      </c>
      <c r="B225" s="12">
        <f>IF(B224/B223&lt;=1.05,1,0)</f>
        <v/>
      </c>
    </row>
    <row r="226">
      <c r="A226" t="inlineStr">
        <is>
          <t>p</t>
        </is>
      </c>
      <c r="B226" s="7">
        <f>IF(B225=1,"",B223/B224)</f>
        <v/>
      </c>
    </row>
    <row r="227">
      <c r="A227" t="inlineStr">
        <is>
          <t>r</t>
        </is>
      </c>
      <c r="B227" s="7">
        <f>IF(B225=1,"",B223^2/(B224-B223))</f>
        <v/>
      </c>
    </row>
    <row r="228">
      <c r="A228" t="inlineStr">
        <is>
          <t>second moment</t>
        </is>
      </c>
      <c r="B228" s="7">
        <f>B224+B223^2</f>
        <v/>
      </c>
    </row>
    <row r="230">
      <c r="A230" t="inlineStr">
        <is>
          <t>hub r_0</t>
        </is>
      </c>
      <c r="B230" s="20" t="n">
        <v>2</v>
      </c>
    </row>
    <row r="231">
      <c r="A231" t="inlineStr">
        <is>
          <t>hub Q_0</t>
        </is>
      </c>
      <c r="B231" s="20" t="n">
        <v>48</v>
      </c>
    </row>
    <row r="232">
      <c r="A232" t="inlineStr">
        <is>
          <t>hub mean</t>
        </is>
      </c>
      <c r="B232" s="7">
        <f>($B$10+$B$11)*$B$13</f>
        <v/>
      </c>
    </row>
    <row r="233">
      <c r="A233" t="inlineStr">
        <is>
          <t>hub variance, the recipe</t>
        </is>
      </c>
      <c r="B233" s="7">
        <f>$B$11*$B$13+$B$10*$B$13+B222^2/6</f>
        <v/>
      </c>
    </row>
    <row r="234">
      <c r="A234" t="inlineStr">
        <is>
          <t>p</t>
        </is>
      </c>
      <c r="B234" s="7">
        <f>B232/B233</f>
        <v/>
      </c>
    </row>
    <row r="235">
      <c r="A235" t="inlineStr">
        <is>
          <t>r</t>
        </is>
      </c>
      <c r="B235" s="7">
        <f>B232^2/(B233-B232)</f>
        <v/>
      </c>
    </row>
    <row r="236">
      <c r="A236" t="inlineStr">
        <is>
          <t>second moment</t>
        </is>
      </c>
      <c r="B236" s="7">
        <f>B233+B232^2</f>
        <v/>
      </c>
    </row>
    <row r="238">
      <c r="A238" t="inlineStr">
        <is>
          <t>hub backorders</t>
        </is>
      </c>
      <c r="B238" s="7">
        <f>(INDEX(PassTwoHubLossTwo,$B$230+6)-INDEX(PassTwoHubLossTwo,$B$230+$B$231+6))/$B$231</f>
        <v/>
      </c>
      <c r="D238" s="16" t="inlineStr">
        <is>
          <t>at the policy</t>
        </is>
      </c>
      <c r="E238" s="16" t="inlineStr">
        <is>
          <t>r - 1</t>
        </is>
      </c>
      <c r="F238" s="16" t="inlineStr">
        <is>
          <t>r + 1</t>
        </is>
      </c>
      <c r="G238" s="16" t="inlineStr">
        <is>
          <t>Q - 1</t>
        </is>
      </c>
      <c r="H238" s="16" t="inlineStr">
        <is>
          <t>Q + 1</t>
        </is>
      </c>
    </row>
    <row r="239">
      <c r="A239" t="inlineStr">
        <is>
          <t>E[W]</t>
        </is>
      </c>
      <c r="B239" s="7">
        <f>B238/($B$10+$B$11)</f>
        <v/>
      </c>
      <c r="C239" t="inlineStr">
        <is>
          <t>storeroom</t>
        </is>
      </c>
      <c r="D239" s="21">
        <f>$B$5*$B$10/($B$222)+$B$7*((($B$222)+1)/2+($B$221)-$B$223+(INDEX(PassTwoStoreLossTwo,$B$221+6)-INDEX(PassTwoStoreLossTwo,($B$221)+($B$222)+6))/($B$222))+$B$8*(INDEX(PassTwoStoreLossTwo,$B$221+6)-INDEX(PassTwoStoreLossTwo,($B$221)+($B$222)+6))/($B$222)</f>
        <v/>
      </c>
      <c r="E239" s="8">
        <f>$B$5*$B$10/($B$222+0)+$B$7*((($B$222+0)+1)/2+($B$221-1)-$B$223+(INDEX(PassTwoStoreLossTwo,$B$221-1+6)-INDEX(PassTwoStoreLossTwo,($B$221-1)+($B$222+0)+6))/($B$222+0))+$B$8*(INDEX(PassTwoStoreLossTwo,$B$221-1+6)-INDEX(PassTwoStoreLossTwo,($B$221-1)+($B$222+0)+6))/($B$222+0)</f>
        <v/>
      </c>
      <c r="F239" s="8">
        <f>$B$5*$B$10/($B$222+0)+$B$7*((($B$222+0)+1)/2+($B$221+1)-$B$223+(INDEX(PassTwoStoreLossTwo,$B$221+1+6)-INDEX(PassTwoStoreLossTwo,($B$221+1)+($B$222+0)+6))/($B$222+0))+$B$8*(INDEX(PassTwoStoreLossTwo,$B$221+1+6)-INDEX(PassTwoStoreLossTwo,($B$221+1)+($B$222+0)+6))/($B$222+0)</f>
        <v/>
      </c>
      <c r="G239" s="8">
        <f>$B$5*$B$10/($B$222-1)+$B$7*((($B$222-1)+1)/2+($B$221+0)-$B$223+(INDEX(PassTwoStoreLossTwo,$B$221+0+6)-INDEX(PassTwoStoreLossTwo,($B$221+0)+($B$222-1)+6))/($B$222-1))+$B$8*(INDEX(PassTwoStoreLossTwo,$B$221+0+6)-INDEX(PassTwoStoreLossTwo,($B$221+0)+($B$222-1)+6))/($B$222-1)</f>
        <v/>
      </c>
      <c r="H239" s="8">
        <f>$B$5*$B$10/($B$222+1)+$B$7*((($B$222+1)+1)/2+($B$221+0)-$B$223+(INDEX(PassTwoStoreLossTwo,$B$221+0+6)-INDEX(PassTwoStoreLossTwo,($B$221+0)+($B$222+1)+6))/($B$222+1))+$B$8*(INDEX(PassTwoStoreLossTwo,$B$221+0+6)-INDEX(PassTwoStoreLossTwo,($B$221+0)+($B$222+1)+6))/($B$222+1)</f>
        <v/>
      </c>
      <c r="I239" s="12">
        <f>IF(MIN(E239:H239)&lt;D239,"yes","no")</f>
        <v/>
      </c>
    </row>
    <row r="240">
      <c r="A240" t="inlineStr">
        <is>
          <t>Var[W]</t>
        </is>
      </c>
      <c r="B240" s="7">
        <f>(2/$B$231*SUM(INDEX(PassTwoHubLossTwo,$B$230+1+6):INDEX(PassTwoHubLossTwo,$B$230+$B$231+6))-B238^2)/($B$10+$B$11)^2</f>
        <v/>
      </c>
      <c r="C240" t="inlineStr">
        <is>
          <t>hub</t>
        </is>
      </c>
      <c r="D240" s="21">
        <f>$B$5*($B$10+$B$11)/($B$231)+$B$7*((($B$231)+1)/2+($B$230)-$B$232+(INDEX(PassTwoHubLossTwo,$B$230+6)-INDEX(PassTwoHubLossTwo,($B$230)+($B$231)+6))/($B$231))+$B$9*(INDEX(PassTwoHubLossTwo,$B$230+6)-INDEX(PassTwoHubLossTwo,($B$230)+($B$231)+6))/($B$231)</f>
        <v/>
      </c>
      <c r="E240" s="8">
        <f>$B$5*($B$10+$B$11)/($B$231+0)+$B$7*((($B$231+0)+1)/2+($B$230-1)-$B$232+(INDEX(PassTwoHubLossTwo,$B$230-1+6)-INDEX(PassTwoHubLossTwo,($B$230-1)+($B$231+0)+6))/($B$231+0))+$B$9*(INDEX(PassTwoHubLossTwo,$B$230-1+6)-INDEX(PassTwoHubLossTwo,($B$230-1)+($B$231+0)+6))/($B$231+0)</f>
        <v/>
      </c>
      <c r="F240" s="8">
        <f>$B$5*($B$10+$B$11)/($B$231+0)+$B$7*((($B$231+0)+1)/2+($B$230+1)-$B$232+(INDEX(PassTwoHubLossTwo,$B$230+1+6)-INDEX(PassTwoHubLossTwo,($B$230+1)+($B$231+0)+6))/($B$231+0))+$B$9*(INDEX(PassTwoHubLossTwo,$B$230+1+6)-INDEX(PassTwoHubLossTwo,($B$230+1)+($B$231+0)+6))/($B$231+0)</f>
        <v/>
      </c>
      <c r="G240" s="8">
        <f>$B$5*($B$10+$B$11)/($B$231-1)+$B$7*((($B$231-1)+1)/2+($B$230+0)-$B$232+(INDEX(PassTwoHubLossTwo,$B$230+0+6)-INDEX(PassTwoHubLossTwo,($B$230+0)+($B$231-1)+6))/($B$231-1))+$B$9*(INDEX(PassTwoHubLossTwo,$B$230+0+6)-INDEX(PassTwoHubLossTwo,($B$230+0)+($B$231-1)+6))/($B$231-1)</f>
        <v/>
      </c>
      <c r="H240" s="8">
        <f>$B$5*($B$10+$B$11)/($B$231+1)+$B$7*((($B$231+1)+1)/2+($B$230+0)-$B$232+(INDEX(PassTwoHubLossTwo,$B$230+0+6)-INDEX(PassTwoHubLossTwo,($B$230+0)+($B$231+1)+6))/($B$231+1))+$B$9*(INDEX(PassTwoHubLossTwo,$B$230+0+6)-INDEX(PassTwoHubLossTwo,($B$230+0)+($B$231+1)+6))/($B$231+1)</f>
        <v/>
      </c>
      <c r="I240" s="12">
        <f>IF(MIN(E240:H240)&lt;D240,"yes","no")</f>
        <v/>
      </c>
    </row>
    <row r="244">
      <c r="A244" s="9" t="inlineStr">
        <is>
          <t>x</t>
        </is>
      </c>
      <c r="B244" s="9" t="inlineStr">
        <is>
          <t>storeroom</t>
        </is>
      </c>
      <c r="C244" s="9" t="inlineStr">
        <is>
          <t>F</t>
        </is>
      </c>
      <c r="D244" s="9" t="inlineStr">
        <is>
          <t>LossOne</t>
        </is>
      </c>
      <c r="E244" s="9" t="inlineStr">
        <is>
          <t>LossTwo</t>
        </is>
      </c>
      <c r="F244" s="9" t="inlineStr">
        <is>
          <t>hub</t>
        </is>
      </c>
      <c r="G244" s="9" t="inlineStr">
        <is>
          <t>F</t>
        </is>
      </c>
      <c r="H244" s="9" t="inlineStr">
        <is>
          <t>LossOne</t>
        </is>
      </c>
      <c r="I244" s="9" t="inlineStr">
        <is>
          <t>LossTwo</t>
        </is>
      </c>
    </row>
    <row r="245">
      <c r="A245" s="10" t="n">
        <v>-5</v>
      </c>
      <c r="B245" s="11" t="n">
        <v>0</v>
      </c>
      <c r="C245" s="11" t="n">
        <v>0</v>
      </c>
      <c r="D245" s="11">
        <f>$B$223-A245</f>
        <v/>
      </c>
      <c r="E245" s="11">
        <f>0.5*($B$228-$B$223^2+($B$223-A245)^2-($B$223-A245))</f>
        <v/>
      </c>
      <c r="F245" s="11" t="n">
        <v>0</v>
      </c>
      <c r="G245" s="11" t="n">
        <v>0</v>
      </c>
      <c r="H245" s="11">
        <f>$B$232-A245</f>
        <v/>
      </c>
      <c r="I245" s="11">
        <f>0.5*($B$236-$B$232^2+($B$232-A245)^2-($B$232-A245))</f>
        <v/>
      </c>
    </row>
    <row r="246">
      <c r="A246" s="10" t="n">
        <v>-4</v>
      </c>
      <c r="B246" s="11" t="n">
        <v>0</v>
      </c>
      <c r="C246" s="11" t="n">
        <v>0</v>
      </c>
      <c r="D246" s="11">
        <f>$B$223-A246</f>
        <v/>
      </c>
      <c r="E246" s="11">
        <f>0.5*($B$228-$B$223^2+($B$223-A246)^2-($B$223-A246))</f>
        <v/>
      </c>
      <c r="F246" s="11" t="n">
        <v>0</v>
      </c>
      <c r="G246" s="11" t="n">
        <v>0</v>
      </c>
      <c r="H246" s="11">
        <f>$B$232-A246</f>
        <v/>
      </c>
      <c r="I246" s="11">
        <f>0.5*($B$236-$B$232^2+($B$232-A246)^2-($B$232-A246))</f>
        <v/>
      </c>
    </row>
    <row r="247">
      <c r="A247" s="10" t="n">
        <v>-3</v>
      </c>
      <c r="B247" s="11" t="n">
        <v>0</v>
      </c>
      <c r="C247" s="11" t="n">
        <v>0</v>
      </c>
      <c r="D247" s="11">
        <f>$B$223-A247</f>
        <v/>
      </c>
      <c r="E247" s="11">
        <f>0.5*($B$228-$B$223^2+($B$223-A247)^2-($B$223-A247))</f>
        <v/>
      </c>
      <c r="F247" s="11" t="n">
        <v>0</v>
      </c>
      <c r="G247" s="11" t="n">
        <v>0</v>
      </c>
      <c r="H247" s="11">
        <f>$B$232-A247</f>
        <v/>
      </c>
      <c r="I247" s="11">
        <f>0.5*($B$236-$B$232^2+($B$232-A247)^2-($B$232-A247))</f>
        <v/>
      </c>
    </row>
    <row r="248">
      <c r="A248" s="10" t="n">
        <v>-2</v>
      </c>
      <c r="B248" s="11" t="n">
        <v>0</v>
      </c>
      <c r="C248" s="11" t="n">
        <v>0</v>
      </c>
      <c r="D248" s="11">
        <f>$B$223-A248</f>
        <v/>
      </c>
      <c r="E248" s="11">
        <f>0.5*($B$228-$B$223^2+($B$223-A248)^2-($B$223-A248))</f>
        <v/>
      </c>
      <c r="F248" s="11" t="n">
        <v>0</v>
      </c>
      <c r="G248" s="11" t="n">
        <v>0</v>
      </c>
      <c r="H248" s="11">
        <f>$B$232-A248</f>
        <v/>
      </c>
      <c r="I248" s="11">
        <f>0.5*($B$236-$B$232^2+($B$232-A248)^2-($B$232-A248))</f>
        <v/>
      </c>
    </row>
    <row r="249">
      <c r="A249" s="10" t="n">
        <v>-1</v>
      </c>
      <c r="B249" s="11" t="n">
        <v>0</v>
      </c>
      <c r="C249" s="11" t="n">
        <v>0</v>
      </c>
      <c r="D249" s="11">
        <f>$B$223-A249</f>
        <v/>
      </c>
      <c r="E249" s="11">
        <f>0.5*($B$228-$B$223^2+($B$223-A249)^2-($B$223-A249))</f>
        <v/>
      </c>
      <c r="F249" s="11" t="n">
        <v>0</v>
      </c>
      <c r="G249" s="11" t="n">
        <v>0</v>
      </c>
      <c r="H249" s="11">
        <f>$B$232-A249</f>
        <v/>
      </c>
      <c r="I249" s="11">
        <f>0.5*($B$236-$B$232^2+($B$232-A249)^2-($B$232-A249))</f>
        <v/>
      </c>
    </row>
    <row r="250">
      <c r="A250" s="10" t="n">
        <v>0</v>
      </c>
      <c r="B250" s="11">
        <f>IF($B$225=1,_xlfn.POISSON.DIST(0,$B$223,FALSE),B226^B227)</f>
        <v/>
      </c>
      <c r="C250" s="11">
        <f>B250</f>
        <v/>
      </c>
      <c r="D250" s="11">
        <f>$B$223</f>
        <v/>
      </c>
      <c r="E250" s="11">
        <f>0.5*($B$228-$B$223)</f>
        <v/>
      </c>
      <c r="F250" s="11">
        <f>$B$234^$B$235</f>
        <v/>
      </c>
      <c r="G250" s="11">
        <f>F250</f>
        <v/>
      </c>
      <c r="H250" s="11">
        <f>$B$232</f>
        <v/>
      </c>
      <c r="I250" s="11">
        <f>0.5*($B$236-$B$232)</f>
        <v/>
      </c>
    </row>
    <row r="251">
      <c r="A251" s="10" t="n">
        <v>1</v>
      </c>
      <c r="B251" s="11">
        <f>IF($B$225=1,_xlfn.POISSON.DIST(1,$B$223,FALSE),B250*(B227+1-1)*(1-B226)/1)</f>
        <v/>
      </c>
      <c r="C251" s="11">
        <f>C250+B251</f>
        <v/>
      </c>
      <c r="D251" s="11">
        <f>D250-(1-C250)</f>
        <v/>
      </c>
      <c r="E251" s="11">
        <f>E250-D251</f>
        <v/>
      </c>
      <c r="F251" s="11">
        <f>F250*($B$235+1-1)*(1-$B$234)/1</f>
        <v/>
      </c>
      <c r="G251" s="11">
        <f>G250+F251</f>
        <v/>
      </c>
      <c r="H251" s="11">
        <f>H250-(1-G250)</f>
        <v/>
      </c>
      <c r="I251" s="11">
        <f>I250-H251</f>
        <v/>
      </c>
    </row>
    <row r="252">
      <c r="A252" s="10" t="n">
        <v>2</v>
      </c>
      <c r="B252" s="11">
        <f>IF($B$225=1,_xlfn.POISSON.DIST(2,$B$223,FALSE),B251*(B227+2-1)*(1-B226)/2)</f>
        <v/>
      </c>
      <c r="C252" s="11">
        <f>C251+B252</f>
        <v/>
      </c>
      <c r="D252" s="11">
        <f>D251-(1-C251)</f>
        <v/>
      </c>
      <c r="E252" s="11">
        <f>E251-D252</f>
        <v/>
      </c>
      <c r="F252" s="11">
        <f>F251*($B$235+2-1)*(1-$B$234)/2</f>
        <v/>
      </c>
      <c r="G252" s="11">
        <f>G251+F252</f>
        <v/>
      </c>
      <c r="H252" s="11">
        <f>H251-(1-G251)</f>
        <v/>
      </c>
      <c r="I252" s="11">
        <f>I251-H252</f>
        <v/>
      </c>
    </row>
    <row r="253">
      <c r="A253" s="10" t="n">
        <v>3</v>
      </c>
      <c r="B253" s="11">
        <f>IF($B$225=1,_xlfn.POISSON.DIST(3,$B$223,FALSE),B252*(B227+3-1)*(1-B226)/3)</f>
        <v/>
      </c>
      <c r="C253" s="11">
        <f>C252+B253</f>
        <v/>
      </c>
      <c r="D253" s="11">
        <f>D252-(1-C252)</f>
        <v/>
      </c>
      <c r="E253" s="11">
        <f>E252-D253</f>
        <v/>
      </c>
      <c r="F253" s="11">
        <f>F252*($B$235+3-1)*(1-$B$234)/3</f>
        <v/>
      </c>
      <c r="G253" s="11">
        <f>G252+F253</f>
        <v/>
      </c>
      <c r="H253" s="11">
        <f>H252-(1-G252)</f>
        <v/>
      </c>
      <c r="I253" s="11">
        <f>I252-H253</f>
        <v/>
      </c>
    </row>
    <row r="254">
      <c r="A254" s="10" t="n">
        <v>4</v>
      </c>
      <c r="B254" s="11">
        <f>IF($B$225=1,_xlfn.POISSON.DIST(4,$B$223,FALSE),B253*(B227+4-1)*(1-B226)/4)</f>
        <v/>
      </c>
      <c r="C254" s="11">
        <f>C253+B254</f>
        <v/>
      </c>
      <c r="D254" s="11">
        <f>D253-(1-C253)</f>
        <v/>
      </c>
      <c r="E254" s="11">
        <f>E253-D254</f>
        <v/>
      </c>
      <c r="F254" s="11">
        <f>F253*($B$235+4-1)*(1-$B$234)/4</f>
        <v/>
      </c>
      <c r="G254" s="11">
        <f>G253+F254</f>
        <v/>
      </c>
      <c r="H254" s="11">
        <f>H253-(1-G253)</f>
        <v/>
      </c>
      <c r="I254" s="11">
        <f>I253-H254</f>
        <v/>
      </c>
    </row>
    <row r="255">
      <c r="A255" s="10" t="n">
        <v>5</v>
      </c>
      <c r="B255" s="11">
        <f>IF($B$225=1,_xlfn.POISSON.DIST(5,$B$223,FALSE),B254*(B227+5-1)*(1-B226)/5)</f>
        <v/>
      </c>
      <c r="C255" s="11">
        <f>C254+B255</f>
        <v/>
      </c>
      <c r="D255" s="11">
        <f>D254-(1-C254)</f>
        <v/>
      </c>
      <c r="E255" s="11">
        <f>E254-D255</f>
        <v/>
      </c>
      <c r="F255" s="11">
        <f>F254*($B$235+5-1)*(1-$B$234)/5</f>
        <v/>
      </c>
      <c r="G255" s="11">
        <f>G254+F255</f>
        <v/>
      </c>
      <c r="H255" s="11">
        <f>H254-(1-G254)</f>
        <v/>
      </c>
      <c r="I255" s="11">
        <f>I254-H255</f>
        <v/>
      </c>
    </row>
    <row r="256">
      <c r="A256" s="10" t="n">
        <v>6</v>
      </c>
      <c r="B256" s="11">
        <f>IF($B$225=1,_xlfn.POISSON.DIST(6,$B$223,FALSE),B255*(B227+6-1)*(1-B226)/6)</f>
        <v/>
      </c>
      <c r="C256" s="11">
        <f>C255+B256</f>
        <v/>
      </c>
      <c r="D256" s="11">
        <f>D255-(1-C255)</f>
        <v/>
      </c>
      <c r="E256" s="11">
        <f>E255-D256</f>
        <v/>
      </c>
      <c r="F256" s="11">
        <f>F255*($B$235+6-1)*(1-$B$234)/6</f>
        <v/>
      </c>
      <c r="G256" s="11">
        <f>G255+F256</f>
        <v/>
      </c>
      <c r="H256" s="11">
        <f>H255-(1-G255)</f>
        <v/>
      </c>
      <c r="I256" s="11">
        <f>I255-H256</f>
        <v/>
      </c>
    </row>
    <row r="257">
      <c r="A257" s="10" t="n">
        <v>7</v>
      </c>
      <c r="B257" s="11">
        <f>IF($B$225=1,_xlfn.POISSON.DIST(7,$B$223,FALSE),B256*(B227+7-1)*(1-B226)/7)</f>
        <v/>
      </c>
      <c r="C257" s="11">
        <f>C256+B257</f>
        <v/>
      </c>
      <c r="D257" s="11">
        <f>D256-(1-C256)</f>
        <v/>
      </c>
      <c r="E257" s="11">
        <f>E256-D257</f>
        <v/>
      </c>
      <c r="F257" s="11">
        <f>F256*($B$235+7-1)*(1-$B$234)/7</f>
        <v/>
      </c>
      <c r="G257" s="11">
        <f>G256+F257</f>
        <v/>
      </c>
      <c r="H257" s="11">
        <f>H256-(1-G256)</f>
        <v/>
      </c>
      <c r="I257" s="11">
        <f>I256-H257</f>
        <v/>
      </c>
    </row>
    <row r="258">
      <c r="A258" s="10" t="n">
        <v>8</v>
      </c>
      <c r="B258" s="11">
        <f>IF($B$225=1,_xlfn.POISSON.DIST(8,$B$223,FALSE),B257*(B227+8-1)*(1-B226)/8)</f>
        <v/>
      </c>
      <c r="C258" s="11">
        <f>C257+B258</f>
        <v/>
      </c>
      <c r="D258" s="11">
        <f>D257-(1-C257)</f>
        <v/>
      </c>
      <c r="E258" s="11">
        <f>E257-D258</f>
        <v/>
      </c>
      <c r="F258" s="11">
        <f>F257*($B$235+8-1)*(1-$B$234)/8</f>
        <v/>
      </c>
      <c r="G258" s="11">
        <f>G257+F258</f>
        <v/>
      </c>
      <c r="H258" s="11">
        <f>H257-(1-G257)</f>
        <v/>
      </c>
      <c r="I258" s="11">
        <f>I257-H258</f>
        <v/>
      </c>
    </row>
    <row r="259">
      <c r="A259" s="10" t="n">
        <v>9</v>
      </c>
      <c r="B259" s="11">
        <f>IF($B$225=1,_xlfn.POISSON.DIST(9,$B$223,FALSE),B258*(B227+9-1)*(1-B226)/9)</f>
        <v/>
      </c>
      <c r="C259" s="11">
        <f>C258+B259</f>
        <v/>
      </c>
      <c r="D259" s="11">
        <f>D258-(1-C258)</f>
        <v/>
      </c>
      <c r="E259" s="11">
        <f>E258-D259</f>
        <v/>
      </c>
      <c r="F259" s="11">
        <f>F258*($B$235+9-1)*(1-$B$234)/9</f>
        <v/>
      </c>
      <c r="G259" s="11">
        <f>G258+F259</f>
        <v/>
      </c>
      <c r="H259" s="11">
        <f>H258-(1-G258)</f>
        <v/>
      </c>
      <c r="I259" s="11">
        <f>I258-H259</f>
        <v/>
      </c>
    </row>
    <row r="260">
      <c r="A260" s="10" t="n">
        <v>10</v>
      </c>
      <c r="B260" s="11">
        <f>IF($B$225=1,_xlfn.POISSON.DIST(10,$B$223,FALSE),B259*(B227+10-1)*(1-B226)/10)</f>
        <v/>
      </c>
      <c r="C260" s="11">
        <f>C259+B260</f>
        <v/>
      </c>
      <c r="D260" s="11">
        <f>D259-(1-C259)</f>
        <v/>
      </c>
      <c r="E260" s="11">
        <f>E259-D260</f>
        <v/>
      </c>
      <c r="F260" s="11">
        <f>F259*($B$235+10-1)*(1-$B$234)/10</f>
        <v/>
      </c>
      <c r="G260" s="11">
        <f>G259+F260</f>
        <v/>
      </c>
      <c r="H260" s="11">
        <f>H259-(1-G259)</f>
        <v/>
      </c>
      <c r="I260" s="11">
        <f>I259-H260</f>
        <v/>
      </c>
    </row>
    <row r="261">
      <c r="A261" s="10" t="n">
        <v>11</v>
      </c>
      <c r="B261" s="11">
        <f>IF($B$225=1,_xlfn.POISSON.DIST(11,$B$223,FALSE),B260*(B227+11-1)*(1-B226)/11)</f>
        <v/>
      </c>
      <c r="C261" s="11">
        <f>C260+B261</f>
        <v/>
      </c>
      <c r="D261" s="11">
        <f>D260-(1-C260)</f>
        <v/>
      </c>
      <c r="E261" s="11">
        <f>E260-D261</f>
        <v/>
      </c>
      <c r="F261" s="11">
        <f>F260*($B$235+11-1)*(1-$B$234)/11</f>
        <v/>
      </c>
      <c r="G261" s="11">
        <f>G260+F261</f>
        <v/>
      </c>
      <c r="H261" s="11">
        <f>H260-(1-G260)</f>
        <v/>
      </c>
      <c r="I261" s="11">
        <f>I260-H261</f>
        <v/>
      </c>
    </row>
    <row r="262">
      <c r="A262" s="10" t="n">
        <v>12</v>
      </c>
      <c r="B262" s="11">
        <f>IF($B$225=1,_xlfn.POISSON.DIST(12,$B$223,FALSE),B261*(B227+12-1)*(1-B226)/12)</f>
        <v/>
      </c>
      <c r="C262" s="11">
        <f>C261+B262</f>
        <v/>
      </c>
      <c r="D262" s="11">
        <f>D261-(1-C261)</f>
        <v/>
      </c>
      <c r="E262" s="11">
        <f>E261-D262</f>
        <v/>
      </c>
      <c r="F262" s="11">
        <f>F261*($B$235+12-1)*(1-$B$234)/12</f>
        <v/>
      </c>
      <c r="G262" s="11">
        <f>G261+F262</f>
        <v/>
      </c>
      <c r="H262" s="11">
        <f>H261-(1-G261)</f>
        <v/>
      </c>
      <c r="I262" s="11">
        <f>I261-H262</f>
        <v/>
      </c>
    </row>
    <row r="263">
      <c r="A263" s="10" t="n">
        <v>13</v>
      </c>
      <c r="B263" s="11">
        <f>IF($B$225=1,_xlfn.POISSON.DIST(13,$B$223,FALSE),B262*(B227+13-1)*(1-B226)/13)</f>
        <v/>
      </c>
      <c r="C263" s="11">
        <f>C262+B263</f>
        <v/>
      </c>
      <c r="D263" s="11">
        <f>D262-(1-C262)</f>
        <v/>
      </c>
      <c r="E263" s="11">
        <f>E262-D263</f>
        <v/>
      </c>
      <c r="F263" s="11">
        <f>F262*($B$235+13-1)*(1-$B$234)/13</f>
        <v/>
      </c>
      <c r="G263" s="11">
        <f>G262+F263</f>
        <v/>
      </c>
      <c r="H263" s="11">
        <f>H262-(1-G262)</f>
        <v/>
      </c>
      <c r="I263" s="11">
        <f>I262-H263</f>
        <v/>
      </c>
    </row>
    <row r="264">
      <c r="A264" s="10" t="n">
        <v>14</v>
      </c>
      <c r="B264" s="11">
        <f>IF($B$225=1,_xlfn.POISSON.DIST(14,$B$223,FALSE),B263*(B227+14-1)*(1-B226)/14)</f>
        <v/>
      </c>
      <c r="C264" s="11">
        <f>C263+B264</f>
        <v/>
      </c>
      <c r="D264" s="11">
        <f>D263-(1-C263)</f>
        <v/>
      </c>
      <c r="E264" s="11">
        <f>E263-D264</f>
        <v/>
      </c>
      <c r="F264" s="11">
        <f>F263*($B$235+14-1)*(1-$B$234)/14</f>
        <v/>
      </c>
      <c r="G264" s="11">
        <f>G263+F264</f>
        <v/>
      </c>
      <c r="H264" s="11">
        <f>H263-(1-G263)</f>
        <v/>
      </c>
      <c r="I264" s="11">
        <f>I263-H264</f>
        <v/>
      </c>
    </row>
    <row r="265">
      <c r="A265" s="10" t="n">
        <v>15</v>
      </c>
      <c r="B265" s="11">
        <f>IF($B$225=1,_xlfn.POISSON.DIST(15,$B$223,FALSE),B264*(B227+15-1)*(1-B226)/15)</f>
        <v/>
      </c>
      <c r="C265" s="11">
        <f>C264+B265</f>
        <v/>
      </c>
      <c r="D265" s="11">
        <f>D264-(1-C264)</f>
        <v/>
      </c>
      <c r="E265" s="11">
        <f>E264-D265</f>
        <v/>
      </c>
      <c r="F265" s="11">
        <f>F264*($B$235+15-1)*(1-$B$234)/15</f>
        <v/>
      </c>
      <c r="G265" s="11">
        <f>G264+F265</f>
        <v/>
      </c>
      <c r="H265" s="11">
        <f>H264-(1-G264)</f>
        <v/>
      </c>
      <c r="I265" s="11">
        <f>I264-H265</f>
        <v/>
      </c>
    </row>
    <row r="266">
      <c r="A266" s="10" t="n">
        <v>16</v>
      </c>
      <c r="B266" s="11">
        <f>IF($B$225=1,_xlfn.POISSON.DIST(16,$B$223,FALSE),B265*(B227+16-1)*(1-B226)/16)</f>
        <v/>
      </c>
      <c r="C266" s="11">
        <f>C265+B266</f>
        <v/>
      </c>
      <c r="D266" s="11">
        <f>D265-(1-C265)</f>
        <v/>
      </c>
      <c r="E266" s="11">
        <f>E265-D266</f>
        <v/>
      </c>
      <c r="F266" s="11">
        <f>F265*($B$235+16-1)*(1-$B$234)/16</f>
        <v/>
      </c>
      <c r="G266" s="11">
        <f>G265+F266</f>
        <v/>
      </c>
      <c r="H266" s="11">
        <f>H265-(1-G265)</f>
        <v/>
      </c>
      <c r="I266" s="11">
        <f>I265-H266</f>
        <v/>
      </c>
    </row>
    <row r="267">
      <c r="A267" s="10" t="n">
        <v>17</v>
      </c>
      <c r="B267" s="11">
        <f>IF($B$225=1,_xlfn.POISSON.DIST(17,$B$223,FALSE),B266*(B227+17-1)*(1-B226)/17)</f>
        <v/>
      </c>
      <c r="C267" s="11">
        <f>C266+B267</f>
        <v/>
      </c>
      <c r="D267" s="11">
        <f>D266-(1-C266)</f>
        <v/>
      </c>
      <c r="E267" s="11">
        <f>E266-D267</f>
        <v/>
      </c>
      <c r="F267" s="11">
        <f>F266*($B$235+17-1)*(1-$B$234)/17</f>
        <v/>
      </c>
      <c r="G267" s="11">
        <f>G266+F267</f>
        <v/>
      </c>
      <c r="H267" s="11">
        <f>H266-(1-G266)</f>
        <v/>
      </c>
      <c r="I267" s="11">
        <f>I266-H267</f>
        <v/>
      </c>
    </row>
    <row r="268">
      <c r="A268" s="10" t="n">
        <v>18</v>
      </c>
      <c r="B268" s="11">
        <f>IF($B$225=1,_xlfn.POISSON.DIST(18,$B$223,FALSE),B267*(B227+18-1)*(1-B226)/18)</f>
        <v/>
      </c>
      <c r="C268" s="11">
        <f>C267+B268</f>
        <v/>
      </c>
      <c r="D268" s="11">
        <f>D267-(1-C267)</f>
        <v/>
      </c>
      <c r="E268" s="11">
        <f>E267-D268</f>
        <v/>
      </c>
      <c r="F268" s="11">
        <f>F267*($B$235+18-1)*(1-$B$234)/18</f>
        <v/>
      </c>
      <c r="G268" s="11">
        <f>G267+F268</f>
        <v/>
      </c>
      <c r="H268" s="11">
        <f>H267-(1-G267)</f>
        <v/>
      </c>
      <c r="I268" s="11">
        <f>I267-H268</f>
        <v/>
      </c>
    </row>
    <row r="269">
      <c r="A269" s="10" t="n">
        <v>19</v>
      </c>
      <c r="B269" s="11">
        <f>IF($B$225=1,_xlfn.POISSON.DIST(19,$B$223,FALSE),B268*(B227+19-1)*(1-B226)/19)</f>
        <v/>
      </c>
      <c r="C269" s="11">
        <f>C268+B269</f>
        <v/>
      </c>
      <c r="D269" s="11">
        <f>D268-(1-C268)</f>
        <v/>
      </c>
      <c r="E269" s="11">
        <f>E268-D269</f>
        <v/>
      </c>
      <c r="F269" s="11">
        <f>F268*($B$235+19-1)*(1-$B$234)/19</f>
        <v/>
      </c>
      <c r="G269" s="11">
        <f>G268+F269</f>
        <v/>
      </c>
      <c r="H269" s="11">
        <f>H268-(1-G268)</f>
        <v/>
      </c>
      <c r="I269" s="11">
        <f>I268-H269</f>
        <v/>
      </c>
    </row>
    <row r="270">
      <c r="A270" s="10" t="n">
        <v>20</v>
      </c>
      <c r="B270" s="11">
        <f>IF($B$225=1,_xlfn.POISSON.DIST(20,$B$223,FALSE),B269*(B227+20-1)*(1-B226)/20)</f>
        <v/>
      </c>
      <c r="C270" s="11">
        <f>C269+B270</f>
        <v/>
      </c>
      <c r="D270" s="11">
        <f>D269-(1-C269)</f>
        <v/>
      </c>
      <c r="E270" s="11">
        <f>E269-D270</f>
        <v/>
      </c>
      <c r="F270" s="11">
        <f>F269*($B$235+20-1)*(1-$B$234)/20</f>
        <v/>
      </c>
      <c r="G270" s="11">
        <f>G269+F270</f>
        <v/>
      </c>
      <c r="H270" s="11">
        <f>H269-(1-G269)</f>
        <v/>
      </c>
      <c r="I270" s="11">
        <f>I269-H270</f>
        <v/>
      </c>
    </row>
    <row r="271">
      <c r="A271" s="10" t="n">
        <v>21</v>
      </c>
      <c r="B271" s="11">
        <f>IF($B$225=1,_xlfn.POISSON.DIST(21,$B$223,FALSE),B270*(B227+21-1)*(1-B226)/21)</f>
        <v/>
      </c>
      <c r="C271" s="11">
        <f>C270+B271</f>
        <v/>
      </c>
      <c r="D271" s="11">
        <f>D270-(1-C270)</f>
        <v/>
      </c>
      <c r="E271" s="11">
        <f>E270-D271</f>
        <v/>
      </c>
      <c r="F271" s="11">
        <f>F270*($B$235+21-1)*(1-$B$234)/21</f>
        <v/>
      </c>
      <c r="G271" s="11">
        <f>G270+F271</f>
        <v/>
      </c>
      <c r="H271" s="11">
        <f>H270-(1-G270)</f>
        <v/>
      </c>
      <c r="I271" s="11">
        <f>I270-H271</f>
        <v/>
      </c>
    </row>
    <row r="272">
      <c r="A272" s="10" t="n">
        <v>22</v>
      </c>
      <c r="B272" s="11">
        <f>IF($B$225=1,_xlfn.POISSON.DIST(22,$B$223,FALSE),B271*(B227+22-1)*(1-B226)/22)</f>
        <v/>
      </c>
      <c r="C272" s="11">
        <f>C271+B272</f>
        <v/>
      </c>
      <c r="D272" s="11">
        <f>D271-(1-C271)</f>
        <v/>
      </c>
      <c r="E272" s="11">
        <f>E271-D272</f>
        <v/>
      </c>
      <c r="F272" s="11">
        <f>F271*($B$235+22-1)*(1-$B$234)/22</f>
        <v/>
      </c>
      <c r="G272" s="11">
        <f>G271+F272</f>
        <v/>
      </c>
      <c r="H272" s="11">
        <f>H271-(1-G271)</f>
        <v/>
      </c>
      <c r="I272" s="11">
        <f>I271-H272</f>
        <v/>
      </c>
    </row>
    <row r="273">
      <c r="A273" s="10" t="n">
        <v>23</v>
      </c>
      <c r="B273" s="11">
        <f>IF($B$225=1,_xlfn.POISSON.DIST(23,$B$223,FALSE),B272*(B227+23-1)*(1-B226)/23)</f>
        <v/>
      </c>
      <c r="C273" s="11">
        <f>C272+B273</f>
        <v/>
      </c>
      <c r="D273" s="11">
        <f>D272-(1-C272)</f>
        <v/>
      </c>
      <c r="E273" s="11">
        <f>E272-D273</f>
        <v/>
      </c>
      <c r="F273" s="11">
        <f>F272*($B$235+23-1)*(1-$B$234)/23</f>
        <v/>
      </c>
      <c r="G273" s="11">
        <f>G272+F273</f>
        <v/>
      </c>
      <c r="H273" s="11">
        <f>H272-(1-G272)</f>
        <v/>
      </c>
      <c r="I273" s="11">
        <f>I272-H273</f>
        <v/>
      </c>
    </row>
    <row r="274">
      <c r="A274" s="10" t="n">
        <v>24</v>
      </c>
      <c r="B274" s="11">
        <f>IF($B$225=1,_xlfn.POISSON.DIST(24,$B$223,FALSE),B273*(B227+24-1)*(1-B226)/24)</f>
        <v/>
      </c>
      <c r="C274" s="11">
        <f>C273+B274</f>
        <v/>
      </c>
      <c r="D274" s="11">
        <f>D273-(1-C273)</f>
        <v/>
      </c>
      <c r="E274" s="11">
        <f>E273-D274</f>
        <v/>
      </c>
      <c r="F274" s="11">
        <f>F273*($B$235+24-1)*(1-$B$234)/24</f>
        <v/>
      </c>
      <c r="G274" s="11">
        <f>G273+F274</f>
        <v/>
      </c>
      <c r="H274" s="11">
        <f>H273-(1-G273)</f>
        <v/>
      </c>
      <c r="I274" s="11">
        <f>I273-H274</f>
        <v/>
      </c>
    </row>
    <row r="275">
      <c r="A275" s="10" t="n">
        <v>25</v>
      </c>
      <c r="B275" s="11">
        <f>IF($B$225=1,_xlfn.POISSON.DIST(25,$B$223,FALSE),B274*(B227+25-1)*(1-B226)/25)</f>
        <v/>
      </c>
      <c r="C275" s="11">
        <f>C274+B275</f>
        <v/>
      </c>
      <c r="D275" s="11">
        <f>D274-(1-C274)</f>
        <v/>
      </c>
      <c r="E275" s="11">
        <f>E274-D275</f>
        <v/>
      </c>
      <c r="F275" s="11">
        <f>F274*($B$235+25-1)*(1-$B$234)/25</f>
        <v/>
      </c>
      <c r="G275" s="11">
        <f>G274+F275</f>
        <v/>
      </c>
      <c r="H275" s="11">
        <f>H274-(1-G274)</f>
        <v/>
      </c>
      <c r="I275" s="11">
        <f>I274-H275</f>
        <v/>
      </c>
    </row>
    <row r="276">
      <c r="A276" s="10" t="n">
        <v>26</v>
      </c>
      <c r="B276" s="11">
        <f>IF($B$225=1,_xlfn.POISSON.DIST(26,$B$223,FALSE),B275*(B227+26-1)*(1-B226)/26)</f>
        <v/>
      </c>
      <c r="C276" s="11">
        <f>C275+B276</f>
        <v/>
      </c>
      <c r="D276" s="11">
        <f>D275-(1-C275)</f>
        <v/>
      </c>
      <c r="E276" s="11">
        <f>E275-D276</f>
        <v/>
      </c>
      <c r="F276" s="11">
        <f>F275*($B$235+26-1)*(1-$B$234)/26</f>
        <v/>
      </c>
      <c r="G276" s="11">
        <f>G275+F276</f>
        <v/>
      </c>
      <c r="H276" s="11">
        <f>H275-(1-G275)</f>
        <v/>
      </c>
      <c r="I276" s="11">
        <f>I275-H276</f>
        <v/>
      </c>
    </row>
    <row r="277">
      <c r="A277" s="10" t="n">
        <v>27</v>
      </c>
      <c r="B277" s="11">
        <f>IF($B$225=1,_xlfn.POISSON.DIST(27,$B$223,FALSE),B276*(B227+27-1)*(1-B226)/27)</f>
        <v/>
      </c>
      <c r="C277" s="11">
        <f>C276+B277</f>
        <v/>
      </c>
      <c r="D277" s="11">
        <f>D276-(1-C276)</f>
        <v/>
      </c>
      <c r="E277" s="11">
        <f>E276-D277</f>
        <v/>
      </c>
      <c r="F277" s="11">
        <f>F276*($B$235+27-1)*(1-$B$234)/27</f>
        <v/>
      </c>
      <c r="G277" s="11">
        <f>G276+F277</f>
        <v/>
      </c>
      <c r="H277" s="11">
        <f>H276-(1-G276)</f>
        <v/>
      </c>
      <c r="I277" s="11">
        <f>I276-H277</f>
        <v/>
      </c>
    </row>
    <row r="278">
      <c r="A278" s="10" t="n">
        <v>28</v>
      </c>
      <c r="B278" s="11">
        <f>IF($B$225=1,_xlfn.POISSON.DIST(28,$B$223,FALSE),B277*(B227+28-1)*(1-B226)/28)</f>
        <v/>
      </c>
      <c r="C278" s="11">
        <f>C277+B278</f>
        <v/>
      </c>
      <c r="D278" s="11">
        <f>D277-(1-C277)</f>
        <v/>
      </c>
      <c r="E278" s="11">
        <f>E277-D278</f>
        <v/>
      </c>
      <c r="F278" s="11">
        <f>F277*($B$235+28-1)*(1-$B$234)/28</f>
        <v/>
      </c>
      <c r="G278" s="11">
        <f>G277+F278</f>
        <v/>
      </c>
      <c r="H278" s="11">
        <f>H277-(1-G277)</f>
        <v/>
      </c>
      <c r="I278" s="11">
        <f>I277-H278</f>
        <v/>
      </c>
    </row>
    <row r="279">
      <c r="A279" s="10" t="n">
        <v>29</v>
      </c>
      <c r="B279" s="11">
        <f>IF($B$225=1,_xlfn.POISSON.DIST(29,$B$223,FALSE),B278*(B227+29-1)*(1-B226)/29)</f>
        <v/>
      </c>
      <c r="C279" s="11">
        <f>C278+B279</f>
        <v/>
      </c>
      <c r="D279" s="11">
        <f>D278-(1-C278)</f>
        <v/>
      </c>
      <c r="E279" s="11">
        <f>E278-D279</f>
        <v/>
      </c>
      <c r="F279" s="11">
        <f>F278*($B$235+29-1)*(1-$B$234)/29</f>
        <v/>
      </c>
      <c r="G279" s="11">
        <f>G278+F279</f>
        <v/>
      </c>
      <c r="H279" s="11">
        <f>H278-(1-G278)</f>
        <v/>
      </c>
      <c r="I279" s="11">
        <f>I278-H279</f>
        <v/>
      </c>
    </row>
    <row r="280">
      <c r="A280" s="10" t="n">
        <v>30</v>
      </c>
      <c r="B280" s="11">
        <f>IF($B$225=1,_xlfn.POISSON.DIST(30,$B$223,FALSE),B279*(B227+30-1)*(1-B226)/30)</f>
        <v/>
      </c>
      <c r="C280" s="11">
        <f>C279+B280</f>
        <v/>
      </c>
      <c r="D280" s="11">
        <f>D279-(1-C279)</f>
        <v/>
      </c>
      <c r="E280" s="11">
        <f>E279-D280</f>
        <v/>
      </c>
      <c r="F280" s="11">
        <f>F279*($B$235+30-1)*(1-$B$234)/30</f>
        <v/>
      </c>
      <c r="G280" s="11">
        <f>G279+F280</f>
        <v/>
      </c>
      <c r="H280" s="11">
        <f>H279-(1-G279)</f>
        <v/>
      </c>
      <c r="I280" s="11">
        <f>I279-H280</f>
        <v/>
      </c>
    </row>
    <row r="281">
      <c r="A281" s="10" t="n">
        <v>31</v>
      </c>
      <c r="B281" s="11">
        <f>IF($B$225=1,_xlfn.POISSON.DIST(31,$B$223,FALSE),B280*(B227+31-1)*(1-B226)/31)</f>
        <v/>
      </c>
      <c r="C281" s="11">
        <f>C280+B281</f>
        <v/>
      </c>
      <c r="D281" s="11">
        <f>D280-(1-C280)</f>
        <v/>
      </c>
      <c r="E281" s="11">
        <f>E280-D281</f>
        <v/>
      </c>
      <c r="F281" s="11">
        <f>F280*($B$235+31-1)*(1-$B$234)/31</f>
        <v/>
      </c>
      <c r="G281" s="11">
        <f>G280+F281</f>
        <v/>
      </c>
      <c r="H281" s="11">
        <f>H280-(1-G280)</f>
        <v/>
      </c>
      <c r="I281" s="11">
        <f>I280-H281</f>
        <v/>
      </c>
    </row>
    <row r="282">
      <c r="A282" s="10" t="n">
        <v>32</v>
      </c>
      <c r="B282" s="11">
        <f>IF($B$225=1,_xlfn.POISSON.DIST(32,$B$223,FALSE),B281*(B227+32-1)*(1-B226)/32)</f>
        <v/>
      </c>
      <c r="C282" s="11">
        <f>C281+B282</f>
        <v/>
      </c>
      <c r="D282" s="11">
        <f>D281-(1-C281)</f>
        <v/>
      </c>
      <c r="E282" s="11">
        <f>E281-D282</f>
        <v/>
      </c>
      <c r="F282" s="11">
        <f>F281*($B$235+32-1)*(1-$B$234)/32</f>
        <v/>
      </c>
      <c r="G282" s="11">
        <f>G281+F282</f>
        <v/>
      </c>
      <c r="H282" s="11">
        <f>H281-(1-G281)</f>
        <v/>
      </c>
      <c r="I282" s="11">
        <f>I281-H282</f>
        <v/>
      </c>
    </row>
    <row r="283">
      <c r="A283" s="10" t="n">
        <v>33</v>
      </c>
      <c r="B283" s="11">
        <f>IF($B$225=1,_xlfn.POISSON.DIST(33,$B$223,FALSE),B282*(B227+33-1)*(1-B226)/33)</f>
        <v/>
      </c>
      <c r="C283" s="11">
        <f>C282+B283</f>
        <v/>
      </c>
      <c r="D283" s="11">
        <f>D282-(1-C282)</f>
        <v/>
      </c>
      <c r="E283" s="11">
        <f>E282-D283</f>
        <v/>
      </c>
      <c r="F283" s="11">
        <f>F282*($B$235+33-1)*(1-$B$234)/33</f>
        <v/>
      </c>
      <c r="G283" s="11">
        <f>G282+F283</f>
        <v/>
      </c>
      <c r="H283" s="11">
        <f>H282-(1-G282)</f>
        <v/>
      </c>
      <c r="I283" s="11">
        <f>I282-H283</f>
        <v/>
      </c>
    </row>
    <row r="284">
      <c r="A284" s="10" t="n">
        <v>34</v>
      </c>
      <c r="B284" s="11">
        <f>IF($B$225=1,_xlfn.POISSON.DIST(34,$B$223,FALSE),B283*(B227+34-1)*(1-B226)/34)</f>
        <v/>
      </c>
      <c r="C284" s="11">
        <f>C283+B284</f>
        <v/>
      </c>
      <c r="D284" s="11">
        <f>D283-(1-C283)</f>
        <v/>
      </c>
      <c r="E284" s="11">
        <f>E283-D284</f>
        <v/>
      </c>
      <c r="F284" s="11">
        <f>F283*($B$235+34-1)*(1-$B$234)/34</f>
        <v/>
      </c>
      <c r="G284" s="11">
        <f>G283+F284</f>
        <v/>
      </c>
      <c r="H284" s="11">
        <f>H283-(1-G283)</f>
        <v/>
      </c>
      <c r="I284" s="11">
        <f>I283-H284</f>
        <v/>
      </c>
    </row>
    <row r="285">
      <c r="A285" s="10" t="n">
        <v>35</v>
      </c>
      <c r="B285" s="11">
        <f>IF($B$225=1,_xlfn.POISSON.DIST(35,$B$223,FALSE),B284*(B227+35-1)*(1-B226)/35)</f>
        <v/>
      </c>
      <c r="C285" s="11">
        <f>C284+B285</f>
        <v/>
      </c>
      <c r="D285" s="11">
        <f>D284-(1-C284)</f>
        <v/>
      </c>
      <c r="E285" s="11">
        <f>E284-D285</f>
        <v/>
      </c>
      <c r="F285" s="11">
        <f>F284*($B$235+35-1)*(1-$B$234)/35</f>
        <v/>
      </c>
      <c r="G285" s="11">
        <f>G284+F285</f>
        <v/>
      </c>
      <c r="H285" s="11">
        <f>H284-(1-G284)</f>
        <v/>
      </c>
      <c r="I285" s="11">
        <f>I284-H285</f>
        <v/>
      </c>
    </row>
    <row r="286">
      <c r="A286" s="10" t="n">
        <v>36</v>
      </c>
      <c r="B286" s="11">
        <f>IF($B$225=1,_xlfn.POISSON.DIST(36,$B$223,FALSE),B285*(B227+36-1)*(1-B226)/36)</f>
        <v/>
      </c>
      <c r="C286" s="11">
        <f>C285+B286</f>
        <v/>
      </c>
      <c r="D286" s="11">
        <f>D285-(1-C285)</f>
        <v/>
      </c>
      <c r="E286" s="11">
        <f>E285-D286</f>
        <v/>
      </c>
      <c r="F286" s="11">
        <f>F285*($B$235+36-1)*(1-$B$234)/36</f>
        <v/>
      </c>
      <c r="G286" s="11">
        <f>G285+F286</f>
        <v/>
      </c>
      <c r="H286" s="11">
        <f>H285-(1-G285)</f>
        <v/>
      </c>
      <c r="I286" s="11">
        <f>I285-H286</f>
        <v/>
      </c>
    </row>
    <row r="287">
      <c r="A287" s="10" t="n">
        <v>37</v>
      </c>
      <c r="B287" s="11">
        <f>IF($B$225=1,_xlfn.POISSON.DIST(37,$B$223,FALSE),B286*(B227+37-1)*(1-B226)/37)</f>
        <v/>
      </c>
      <c r="C287" s="11">
        <f>C286+B287</f>
        <v/>
      </c>
      <c r="D287" s="11">
        <f>D286-(1-C286)</f>
        <v/>
      </c>
      <c r="E287" s="11">
        <f>E286-D287</f>
        <v/>
      </c>
      <c r="F287" s="11">
        <f>F286*($B$235+37-1)*(1-$B$234)/37</f>
        <v/>
      </c>
      <c r="G287" s="11">
        <f>G286+F287</f>
        <v/>
      </c>
      <c r="H287" s="11">
        <f>H286-(1-G286)</f>
        <v/>
      </c>
      <c r="I287" s="11">
        <f>I286-H287</f>
        <v/>
      </c>
    </row>
    <row r="288">
      <c r="A288" s="10" t="n">
        <v>38</v>
      </c>
      <c r="B288" s="11">
        <f>IF($B$225=1,_xlfn.POISSON.DIST(38,$B$223,FALSE),B287*(B227+38-1)*(1-B226)/38)</f>
        <v/>
      </c>
      <c r="C288" s="11">
        <f>C287+B288</f>
        <v/>
      </c>
      <c r="D288" s="11">
        <f>D287-(1-C287)</f>
        <v/>
      </c>
      <c r="E288" s="11">
        <f>E287-D288</f>
        <v/>
      </c>
      <c r="F288" s="11">
        <f>F287*($B$235+38-1)*(1-$B$234)/38</f>
        <v/>
      </c>
      <c r="G288" s="11">
        <f>G287+F288</f>
        <v/>
      </c>
      <c r="H288" s="11">
        <f>H287-(1-G287)</f>
        <v/>
      </c>
      <c r="I288" s="11">
        <f>I287-H288</f>
        <v/>
      </c>
    </row>
    <row r="289">
      <c r="A289" s="10" t="n">
        <v>39</v>
      </c>
      <c r="B289" s="11">
        <f>IF($B$225=1,_xlfn.POISSON.DIST(39,$B$223,FALSE),B288*(B227+39-1)*(1-B226)/39)</f>
        <v/>
      </c>
      <c r="C289" s="11">
        <f>C288+B289</f>
        <v/>
      </c>
      <c r="D289" s="11">
        <f>D288-(1-C288)</f>
        <v/>
      </c>
      <c r="E289" s="11">
        <f>E288-D289</f>
        <v/>
      </c>
      <c r="F289" s="11">
        <f>F288*($B$235+39-1)*(1-$B$234)/39</f>
        <v/>
      </c>
      <c r="G289" s="11">
        <f>G288+F289</f>
        <v/>
      </c>
      <c r="H289" s="11">
        <f>H288-(1-G288)</f>
        <v/>
      </c>
      <c r="I289" s="11">
        <f>I288-H289</f>
        <v/>
      </c>
    </row>
    <row r="290">
      <c r="A290" s="10" t="n">
        <v>40</v>
      </c>
      <c r="B290" s="11">
        <f>IF($B$225=1,_xlfn.POISSON.DIST(40,$B$223,FALSE),B289*(B227+40-1)*(1-B226)/40)</f>
        <v/>
      </c>
      <c r="C290" s="11">
        <f>C289+B290</f>
        <v/>
      </c>
      <c r="D290" s="11">
        <f>D289-(1-C289)</f>
        <v/>
      </c>
      <c r="E290" s="11">
        <f>E289-D290</f>
        <v/>
      </c>
      <c r="F290" s="11">
        <f>F289*($B$235+40-1)*(1-$B$234)/40</f>
        <v/>
      </c>
      <c r="G290" s="11">
        <f>G289+F290</f>
        <v/>
      </c>
      <c r="H290" s="11">
        <f>H289-(1-G289)</f>
        <v/>
      </c>
      <c r="I290" s="11">
        <f>I289-H290</f>
        <v/>
      </c>
    </row>
    <row r="291">
      <c r="A291" s="10" t="n">
        <v>41</v>
      </c>
      <c r="B291" s="11">
        <f>IF($B$225=1,_xlfn.POISSON.DIST(41,$B$223,FALSE),B290*(B227+41-1)*(1-B226)/41)</f>
        <v/>
      </c>
      <c r="C291" s="11">
        <f>C290+B291</f>
        <v/>
      </c>
      <c r="D291" s="11">
        <f>D290-(1-C290)</f>
        <v/>
      </c>
      <c r="E291" s="11">
        <f>E290-D291</f>
        <v/>
      </c>
      <c r="F291" s="11">
        <f>F290*($B$235+41-1)*(1-$B$234)/41</f>
        <v/>
      </c>
      <c r="G291" s="11">
        <f>G290+F291</f>
        <v/>
      </c>
      <c r="H291" s="11">
        <f>H290-(1-G290)</f>
        <v/>
      </c>
      <c r="I291" s="11">
        <f>I290-H291</f>
        <v/>
      </c>
    </row>
    <row r="292">
      <c r="A292" s="10" t="n">
        <v>42</v>
      </c>
      <c r="B292" s="11">
        <f>IF($B$225=1,_xlfn.POISSON.DIST(42,$B$223,FALSE),B291*(B227+42-1)*(1-B226)/42)</f>
        <v/>
      </c>
      <c r="C292" s="11">
        <f>C291+B292</f>
        <v/>
      </c>
      <c r="D292" s="11">
        <f>D291-(1-C291)</f>
        <v/>
      </c>
      <c r="E292" s="11">
        <f>E291-D292</f>
        <v/>
      </c>
      <c r="F292" s="11">
        <f>F291*($B$235+42-1)*(1-$B$234)/42</f>
        <v/>
      </c>
      <c r="G292" s="11">
        <f>G291+F292</f>
        <v/>
      </c>
      <c r="H292" s="11">
        <f>H291-(1-G291)</f>
        <v/>
      </c>
      <c r="I292" s="11">
        <f>I291-H292</f>
        <v/>
      </c>
    </row>
    <row r="293">
      <c r="A293" s="10" t="n">
        <v>43</v>
      </c>
      <c r="B293" s="11">
        <f>IF($B$225=1,_xlfn.POISSON.DIST(43,$B$223,FALSE),B292*(B227+43-1)*(1-B226)/43)</f>
        <v/>
      </c>
      <c r="C293" s="11">
        <f>C292+B293</f>
        <v/>
      </c>
      <c r="D293" s="11">
        <f>D292-(1-C292)</f>
        <v/>
      </c>
      <c r="E293" s="11">
        <f>E292-D293</f>
        <v/>
      </c>
      <c r="F293" s="11">
        <f>F292*($B$235+43-1)*(1-$B$234)/43</f>
        <v/>
      </c>
      <c r="G293" s="11">
        <f>G292+F293</f>
        <v/>
      </c>
      <c r="H293" s="11">
        <f>H292-(1-G292)</f>
        <v/>
      </c>
      <c r="I293" s="11">
        <f>I292-H293</f>
        <v/>
      </c>
    </row>
    <row r="294">
      <c r="A294" s="10" t="n">
        <v>44</v>
      </c>
      <c r="B294" s="11">
        <f>IF($B$225=1,_xlfn.POISSON.DIST(44,$B$223,FALSE),B293*(B227+44-1)*(1-B226)/44)</f>
        <v/>
      </c>
      <c r="C294" s="11">
        <f>C293+B294</f>
        <v/>
      </c>
      <c r="D294" s="11">
        <f>D293-(1-C293)</f>
        <v/>
      </c>
      <c r="E294" s="11">
        <f>E293-D294</f>
        <v/>
      </c>
      <c r="F294" s="11">
        <f>F293*($B$235+44-1)*(1-$B$234)/44</f>
        <v/>
      </c>
      <c r="G294" s="11">
        <f>G293+F294</f>
        <v/>
      </c>
      <c r="H294" s="11">
        <f>H293-(1-G293)</f>
        <v/>
      </c>
      <c r="I294" s="11">
        <f>I293-H294</f>
        <v/>
      </c>
    </row>
    <row r="295">
      <c r="A295" s="10" t="n">
        <v>45</v>
      </c>
      <c r="B295" s="11">
        <f>IF($B$225=1,_xlfn.POISSON.DIST(45,$B$223,FALSE),B294*(B227+45-1)*(1-B226)/45)</f>
        <v/>
      </c>
      <c r="C295" s="11">
        <f>C294+B295</f>
        <v/>
      </c>
      <c r="D295" s="11">
        <f>D294-(1-C294)</f>
        <v/>
      </c>
      <c r="E295" s="11">
        <f>E294-D295</f>
        <v/>
      </c>
      <c r="F295" s="11">
        <f>F294*($B$235+45-1)*(1-$B$234)/45</f>
        <v/>
      </c>
      <c r="G295" s="11">
        <f>G294+F295</f>
        <v/>
      </c>
      <c r="H295" s="11">
        <f>H294-(1-G294)</f>
        <v/>
      </c>
      <c r="I295" s="11">
        <f>I294-H295</f>
        <v/>
      </c>
    </row>
    <row r="296">
      <c r="A296" s="10" t="n">
        <v>46</v>
      </c>
      <c r="B296" s="11">
        <f>IF($B$225=1,_xlfn.POISSON.DIST(46,$B$223,FALSE),B295*(B227+46-1)*(1-B226)/46)</f>
        <v/>
      </c>
      <c r="C296" s="11">
        <f>C295+B296</f>
        <v/>
      </c>
      <c r="D296" s="11">
        <f>D295-(1-C295)</f>
        <v/>
      </c>
      <c r="E296" s="11">
        <f>E295-D296</f>
        <v/>
      </c>
      <c r="F296" s="11">
        <f>F295*($B$235+46-1)*(1-$B$234)/46</f>
        <v/>
      </c>
      <c r="G296" s="11">
        <f>G295+F296</f>
        <v/>
      </c>
      <c r="H296" s="11">
        <f>H295-(1-G295)</f>
        <v/>
      </c>
      <c r="I296" s="11">
        <f>I295-H296</f>
        <v/>
      </c>
    </row>
    <row r="297">
      <c r="A297" s="10" t="n">
        <v>47</v>
      </c>
      <c r="B297" s="11">
        <f>IF($B$225=1,_xlfn.POISSON.DIST(47,$B$223,FALSE),B296*(B227+47-1)*(1-B226)/47)</f>
        <v/>
      </c>
      <c r="C297" s="11">
        <f>C296+B297</f>
        <v/>
      </c>
      <c r="D297" s="11">
        <f>D296-(1-C296)</f>
        <v/>
      </c>
      <c r="E297" s="11">
        <f>E296-D297</f>
        <v/>
      </c>
      <c r="F297" s="11">
        <f>F296*($B$235+47-1)*(1-$B$234)/47</f>
        <v/>
      </c>
      <c r="G297" s="11">
        <f>G296+F297</f>
        <v/>
      </c>
      <c r="H297" s="11">
        <f>H296-(1-G296)</f>
        <v/>
      </c>
      <c r="I297" s="11">
        <f>I296-H297</f>
        <v/>
      </c>
    </row>
    <row r="298">
      <c r="A298" s="10" t="n">
        <v>48</v>
      </c>
      <c r="B298" s="11">
        <f>IF($B$225=1,_xlfn.POISSON.DIST(48,$B$223,FALSE),B297*(B227+48-1)*(1-B226)/48)</f>
        <v/>
      </c>
      <c r="C298" s="11">
        <f>C297+B298</f>
        <v/>
      </c>
      <c r="D298" s="11">
        <f>D297-(1-C297)</f>
        <v/>
      </c>
      <c r="E298" s="11">
        <f>E297-D298</f>
        <v/>
      </c>
      <c r="F298" s="11">
        <f>F297*($B$235+48-1)*(1-$B$234)/48</f>
        <v/>
      </c>
      <c r="G298" s="11">
        <f>G297+F298</f>
        <v/>
      </c>
      <c r="H298" s="11">
        <f>H297-(1-G297)</f>
        <v/>
      </c>
      <c r="I298" s="11">
        <f>I297-H298</f>
        <v/>
      </c>
    </row>
    <row r="299">
      <c r="A299" s="10" t="n">
        <v>49</v>
      </c>
      <c r="B299" s="11">
        <f>IF($B$225=1,_xlfn.POISSON.DIST(49,$B$223,FALSE),B298*(B227+49-1)*(1-B226)/49)</f>
        <v/>
      </c>
      <c r="C299" s="11">
        <f>C298+B299</f>
        <v/>
      </c>
      <c r="D299" s="11">
        <f>D298-(1-C298)</f>
        <v/>
      </c>
      <c r="E299" s="11">
        <f>E298-D299</f>
        <v/>
      </c>
      <c r="F299" s="11">
        <f>F298*($B$235+49-1)*(1-$B$234)/49</f>
        <v/>
      </c>
      <c r="G299" s="11">
        <f>G298+F299</f>
        <v/>
      </c>
      <c r="H299" s="11">
        <f>H298-(1-G298)</f>
        <v/>
      </c>
      <c r="I299" s="11">
        <f>I298-H299</f>
        <v/>
      </c>
    </row>
    <row r="300">
      <c r="A300" s="10" t="n">
        <v>50</v>
      </c>
      <c r="B300" s="11">
        <f>IF($B$225=1,_xlfn.POISSON.DIST(50,$B$223,FALSE),B299*(B227+50-1)*(1-B226)/50)</f>
        <v/>
      </c>
      <c r="C300" s="11">
        <f>C299+B300</f>
        <v/>
      </c>
      <c r="D300" s="11">
        <f>D299-(1-C299)</f>
        <v/>
      </c>
      <c r="E300" s="11">
        <f>E299-D300</f>
        <v/>
      </c>
      <c r="F300" s="11">
        <f>F299*($B$235+50-1)*(1-$B$234)/50</f>
        <v/>
      </c>
      <c r="G300" s="11">
        <f>G299+F300</f>
        <v/>
      </c>
      <c r="H300" s="11">
        <f>H299-(1-G299)</f>
        <v/>
      </c>
      <c r="I300" s="11">
        <f>I299-H300</f>
        <v/>
      </c>
    </row>
    <row r="301">
      <c r="A301" s="10" t="n">
        <v>51</v>
      </c>
      <c r="B301" s="11">
        <f>IF($B$225=1,_xlfn.POISSON.DIST(51,$B$223,FALSE),B300*(B227+51-1)*(1-B226)/51)</f>
        <v/>
      </c>
      <c r="C301" s="11">
        <f>C300+B301</f>
        <v/>
      </c>
      <c r="D301" s="11">
        <f>D300-(1-C300)</f>
        <v/>
      </c>
      <c r="E301" s="11">
        <f>E300-D301</f>
        <v/>
      </c>
      <c r="F301" s="11">
        <f>F300*($B$235+51-1)*(1-$B$234)/51</f>
        <v/>
      </c>
      <c r="G301" s="11">
        <f>G300+F301</f>
        <v/>
      </c>
      <c r="H301" s="11">
        <f>H300-(1-G300)</f>
        <v/>
      </c>
      <c r="I301" s="11">
        <f>I300-H301</f>
        <v/>
      </c>
    </row>
    <row r="302">
      <c r="A302" s="10" t="n">
        <v>52</v>
      </c>
      <c r="B302" s="11">
        <f>IF($B$225=1,_xlfn.POISSON.DIST(52,$B$223,FALSE),B301*(B227+52-1)*(1-B226)/52)</f>
        <v/>
      </c>
      <c r="C302" s="11">
        <f>C301+B302</f>
        <v/>
      </c>
      <c r="D302" s="11">
        <f>D301-(1-C301)</f>
        <v/>
      </c>
      <c r="E302" s="11">
        <f>E301-D302</f>
        <v/>
      </c>
      <c r="F302" s="11">
        <f>F301*($B$235+52-1)*(1-$B$234)/52</f>
        <v/>
      </c>
      <c r="G302" s="11">
        <f>G301+F302</f>
        <v/>
      </c>
      <c r="H302" s="11">
        <f>H301-(1-G301)</f>
        <v/>
      </c>
      <c r="I302" s="11">
        <f>I301-H302</f>
        <v/>
      </c>
    </row>
    <row r="303">
      <c r="A303" s="10" t="n">
        <v>53</v>
      </c>
      <c r="B303" s="11">
        <f>IF($B$225=1,_xlfn.POISSON.DIST(53,$B$223,FALSE),B302*(B227+53-1)*(1-B226)/53)</f>
        <v/>
      </c>
      <c r="C303" s="11">
        <f>C302+B303</f>
        <v/>
      </c>
      <c r="D303" s="11">
        <f>D302-(1-C302)</f>
        <v/>
      </c>
      <c r="E303" s="11">
        <f>E302-D303</f>
        <v/>
      </c>
      <c r="F303" s="11">
        <f>F302*($B$235+53-1)*(1-$B$234)/53</f>
        <v/>
      </c>
      <c r="G303" s="11">
        <f>G302+F303</f>
        <v/>
      </c>
      <c r="H303" s="11">
        <f>H302-(1-G302)</f>
        <v/>
      </c>
      <c r="I303" s="11">
        <f>I302-H303</f>
        <v/>
      </c>
    </row>
    <row r="304">
      <c r="A304" s="10" t="n">
        <v>54</v>
      </c>
      <c r="B304" s="11">
        <f>IF($B$225=1,_xlfn.POISSON.DIST(54,$B$223,FALSE),B303*(B227+54-1)*(1-B226)/54)</f>
        <v/>
      </c>
      <c r="C304" s="11">
        <f>C303+B304</f>
        <v/>
      </c>
      <c r="D304" s="11">
        <f>D303-(1-C303)</f>
        <v/>
      </c>
      <c r="E304" s="11">
        <f>E303-D304</f>
        <v/>
      </c>
      <c r="F304" s="11">
        <f>F303*($B$235+54-1)*(1-$B$234)/54</f>
        <v/>
      </c>
      <c r="G304" s="11">
        <f>G303+F304</f>
        <v/>
      </c>
      <c r="H304" s="11">
        <f>H303-(1-G303)</f>
        <v/>
      </c>
      <c r="I304" s="11">
        <f>I303-H304</f>
        <v/>
      </c>
    </row>
    <row r="305">
      <c r="A305" s="10" t="n">
        <v>55</v>
      </c>
      <c r="B305" s="11">
        <f>IF($B$225=1,_xlfn.POISSON.DIST(55,$B$223,FALSE),B304*(B227+55-1)*(1-B226)/55)</f>
        <v/>
      </c>
      <c r="C305" s="11">
        <f>C304+B305</f>
        <v/>
      </c>
      <c r="D305" s="11">
        <f>D304-(1-C304)</f>
        <v/>
      </c>
      <c r="E305" s="11">
        <f>E304-D305</f>
        <v/>
      </c>
      <c r="F305" s="11">
        <f>F304*($B$235+55-1)*(1-$B$234)/55</f>
        <v/>
      </c>
      <c r="G305" s="11">
        <f>G304+F305</f>
        <v/>
      </c>
      <c r="H305" s="11">
        <f>H304-(1-G304)</f>
        <v/>
      </c>
      <c r="I305" s="11">
        <f>I304-H305</f>
        <v/>
      </c>
    </row>
    <row r="306">
      <c r="A306" s="10" t="n">
        <v>56</v>
      </c>
      <c r="B306" s="11">
        <f>IF($B$225=1,_xlfn.POISSON.DIST(56,$B$223,FALSE),B305*(B227+56-1)*(1-B226)/56)</f>
        <v/>
      </c>
      <c r="C306" s="11">
        <f>C305+B306</f>
        <v/>
      </c>
      <c r="D306" s="11">
        <f>D305-(1-C305)</f>
        <v/>
      </c>
      <c r="E306" s="11">
        <f>E305-D306</f>
        <v/>
      </c>
      <c r="F306" s="11">
        <f>F305*($B$235+56-1)*(1-$B$234)/56</f>
        <v/>
      </c>
      <c r="G306" s="11">
        <f>G305+F306</f>
        <v/>
      </c>
      <c r="H306" s="11">
        <f>H305-(1-G305)</f>
        <v/>
      </c>
      <c r="I306" s="11">
        <f>I305-H306</f>
        <v/>
      </c>
    </row>
    <row r="307">
      <c r="A307" s="10" t="n">
        <v>57</v>
      </c>
      <c r="B307" s="11">
        <f>IF($B$225=1,_xlfn.POISSON.DIST(57,$B$223,FALSE),B306*(B227+57-1)*(1-B226)/57)</f>
        <v/>
      </c>
      <c r="C307" s="11">
        <f>C306+B307</f>
        <v/>
      </c>
      <c r="D307" s="11">
        <f>D306-(1-C306)</f>
        <v/>
      </c>
      <c r="E307" s="11">
        <f>E306-D307</f>
        <v/>
      </c>
      <c r="F307" s="11">
        <f>F306*($B$235+57-1)*(1-$B$234)/57</f>
        <v/>
      </c>
      <c r="G307" s="11">
        <f>G306+F307</f>
        <v/>
      </c>
      <c r="H307" s="11">
        <f>H306-(1-G306)</f>
        <v/>
      </c>
      <c r="I307" s="11">
        <f>I306-H307</f>
        <v/>
      </c>
    </row>
    <row r="308">
      <c r="A308" s="10" t="n">
        <v>58</v>
      </c>
      <c r="B308" s="11">
        <f>IF($B$225=1,_xlfn.POISSON.DIST(58,$B$223,FALSE),B307*(B227+58-1)*(1-B226)/58)</f>
        <v/>
      </c>
      <c r="C308" s="11">
        <f>C307+B308</f>
        <v/>
      </c>
      <c r="D308" s="11">
        <f>D307-(1-C307)</f>
        <v/>
      </c>
      <c r="E308" s="11">
        <f>E307-D308</f>
        <v/>
      </c>
      <c r="F308" s="11">
        <f>F307*($B$235+58-1)*(1-$B$234)/58</f>
        <v/>
      </c>
      <c r="G308" s="11">
        <f>G307+F308</f>
        <v/>
      </c>
      <c r="H308" s="11">
        <f>H307-(1-G307)</f>
        <v/>
      </c>
      <c r="I308" s="11">
        <f>I307-H308</f>
        <v/>
      </c>
    </row>
    <row r="309">
      <c r="A309" s="10" t="n">
        <v>59</v>
      </c>
      <c r="B309" s="11">
        <f>IF($B$225=1,_xlfn.POISSON.DIST(59,$B$223,FALSE),B308*(B227+59-1)*(1-B226)/59)</f>
        <v/>
      </c>
      <c r="C309" s="11">
        <f>C308+B309</f>
        <v/>
      </c>
      <c r="D309" s="11">
        <f>D308-(1-C308)</f>
        <v/>
      </c>
      <c r="E309" s="11">
        <f>E308-D309</f>
        <v/>
      </c>
      <c r="F309" s="11">
        <f>F308*($B$235+59-1)*(1-$B$234)/59</f>
        <v/>
      </c>
      <c r="G309" s="11">
        <f>G308+F309</f>
        <v/>
      </c>
      <c r="H309" s="11">
        <f>H308-(1-G308)</f>
        <v/>
      </c>
      <c r="I309" s="11">
        <f>I308-H309</f>
        <v/>
      </c>
    </row>
    <row r="310">
      <c r="A310" s="10" t="n">
        <v>60</v>
      </c>
      <c r="B310" s="11">
        <f>IF($B$225=1,_xlfn.POISSON.DIST(60,$B$223,FALSE),B309*(B227+60-1)*(1-B226)/60)</f>
        <v/>
      </c>
      <c r="C310" s="11">
        <f>C309+B310</f>
        <v/>
      </c>
      <c r="D310" s="11">
        <f>D309-(1-C309)</f>
        <v/>
      </c>
      <c r="E310" s="11">
        <f>E309-D310</f>
        <v/>
      </c>
      <c r="F310" s="11">
        <f>F309*($B$235+60-1)*(1-$B$234)/60</f>
        <v/>
      </c>
      <c r="G310" s="11">
        <f>G309+F310</f>
        <v/>
      </c>
      <c r="H310" s="11">
        <f>H309-(1-G309)</f>
        <v/>
      </c>
      <c r="I310" s="11">
        <f>I309-H310</f>
        <v/>
      </c>
    </row>
    <row r="311">
      <c r="A311" s="10" t="n">
        <v>61</v>
      </c>
      <c r="B311" s="11">
        <f>IF($B$225=1,_xlfn.POISSON.DIST(61,$B$223,FALSE),B310*(B227+61-1)*(1-B226)/61)</f>
        <v/>
      </c>
      <c r="C311" s="11">
        <f>C310+B311</f>
        <v/>
      </c>
      <c r="D311" s="11">
        <f>D310-(1-C310)</f>
        <v/>
      </c>
      <c r="E311" s="11">
        <f>E310-D311</f>
        <v/>
      </c>
      <c r="F311" s="11">
        <f>F310*($B$235+61-1)*(1-$B$234)/61</f>
        <v/>
      </c>
      <c r="G311" s="11">
        <f>G310+F311</f>
        <v/>
      </c>
      <c r="H311" s="11">
        <f>H310-(1-G310)</f>
        <v/>
      </c>
      <c r="I311" s="11">
        <f>I310-H311</f>
        <v/>
      </c>
    </row>
    <row r="312">
      <c r="A312" s="10" t="n">
        <v>62</v>
      </c>
      <c r="B312" s="11">
        <f>IF($B$225=1,_xlfn.POISSON.DIST(62,$B$223,FALSE),B311*(B227+62-1)*(1-B226)/62)</f>
        <v/>
      </c>
      <c r="C312" s="11">
        <f>C311+B312</f>
        <v/>
      </c>
      <c r="D312" s="11">
        <f>D311-(1-C311)</f>
        <v/>
      </c>
      <c r="E312" s="11">
        <f>E311-D312</f>
        <v/>
      </c>
      <c r="F312" s="11">
        <f>F311*($B$235+62-1)*(1-$B$234)/62</f>
        <v/>
      </c>
      <c r="G312" s="11">
        <f>G311+F312</f>
        <v/>
      </c>
      <c r="H312" s="11">
        <f>H311-(1-G311)</f>
        <v/>
      </c>
      <c r="I312" s="11">
        <f>I311-H312</f>
        <v/>
      </c>
    </row>
    <row r="313">
      <c r="A313" s="10" t="n">
        <v>63</v>
      </c>
      <c r="B313" s="11">
        <f>IF($B$225=1,_xlfn.POISSON.DIST(63,$B$223,FALSE),B312*(B227+63-1)*(1-B226)/63)</f>
        <v/>
      </c>
      <c r="C313" s="11">
        <f>C312+B313</f>
        <v/>
      </c>
      <c r="D313" s="11">
        <f>D312-(1-C312)</f>
        <v/>
      </c>
      <c r="E313" s="11">
        <f>E312-D313</f>
        <v/>
      </c>
      <c r="F313" s="11">
        <f>F312*($B$235+63-1)*(1-$B$234)/63</f>
        <v/>
      </c>
      <c r="G313" s="11">
        <f>G312+F313</f>
        <v/>
      </c>
      <c r="H313" s="11">
        <f>H312-(1-G312)</f>
        <v/>
      </c>
      <c r="I313" s="11">
        <f>I312-H313</f>
        <v/>
      </c>
    </row>
    <row r="314">
      <c r="A314" s="10" t="n">
        <v>64</v>
      </c>
      <c r="B314" s="11">
        <f>IF($B$225=1,_xlfn.POISSON.DIST(64,$B$223,FALSE),B313*(B227+64-1)*(1-B226)/64)</f>
        <v/>
      </c>
      <c r="C314" s="11">
        <f>C313+B314</f>
        <v/>
      </c>
      <c r="D314" s="11">
        <f>D313-(1-C313)</f>
        <v/>
      </c>
      <c r="E314" s="11">
        <f>E313-D314</f>
        <v/>
      </c>
      <c r="F314" s="11">
        <f>F313*($B$235+64-1)*(1-$B$234)/64</f>
        <v/>
      </c>
      <c r="G314" s="11">
        <f>G313+F314</f>
        <v/>
      </c>
      <c r="H314" s="11">
        <f>H313-(1-G313)</f>
        <v/>
      </c>
      <c r="I314" s="11">
        <f>I313-H314</f>
        <v/>
      </c>
    </row>
    <row r="315">
      <c r="A315" s="10" t="n">
        <v>65</v>
      </c>
      <c r="B315" s="11">
        <f>IF($B$225=1,_xlfn.POISSON.DIST(65,$B$223,FALSE),B314*(B227+65-1)*(1-B226)/65)</f>
        <v/>
      </c>
      <c r="C315" s="11">
        <f>C314+B315</f>
        <v/>
      </c>
      <c r="D315" s="11">
        <f>D314-(1-C314)</f>
        <v/>
      </c>
      <c r="E315" s="11">
        <f>E314-D315</f>
        <v/>
      </c>
      <c r="F315" s="11">
        <f>F314*($B$235+65-1)*(1-$B$234)/65</f>
        <v/>
      </c>
      <c r="G315" s="11">
        <f>G314+F315</f>
        <v/>
      </c>
      <c r="H315" s="11">
        <f>H314-(1-G314)</f>
        <v/>
      </c>
      <c r="I315" s="11">
        <f>I314-H315</f>
        <v/>
      </c>
    </row>
    <row r="316">
      <c r="A316" s="10" t="n">
        <v>66</v>
      </c>
      <c r="B316" s="11">
        <f>IF($B$225=1,_xlfn.POISSON.DIST(66,$B$223,FALSE),B315*(B227+66-1)*(1-B226)/66)</f>
        <v/>
      </c>
      <c r="C316" s="11">
        <f>C315+B316</f>
        <v/>
      </c>
      <c r="D316" s="11">
        <f>D315-(1-C315)</f>
        <v/>
      </c>
      <c r="E316" s="11">
        <f>E315-D316</f>
        <v/>
      </c>
      <c r="F316" s="11">
        <f>F315*($B$235+66-1)*(1-$B$234)/66</f>
        <v/>
      </c>
      <c r="G316" s="11">
        <f>G315+F316</f>
        <v/>
      </c>
      <c r="H316" s="11">
        <f>H315-(1-G315)</f>
        <v/>
      </c>
      <c r="I316" s="11">
        <f>I315-H316</f>
        <v/>
      </c>
    </row>
    <row r="317">
      <c r="A317" s="10" t="n">
        <v>67</v>
      </c>
      <c r="B317" s="11">
        <f>IF($B$225=1,_xlfn.POISSON.DIST(67,$B$223,FALSE),B316*(B227+67-1)*(1-B226)/67)</f>
        <v/>
      </c>
      <c r="C317" s="11">
        <f>C316+B317</f>
        <v/>
      </c>
      <c r="D317" s="11">
        <f>D316-(1-C316)</f>
        <v/>
      </c>
      <c r="E317" s="11">
        <f>E316-D317</f>
        <v/>
      </c>
      <c r="F317" s="11">
        <f>F316*($B$235+67-1)*(1-$B$234)/67</f>
        <v/>
      </c>
      <c r="G317" s="11">
        <f>G316+F317</f>
        <v/>
      </c>
      <c r="H317" s="11">
        <f>H316-(1-G316)</f>
        <v/>
      </c>
      <c r="I317" s="11">
        <f>I316-H317</f>
        <v/>
      </c>
    </row>
    <row r="318">
      <c r="A318" s="10" t="n">
        <v>68</v>
      </c>
      <c r="B318" s="11">
        <f>IF($B$225=1,_xlfn.POISSON.DIST(68,$B$223,FALSE),B317*(B227+68-1)*(1-B226)/68)</f>
        <v/>
      </c>
      <c r="C318" s="11">
        <f>C317+B318</f>
        <v/>
      </c>
      <c r="D318" s="11">
        <f>D317-(1-C317)</f>
        <v/>
      </c>
      <c r="E318" s="11">
        <f>E317-D318</f>
        <v/>
      </c>
      <c r="F318" s="11">
        <f>F317*($B$235+68-1)*(1-$B$234)/68</f>
        <v/>
      </c>
      <c r="G318" s="11">
        <f>G317+F318</f>
        <v/>
      </c>
      <c r="H318" s="11">
        <f>H317-(1-G317)</f>
        <v/>
      </c>
      <c r="I318" s="11">
        <f>I317-H318</f>
        <v/>
      </c>
    </row>
    <row r="319">
      <c r="A319" s="10" t="n">
        <v>69</v>
      </c>
      <c r="B319" s="11">
        <f>IF($B$225=1,_xlfn.POISSON.DIST(69,$B$223,FALSE),B318*(B227+69-1)*(1-B226)/69)</f>
        <v/>
      </c>
      <c r="C319" s="11">
        <f>C318+B319</f>
        <v/>
      </c>
      <c r="D319" s="11">
        <f>D318-(1-C318)</f>
        <v/>
      </c>
      <c r="E319" s="11">
        <f>E318-D319</f>
        <v/>
      </c>
      <c r="F319" s="11">
        <f>F318*($B$235+69-1)*(1-$B$234)/69</f>
        <v/>
      </c>
      <c r="G319" s="11">
        <f>G318+F319</f>
        <v/>
      </c>
      <c r="H319" s="11">
        <f>H318-(1-G318)</f>
        <v/>
      </c>
      <c r="I319" s="11">
        <f>I318-H319</f>
        <v/>
      </c>
    </row>
    <row r="320">
      <c r="A320" s="10" t="n">
        <v>70</v>
      </c>
      <c r="B320" s="11">
        <f>IF($B$225=1,_xlfn.POISSON.DIST(70,$B$223,FALSE),B319*(B227+70-1)*(1-B226)/70)</f>
        <v/>
      </c>
      <c r="C320" s="11">
        <f>C319+B320</f>
        <v/>
      </c>
      <c r="D320" s="11">
        <f>D319-(1-C319)</f>
        <v/>
      </c>
      <c r="E320" s="11">
        <f>E319-D320</f>
        <v/>
      </c>
      <c r="F320" s="11">
        <f>F319*($B$235+70-1)*(1-$B$234)/70</f>
        <v/>
      </c>
      <c r="G320" s="11">
        <f>G319+F320</f>
        <v/>
      </c>
      <c r="H320" s="11">
        <f>H319-(1-G319)</f>
        <v/>
      </c>
      <c r="I320" s="11">
        <f>I319-H320</f>
        <v/>
      </c>
    </row>
    <row r="321">
      <c r="A321" s="10" t="n">
        <v>71</v>
      </c>
      <c r="B321" s="11">
        <f>IF($B$225=1,_xlfn.POISSON.DIST(71,$B$223,FALSE),B320*(B227+71-1)*(1-B226)/71)</f>
        <v/>
      </c>
      <c r="C321" s="11">
        <f>C320+B321</f>
        <v/>
      </c>
      <c r="D321" s="11">
        <f>D320-(1-C320)</f>
        <v/>
      </c>
      <c r="E321" s="11">
        <f>E320-D321</f>
        <v/>
      </c>
      <c r="F321" s="11">
        <f>F320*($B$235+71-1)*(1-$B$234)/71</f>
        <v/>
      </c>
      <c r="G321" s="11">
        <f>G320+F321</f>
        <v/>
      </c>
      <c r="H321" s="11">
        <f>H320-(1-G320)</f>
        <v/>
      </c>
      <c r="I321" s="11">
        <f>I320-H321</f>
        <v/>
      </c>
    </row>
    <row r="322">
      <c r="A322" s="10" t="n">
        <v>72</v>
      </c>
      <c r="B322" s="11">
        <f>IF($B$225=1,_xlfn.POISSON.DIST(72,$B$223,FALSE),B321*(B227+72-1)*(1-B226)/72)</f>
        <v/>
      </c>
      <c r="C322" s="11">
        <f>C321+B322</f>
        <v/>
      </c>
      <c r="D322" s="11">
        <f>D321-(1-C321)</f>
        <v/>
      </c>
      <c r="E322" s="11">
        <f>E321-D322</f>
        <v/>
      </c>
      <c r="F322" s="11">
        <f>F321*($B$235+72-1)*(1-$B$234)/72</f>
        <v/>
      </c>
      <c r="G322" s="11">
        <f>G321+F322</f>
        <v/>
      </c>
      <c r="H322" s="11">
        <f>H321-(1-G321)</f>
        <v/>
      </c>
      <c r="I322" s="11">
        <f>I321-H322</f>
        <v/>
      </c>
    </row>
    <row r="323">
      <c r="A323" s="10" t="n">
        <v>73</v>
      </c>
      <c r="B323" s="11">
        <f>IF($B$225=1,_xlfn.POISSON.DIST(73,$B$223,FALSE),B322*(B227+73-1)*(1-B226)/73)</f>
        <v/>
      </c>
      <c r="C323" s="11">
        <f>C322+B323</f>
        <v/>
      </c>
      <c r="D323" s="11">
        <f>D322-(1-C322)</f>
        <v/>
      </c>
      <c r="E323" s="11">
        <f>E322-D323</f>
        <v/>
      </c>
      <c r="F323" s="11">
        <f>F322*($B$235+73-1)*(1-$B$234)/73</f>
        <v/>
      </c>
      <c r="G323" s="11">
        <f>G322+F323</f>
        <v/>
      </c>
      <c r="H323" s="11">
        <f>H322-(1-G322)</f>
        <v/>
      </c>
      <c r="I323" s="11">
        <f>I322-H323</f>
        <v/>
      </c>
    </row>
    <row r="324">
      <c r="A324" s="10" t="n">
        <v>74</v>
      </c>
      <c r="B324" s="11">
        <f>IF($B$225=1,_xlfn.POISSON.DIST(74,$B$223,FALSE),B323*(B227+74-1)*(1-B226)/74)</f>
        <v/>
      </c>
      <c r="C324" s="11">
        <f>C323+B324</f>
        <v/>
      </c>
      <c r="D324" s="11">
        <f>D323-(1-C323)</f>
        <v/>
      </c>
      <c r="E324" s="11">
        <f>E323-D324</f>
        <v/>
      </c>
      <c r="F324" s="11">
        <f>F323*($B$235+74-1)*(1-$B$234)/74</f>
        <v/>
      </c>
      <c r="G324" s="11">
        <f>G323+F324</f>
        <v/>
      </c>
      <c r="H324" s="11">
        <f>H323-(1-G323)</f>
        <v/>
      </c>
      <c r="I324" s="11">
        <f>I323-H324</f>
        <v/>
      </c>
    </row>
    <row r="325">
      <c r="A325" s="10" t="n">
        <v>75</v>
      </c>
      <c r="B325" s="11">
        <f>IF($B$225=1,_xlfn.POISSON.DIST(75,$B$223,FALSE),B324*(B227+75-1)*(1-B226)/75)</f>
        <v/>
      </c>
      <c r="C325" s="11">
        <f>C324+B325</f>
        <v/>
      </c>
      <c r="D325" s="11">
        <f>D324-(1-C324)</f>
        <v/>
      </c>
      <c r="E325" s="11">
        <f>E324-D325</f>
        <v/>
      </c>
      <c r="F325" s="11">
        <f>F324*($B$235+75-1)*(1-$B$234)/75</f>
        <v/>
      </c>
      <c r="G325" s="11">
        <f>G324+F325</f>
        <v/>
      </c>
      <c r="H325" s="11">
        <f>H324-(1-G324)</f>
        <v/>
      </c>
      <c r="I325" s="11">
        <f>I324-H325</f>
        <v/>
      </c>
    </row>
    <row r="326">
      <c r="A326" s="10" t="n">
        <v>76</v>
      </c>
      <c r="B326" s="11">
        <f>IF($B$225=1,_xlfn.POISSON.DIST(76,$B$223,FALSE),B325*(B227+76-1)*(1-B226)/76)</f>
        <v/>
      </c>
      <c r="C326" s="11">
        <f>C325+B326</f>
        <v/>
      </c>
      <c r="D326" s="11">
        <f>D325-(1-C325)</f>
        <v/>
      </c>
      <c r="E326" s="11">
        <f>E325-D326</f>
        <v/>
      </c>
      <c r="F326" s="11">
        <f>F325*($B$235+76-1)*(1-$B$234)/76</f>
        <v/>
      </c>
      <c r="G326" s="11">
        <f>G325+F326</f>
        <v/>
      </c>
      <c r="H326" s="11">
        <f>H325-(1-G325)</f>
        <v/>
      </c>
      <c r="I326" s="11">
        <f>I325-H326</f>
        <v/>
      </c>
    </row>
    <row r="327">
      <c r="A327" s="10" t="n">
        <v>77</v>
      </c>
      <c r="B327" s="11">
        <f>IF($B$225=1,_xlfn.POISSON.DIST(77,$B$223,FALSE),B326*(B227+77-1)*(1-B226)/77)</f>
        <v/>
      </c>
      <c r="C327" s="11">
        <f>C326+B327</f>
        <v/>
      </c>
      <c r="D327" s="11">
        <f>D326-(1-C326)</f>
        <v/>
      </c>
      <c r="E327" s="11">
        <f>E326-D327</f>
        <v/>
      </c>
      <c r="F327" s="11">
        <f>F326*($B$235+77-1)*(1-$B$234)/77</f>
        <v/>
      </c>
      <c r="G327" s="11">
        <f>G326+F327</f>
        <v/>
      </c>
      <c r="H327" s="11">
        <f>H326-(1-G326)</f>
        <v/>
      </c>
      <c r="I327" s="11">
        <f>I326-H327</f>
        <v/>
      </c>
    </row>
    <row r="328">
      <c r="A328" s="10" t="n">
        <v>78</v>
      </c>
      <c r="B328" s="11">
        <f>IF($B$225=1,_xlfn.POISSON.DIST(78,$B$223,FALSE),B327*(B227+78-1)*(1-B226)/78)</f>
        <v/>
      </c>
      <c r="C328" s="11">
        <f>C327+B328</f>
        <v/>
      </c>
      <c r="D328" s="11">
        <f>D327-(1-C327)</f>
        <v/>
      </c>
      <c r="E328" s="11">
        <f>E327-D328</f>
        <v/>
      </c>
      <c r="F328" s="11">
        <f>F327*($B$235+78-1)*(1-$B$234)/78</f>
        <v/>
      </c>
      <c r="G328" s="11">
        <f>G327+F328</f>
        <v/>
      </c>
      <c r="H328" s="11">
        <f>H327-(1-G327)</f>
        <v/>
      </c>
      <c r="I328" s="11">
        <f>I327-H328</f>
        <v/>
      </c>
    </row>
    <row r="329">
      <c r="A329" s="10" t="n">
        <v>79</v>
      </c>
      <c r="B329" s="11">
        <f>IF($B$225=1,_xlfn.POISSON.DIST(79,$B$223,FALSE),B328*(B227+79-1)*(1-B226)/79)</f>
        <v/>
      </c>
      <c r="C329" s="11">
        <f>C328+B329</f>
        <v/>
      </c>
      <c r="D329" s="11">
        <f>D328-(1-C328)</f>
        <v/>
      </c>
      <c r="E329" s="11">
        <f>E328-D329</f>
        <v/>
      </c>
      <c r="F329" s="11">
        <f>F328*($B$235+79-1)*(1-$B$234)/79</f>
        <v/>
      </c>
      <c r="G329" s="11">
        <f>G328+F329</f>
        <v/>
      </c>
      <c r="H329" s="11">
        <f>H328-(1-G328)</f>
        <v/>
      </c>
      <c r="I329" s="11">
        <f>I328-H329</f>
        <v/>
      </c>
    </row>
    <row r="330">
      <c r="A330" s="10" t="n">
        <v>80</v>
      </c>
      <c r="B330" s="11">
        <f>IF($B$225=1,_xlfn.POISSON.DIST(80,$B$223,FALSE),B329*(B227+80-1)*(1-B226)/80)</f>
        <v/>
      </c>
      <c r="C330" s="11">
        <f>C329+B330</f>
        <v/>
      </c>
      <c r="D330" s="11">
        <f>D329-(1-C329)</f>
        <v/>
      </c>
      <c r="E330" s="11">
        <f>E329-D330</f>
        <v/>
      </c>
      <c r="F330" s="11">
        <f>F329*($B$235+80-1)*(1-$B$234)/80</f>
        <v/>
      </c>
      <c r="G330" s="11">
        <f>G329+F330</f>
        <v/>
      </c>
      <c r="H330" s="11">
        <f>H329-(1-G329)</f>
        <v/>
      </c>
      <c r="I330" s="11">
        <f>I329-H330</f>
        <v/>
      </c>
    </row>
    <row r="331">
      <c r="A331" s="10" t="n">
        <v>81</v>
      </c>
      <c r="B331" s="11">
        <f>IF($B$225=1,_xlfn.POISSON.DIST(81,$B$223,FALSE),B330*(B227+81-1)*(1-B226)/81)</f>
        <v/>
      </c>
      <c r="C331" s="11">
        <f>C330+B331</f>
        <v/>
      </c>
      <c r="D331" s="11">
        <f>D330-(1-C330)</f>
        <v/>
      </c>
      <c r="E331" s="11">
        <f>E330-D331</f>
        <v/>
      </c>
      <c r="F331" s="11">
        <f>F330*($B$235+81-1)*(1-$B$234)/81</f>
        <v/>
      </c>
      <c r="G331" s="11">
        <f>G330+F331</f>
        <v/>
      </c>
      <c r="H331" s="11">
        <f>H330-(1-G330)</f>
        <v/>
      </c>
      <c r="I331" s="11">
        <f>I330-H331</f>
        <v/>
      </c>
    </row>
    <row r="332">
      <c r="A332" s="10" t="n">
        <v>82</v>
      </c>
      <c r="B332" s="11">
        <f>IF($B$225=1,_xlfn.POISSON.DIST(82,$B$223,FALSE),B331*(B227+82-1)*(1-B226)/82)</f>
        <v/>
      </c>
      <c r="C332" s="11">
        <f>C331+B332</f>
        <v/>
      </c>
      <c r="D332" s="11">
        <f>D331-(1-C331)</f>
        <v/>
      </c>
      <c r="E332" s="11">
        <f>E331-D332</f>
        <v/>
      </c>
      <c r="F332" s="11">
        <f>F331*($B$235+82-1)*(1-$B$234)/82</f>
        <v/>
      </c>
      <c r="G332" s="11">
        <f>G331+F332</f>
        <v/>
      </c>
      <c r="H332" s="11">
        <f>H331-(1-G331)</f>
        <v/>
      </c>
      <c r="I332" s="11">
        <f>I331-H332</f>
        <v/>
      </c>
    </row>
    <row r="333">
      <c r="A333" s="10" t="n">
        <v>83</v>
      </c>
      <c r="B333" s="11">
        <f>IF($B$225=1,_xlfn.POISSON.DIST(83,$B$223,FALSE),B332*(B227+83-1)*(1-B226)/83)</f>
        <v/>
      </c>
      <c r="C333" s="11">
        <f>C332+B333</f>
        <v/>
      </c>
      <c r="D333" s="11">
        <f>D332-(1-C332)</f>
        <v/>
      </c>
      <c r="E333" s="11">
        <f>E332-D333</f>
        <v/>
      </c>
      <c r="F333" s="11">
        <f>F332*($B$235+83-1)*(1-$B$234)/83</f>
        <v/>
      </c>
      <c r="G333" s="11">
        <f>G332+F333</f>
        <v/>
      </c>
      <c r="H333" s="11">
        <f>H332-(1-G332)</f>
        <v/>
      </c>
      <c r="I333" s="11">
        <f>I332-H333</f>
        <v/>
      </c>
    </row>
    <row r="334">
      <c r="A334" s="10" t="n">
        <v>84</v>
      </c>
      <c r="B334" s="11">
        <f>IF($B$225=1,_xlfn.POISSON.DIST(84,$B$223,FALSE),B333*(B227+84-1)*(1-B226)/84)</f>
        <v/>
      </c>
      <c r="C334" s="11">
        <f>C333+B334</f>
        <v/>
      </c>
      <c r="D334" s="11">
        <f>D333-(1-C333)</f>
        <v/>
      </c>
      <c r="E334" s="11">
        <f>E333-D334</f>
        <v/>
      </c>
      <c r="F334" s="11">
        <f>F333*($B$235+84-1)*(1-$B$234)/84</f>
        <v/>
      </c>
      <c r="G334" s="11">
        <f>G333+F334</f>
        <v/>
      </c>
      <c r="H334" s="11">
        <f>H333-(1-G333)</f>
        <v/>
      </c>
      <c r="I334" s="11">
        <f>I333-H334</f>
        <v/>
      </c>
    </row>
    <row r="335">
      <c r="A335" s="10" t="n">
        <v>85</v>
      </c>
      <c r="B335" s="11">
        <f>IF($B$225=1,_xlfn.POISSON.DIST(85,$B$223,FALSE),B334*(B227+85-1)*(1-B226)/85)</f>
        <v/>
      </c>
      <c r="C335" s="11">
        <f>C334+B335</f>
        <v/>
      </c>
      <c r="D335" s="11">
        <f>D334-(1-C334)</f>
        <v/>
      </c>
      <c r="E335" s="11">
        <f>E334-D335</f>
        <v/>
      </c>
      <c r="F335" s="11">
        <f>F334*($B$235+85-1)*(1-$B$234)/85</f>
        <v/>
      </c>
      <c r="G335" s="11">
        <f>G334+F335</f>
        <v/>
      </c>
      <c r="H335" s="11">
        <f>H334-(1-G334)</f>
        <v/>
      </c>
      <c r="I335" s="11">
        <f>I334-H335</f>
        <v/>
      </c>
    </row>
    <row r="336">
      <c r="A336" s="10" t="n">
        <v>86</v>
      </c>
      <c r="B336" s="11">
        <f>IF($B$225=1,_xlfn.POISSON.DIST(86,$B$223,FALSE),B335*(B227+86-1)*(1-B226)/86)</f>
        <v/>
      </c>
      <c r="C336" s="11">
        <f>C335+B336</f>
        <v/>
      </c>
      <c r="D336" s="11">
        <f>D335-(1-C335)</f>
        <v/>
      </c>
      <c r="E336" s="11">
        <f>E335-D336</f>
        <v/>
      </c>
      <c r="F336" s="11">
        <f>F335*($B$235+86-1)*(1-$B$234)/86</f>
        <v/>
      </c>
      <c r="G336" s="11">
        <f>G335+F336</f>
        <v/>
      </c>
      <c r="H336" s="11">
        <f>H335-(1-G335)</f>
        <v/>
      </c>
      <c r="I336" s="11">
        <f>I335-H336</f>
        <v/>
      </c>
    </row>
    <row r="337">
      <c r="A337" s="10" t="n">
        <v>87</v>
      </c>
      <c r="B337" s="11">
        <f>IF($B$225=1,_xlfn.POISSON.DIST(87,$B$223,FALSE),B336*(B227+87-1)*(1-B226)/87)</f>
        <v/>
      </c>
      <c r="C337" s="11">
        <f>C336+B337</f>
        <v/>
      </c>
      <c r="D337" s="11">
        <f>D336-(1-C336)</f>
        <v/>
      </c>
      <c r="E337" s="11">
        <f>E336-D337</f>
        <v/>
      </c>
      <c r="F337" s="11">
        <f>F336*($B$235+87-1)*(1-$B$234)/87</f>
        <v/>
      </c>
      <c r="G337" s="11">
        <f>G336+F337</f>
        <v/>
      </c>
      <c r="H337" s="11">
        <f>H336-(1-G336)</f>
        <v/>
      </c>
      <c r="I337" s="11">
        <f>I336-H337</f>
        <v/>
      </c>
    </row>
    <row r="338">
      <c r="A338" s="10" t="n">
        <v>88</v>
      </c>
      <c r="B338" s="11">
        <f>IF($B$225=1,_xlfn.POISSON.DIST(88,$B$223,FALSE),B337*(B227+88-1)*(1-B226)/88)</f>
        <v/>
      </c>
      <c r="C338" s="11">
        <f>C337+B338</f>
        <v/>
      </c>
      <c r="D338" s="11">
        <f>D337-(1-C337)</f>
        <v/>
      </c>
      <c r="E338" s="11">
        <f>E337-D338</f>
        <v/>
      </c>
      <c r="F338" s="11">
        <f>F337*($B$235+88-1)*(1-$B$234)/88</f>
        <v/>
      </c>
      <c r="G338" s="11">
        <f>G337+F338</f>
        <v/>
      </c>
      <c r="H338" s="11">
        <f>H337-(1-G337)</f>
        <v/>
      </c>
      <c r="I338" s="11">
        <f>I337-H338</f>
        <v/>
      </c>
    </row>
    <row r="339">
      <c r="A339" s="10" t="n">
        <v>89</v>
      </c>
      <c r="B339" s="11">
        <f>IF($B$225=1,_xlfn.POISSON.DIST(89,$B$223,FALSE),B338*(B227+89-1)*(1-B226)/89)</f>
        <v/>
      </c>
      <c r="C339" s="11">
        <f>C338+B339</f>
        <v/>
      </c>
      <c r="D339" s="11">
        <f>D338-(1-C338)</f>
        <v/>
      </c>
      <c r="E339" s="11">
        <f>E338-D339</f>
        <v/>
      </c>
      <c r="F339" s="11">
        <f>F338*($B$235+89-1)*(1-$B$234)/89</f>
        <v/>
      </c>
      <c r="G339" s="11">
        <f>G338+F339</f>
        <v/>
      </c>
      <c r="H339" s="11">
        <f>H338-(1-G338)</f>
        <v/>
      </c>
      <c r="I339" s="11">
        <f>I338-H339</f>
        <v/>
      </c>
    </row>
    <row r="340">
      <c r="A340" s="10" t="n">
        <v>90</v>
      </c>
      <c r="B340" s="11">
        <f>IF($B$225=1,_xlfn.POISSON.DIST(90,$B$223,FALSE),B339*(B227+90-1)*(1-B226)/90)</f>
        <v/>
      </c>
      <c r="C340" s="11">
        <f>C339+B340</f>
        <v/>
      </c>
      <c r="D340" s="11">
        <f>D339-(1-C339)</f>
        <v/>
      </c>
      <c r="E340" s="11">
        <f>E339-D340</f>
        <v/>
      </c>
      <c r="F340" s="11">
        <f>F339*($B$235+90-1)*(1-$B$234)/90</f>
        <v/>
      </c>
      <c r="G340" s="11">
        <f>G339+F340</f>
        <v/>
      </c>
      <c r="H340" s="11">
        <f>H339-(1-G339)</f>
        <v/>
      </c>
      <c r="I340" s="11">
        <f>I339-H340</f>
        <v/>
      </c>
    </row>
    <row r="341">
      <c r="A341" s="10" t="n">
        <v>91</v>
      </c>
      <c r="F341" s="11">
        <f>F340*($B$235+91-1)*(1-$B$234)/91</f>
        <v/>
      </c>
      <c r="G341" s="11">
        <f>G340+F341</f>
        <v/>
      </c>
      <c r="H341" s="11">
        <f>H340-(1-G340)</f>
        <v/>
      </c>
      <c r="I341" s="11">
        <f>I340-H341</f>
        <v/>
      </c>
    </row>
    <row r="342">
      <c r="A342" s="10" t="n">
        <v>92</v>
      </c>
      <c r="F342" s="11">
        <f>F341*($B$235+92-1)*(1-$B$234)/92</f>
        <v/>
      </c>
      <c r="G342" s="11">
        <f>G341+F342</f>
        <v/>
      </c>
      <c r="H342" s="11">
        <f>H341-(1-G341)</f>
        <v/>
      </c>
      <c r="I342" s="11">
        <f>I341-H342</f>
        <v/>
      </c>
    </row>
    <row r="343">
      <c r="A343" s="10" t="n">
        <v>93</v>
      </c>
      <c r="F343" s="11">
        <f>F342*($B$235+93-1)*(1-$B$234)/93</f>
        <v/>
      </c>
      <c r="G343" s="11">
        <f>G342+F343</f>
        <v/>
      </c>
      <c r="H343" s="11">
        <f>H342-(1-G342)</f>
        <v/>
      </c>
      <c r="I343" s="11">
        <f>I342-H343</f>
        <v/>
      </c>
    </row>
    <row r="344">
      <c r="A344" s="10" t="n">
        <v>94</v>
      </c>
      <c r="F344" s="11">
        <f>F343*($B$235+94-1)*(1-$B$234)/94</f>
        <v/>
      </c>
      <c r="G344" s="11">
        <f>G343+F344</f>
        <v/>
      </c>
      <c r="H344" s="11">
        <f>H343-(1-G343)</f>
        <v/>
      </c>
      <c r="I344" s="11">
        <f>I343-H344</f>
        <v/>
      </c>
    </row>
    <row r="345">
      <c r="A345" s="10" t="n">
        <v>95</v>
      </c>
      <c r="F345" s="11">
        <f>F344*($B$235+95-1)*(1-$B$234)/95</f>
        <v/>
      </c>
      <c r="G345" s="11">
        <f>G344+F345</f>
        <v/>
      </c>
      <c r="H345" s="11">
        <f>H344-(1-G344)</f>
        <v/>
      </c>
      <c r="I345" s="11">
        <f>I344-H345</f>
        <v/>
      </c>
    </row>
    <row r="346">
      <c r="A346" s="10" t="n">
        <v>96</v>
      </c>
      <c r="F346" s="11">
        <f>F345*($B$235+96-1)*(1-$B$234)/96</f>
        <v/>
      </c>
      <c r="G346" s="11">
        <f>G345+F346</f>
        <v/>
      </c>
      <c r="H346" s="11">
        <f>H345-(1-G345)</f>
        <v/>
      </c>
      <c r="I346" s="11">
        <f>I345-H346</f>
        <v/>
      </c>
    </row>
    <row r="347">
      <c r="A347" s="10" t="n">
        <v>97</v>
      </c>
      <c r="F347" s="11">
        <f>F346*($B$235+97-1)*(1-$B$234)/97</f>
        <v/>
      </c>
      <c r="G347" s="11">
        <f>G346+F347</f>
        <v/>
      </c>
      <c r="H347" s="11">
        <f>H346-(1-G346)</f>
        <v/>
      </c>
      <c r="I347" s="11">
        <f>I346-H347</f>
        <v/>
      </c>
    </row>
    <row r="348">
      <c r="A348" s="10" t="n">
        <v>98</v>
      </c>
      <c r="F348" s="11">
        <f>F347*($B$235+98-1)*(1-$B$234)/98</f>
        <v/>
      </c>
      <c r="G348" s="11">
        <f>G347+F348</f>
        <v/>
      </c>
      <c r="H348" s="11">
        <f>H347-(1-G347)</f>
        <v/>
      </c>
      <c r="I348" s="11">
        <f>I347-H348</f>
        <v/>
      </c>
    </row>
    <row r="349">
      <c r="A349" s="10" t="n">
        <v>99</v>
      </c>
      <c r="F349" s="11">
        <f>F348*($B$235+99-1)*(1-$B$234)/99</f>
        <v/>
      </c>
      <c r="G349" s="11">
        <f>G348+F349</f>
        <v/>
      </c>
      <c r="H349" s="11">
        <f>H348-(1-G348)</f>
        <v/>
      </c>
      <c r="I349" s="11">
        <f>I348-H349</f>
        <v/>
      </c>
    </row>
    <row r="350">
      <c r="A350" s="10" t="n">
        <v>100</v>
      </c>
      <c r="F350" s="11">
        <f>F349*($B$235+100-1)*(1-$B$234)/100</f>
        <v/>
      </c>
      <c r="G350" s="11">
        <f>G349+F350</f>
        <v/>
      </c>
      <c r="H350" s="11">
        <f>H349-(1-G349)</f>
        <v/>
      </c>
      <c r="I350" s="11">
        <f>I349-H350</f>
        <v/>
      </c>
    </row>
    <row r="351">
      <c r="A351" s="10" t="n">
        <v>101</v>
      </c>
      <c r="F351" s="11">
        <f>F350*($B$235+101-1)*(1-$B$234)/101</f>
        <v/>
      </c>
      <c r="G351" s="11">
        <f>G350+F351</f>
        <v/>
      </c>
      <c r="H351" s="11">
        <f>H350-(1-G350)</f>
        <v/>
      </c>
      <c r="I351" s="11">
        <f>I350-H351</f>
        <v/>
      </c>
    </row>
    <row r="352">
      <c r="A352" s="10" t="n">
        <v>102</v>
      </c>
      <c r="F352" s="11">
        <f>F351*($B$235+102-1)*(1-$B$234)/102</f>
        <v/>
      </c>
      <c r="G352" s="11">
        <f>G351+F352</f>
        <v/>
      </c>
      <c r="H352" s="11">
        <f>H351-(1-G351)</f>
        <v/>
      </c>
      <c r="I352" s="11">
        <f>I351-H352</f>
        <v/>
      </c>
    </row>
    <row r="353">
      <c r="A353" s="10" t="n">
        <v>103</v>
      </c>
      <c r="F353" s="11">
        <f>F352*($B$235+103-1)*(1-$B$234)/103</f>
        <v/>
      </c>
      <c r="G353" s="11">
        <f>G352+F353</f>
        <v/>
      </c>
      <c r="H353" s="11">
        <f>H352-(1-G352)</f>
        <v/>
      </c>
      <c r="I353" s="11">
        <f>I352-H353</f>
        <v/>
      </c>
    </row>
    <row r="354">
      <c r="A354" s="10" t="n">
        <v>104</v>
      </c>
      <c r="F354" s="11">
        <f>F353*($B$235+104-1)*(1-$B$234)/104</f>
        <v/>
      </c>
      <c r="G354" s="11">
        <f>G353+F354</f>
        <v/>
      </c>
      <c r="H354" s="11">
        <f>H353-(1-G353)</f>
        <v/>
      </c>
      <c r="I354" s="11">
        <f>I353-H354</f>
        <v/>
      </c>
    </row>
    <row r="355">
      <c r="A355" s="10" t="n">
        <v>105</v>
      </c>
      <c r="F355" s="11">
        <f>F354*($B$235+105-1)*(1-$B$234)/105</f>
        <v/>
      </c>
      <c r="G355" s="11">
        <f>G354+F355</f>
        <v/>
      </c>
      <c r="H355" s="11">
        <f>H354-(1-G354)</f>
        <v/>
      </c>
      <c r="I355" s="11">
        <f>I354-H355</f>
        <v/>
      </c>
    </row>
    <row r="356">
      <c r="A356" s="10" t="n">
        <v>106</v>
      </c>
      <c r="F356" s="11">
        <f>F355*($B$235+106-1)*(1-$B$234)/106</f>
        <v/>
      </c>
      <c r="G356" s="11">
        <f>G355+F356</f>
        <v/>
      </c>
      <c r="H356" s="11">
        <f>H355-(1-G355)</f>
        <v/>
      </c>
      <c r="I356" s="11">
        <f>I355-H356</f>
        <v/>
      </c>
    </row>
    <row r="357">
      <c r="A357" s="10" t="n">
        <v>107</v>
      </c>
      <c r="F357" s="11">
        <f>F356*($B$235+107-1)*(1-$B$234)/107</f>
        <v/>
      </c>
      <c r="G357" s="11">
        <f>G356+F357</f>
        <v/>
      </c>
      <c r="H357" s="11">
        <f>H356-(1-G356)</f>
        <v/>
      </c>
      <c r="I357" s="11">
        <f>I356-H357</f>
        <v/>
      </c>
    </row>
    <row r="358">
      <c r="A358" s="10" t="n">
        <v>108</v>
      </c>
      <c r="F358" s="11">
        <f>F357*($B$235+108-1)*(1-$B$234)/108</f>
        <v/>
      </c>
      <c r="G358" s="11">
        <f>G357+F358</f>
        <v/>
      </c>
      <c r="H358" s="11">
        <f>H357-(1-G357)</f>
        <v/>
      </c>
      <c r="I358" s="11">
        <f>I357-H358</f>
        <v/>
      </c>
    </row>
    <row r="359">
      <c r="A359" s="10" t="n">
        <v>109</v>
      </c>
      <c r="F359" s="11">
        <f>F358*($B$235+109-1)*(1-$B$234)/109</f>
        <v/>
      </c>
      <c r="G359" s="11">
        <f>G358+F359</f>
        <v/>
      </c>
      <c r="H359" s="11">
        <f>H358-(1-G358)</f>
        <v/>
      </c>
      <c r="I359" s="11">
        <f>I358-H359</f>
        <v/>
      </c>
    </row>
    <row r="360">
      <c r="A360" s="10" t="n">
        <v>110</v>
      </c>
      <c r="F360" s="11">
        <f>F359*($B$235+110-1)*(1-$B$234)/110</f>
        <v/>
      </c>
      <c r="G360" s="11">
        <f>G359+F360</f>
        <v/>
      </c>
      <c r="H360" s="11">
        <f>H359-(1-G359)</f>
        <v/>
      </c>
      <c r="I360" s="11">
        <f>I359-H360</f>
        <v/>
      </c>
    </row>
    <row r="361">
      <c r="A361" s="10" t="n">
        <v>111</v>
      </c>
      <c r="F361" s="11">
        <f>F360*($B$235+111-1)*(1-$B$234)/111</f>
        <v/>
      </c>
      <c r="G361" s="11">
        <f>G360+F361</f>
        <v/>
      </c>
      <c r="H361" s="11">
        <f>H360-(1-G360)</f>
        <v/>
      </c>
      <c r="I361" s="11">
        <f>I360-H361</f>
        <v/>
      </c>
    </row>
    <row r="362">
      <c r="A362" s="10" t="n">
        <v>112</v>
      </c>
      <c r="F362" s="11">
        <f>F361*($B$235+112-1)*(1-$B$234)/112</f>
        <v/>
      </c>
      <c r="G362" s="11">
        <f>G361+F362</f>
        <v/>
      </c>
      <c r="H362" s="11">
        <f>H361-(1-G361)</f>
        <v/>
      </c>
      <c r="I362" s="11">
        <f>I361-H362</f>
        <v/>
      </c>
    </row>
    <row r="363">
      <c r="A363" s="10" t="n">
        <v>113</v>
      </c>
      <c r="F363" s="11">
        <f>F362*($B$235+113-1)*(1-$B$234)/113</f>
        <v/>
      </c>
      <c r="G363" s="11">
        <f>G362+F363</f>
        <v/>
      </c>
      <c r="H363" s="11">
        <f>H362-(1-G362)</f>
        <v/>
      </c>
      <c r="I363" s="11">
        <f>I362-H363</f>
        <v/>
      </c>
    </row>
    <row r="364">
      <c r="A364" s="10" t="n">
        <v>114</v>
      </c>
      <c r="F364" s="11">
        <f>F363*($B$235+114-1)*(1-$B$234)/114</f>
        <v/>
      </c>
      <c r="G364" s="11">
        <f>G363+F364</f>
        <v/>
      </c>
      <c r="H364" s="11">
        <f>H363-(1-G363)</f>
        <v/>
      </c>
      <c r="I364" s="11">
        <f>I363-H364</f>
        <v/>
      </c>
    </row>
    <row r="365">
      <c r="A365" s="10" t="n">
        <v>115</v>
      </c>
      <c r="F365" s="11">
        <f>F364*($B$235+115-1)*(1-$B$234)/115</f>
        <v/>
      </c>
      <c r="G365" s="11">
        <f>G364+F365</f>
        <v/>
      </c>
      <c r="H365" s="11">
        <f>H364-(1-G364)</f>
        <v/>
      </c>
      <c r="I365" s="11">
        <f>I364-H365</f>
        <v/>
      </c>
    </row>
    <row r="366">
      <c r="A366" s="10" t="n">
        <v>116</v>
      </c>
      <c r="F366" s="11">
        <f>F365*($B$235+116-1)*(1-$B$234)/116</f>
        <v/>
      </c>
      <c r="G366" s="11">
        <f>G365+F366</f>
        <v/>
      </c>
      <c r="H366" s="11">
        <f>H365-(1-G365)</f>
        <v/>
      </c>
      <c r="I366" s="11">
        <f>I365-H366</f>
        <v/>
      </c>
    </row>
    <row r="367">
      <c r="A367" s="10" t="n">
        <v>117</v>
      </c>
      <c r="F367" s="11">
        <f>F366*($B$235+117-1)*(1-$B$234)/117</f>
        <v/>
      </c>
      <c r="G367" s="11">
        <f>G366+F367</f>
        <v/>
      </c>
      <c r="H367" s="11">
        <f>H366-(1-G366)</f>
        <v/>
      </c>
      <c r="I367" s="11">
        <f>I366-H367</f>
        <v/>
      </c>
    </row>
    <row r="368">
      <c r="A368" s="10" t="n">
        <v>118</v>
      </c>
      <c r="F368" s="11">
        <f>F367*($B$235+118-1)*(1-$B$234)/118</f>
        <v/>
      </c>
      <c r="G368" s="11">
        <f>G367+F368</f>
        <v/>
      </c>
      <c r="H368" s="11">
        <f>H367-(1-G367)</f>
        <v/>
      </c>
      <c r="I368" s="11">
        <f>I367-H368</f>
        <v/>
      </c>
    </row>
    <row r="369">
      <c r="A369" s="10" t="n">
        <v>119</v>
      </c>
      <c r="F369" s="11">
        <f>F368*($B$235+119-1)*(1-$B$234)/119</f>
        <v/>
      </c>
      <c r="G369" s="11">
        <f>G368+F369</f>
        <v/>
      </c>
      <c r="H369" s="11">
        <f>H368-(1-G368)</f>
        <v/>
      </c>
      <c r="I369" s="11">
        <f>I368-H369</f>
        <v/>
      </c>
    </row>
    <row r="370">
      <c r="A370" s="10" t="n">
        <v>120</v>
      </c>
      <c r="F370" s="11">
        <f>F369*($B$235+120-1)*(1-$B$234)/120</f>
        <v/>
      </c>
      <c r="G370" s="11">
        <f>G369+F370</f>
        <v/>
      </c>
      <c r="H370" s="11">
        <f>H369-(1-G369)</f>
        <v/>
      </c>
      <c r="I370" s="11">
        <f>I369-H370</f>
        <v/>
      </c>
    </row>
    <row r="371">
      <c r="A371" s="10" t="n">
        <v>121</v>
      </c>
      <c r="F371" s="11">
        <f>F370*($B$235+121-1)*(1-$B$234)/121</f>
        <v/>
      </c>
      <c r="G371" s="11">
        <f>G370+F371</f>
        <v/>
      </c>
      <c r="H371" s="11">
        <f>H370-(1-G370)</f>
        <v/>
      </c>
      <c r="I371" s="11">
        <f>I370-H371</f>
        <v/>
      </c>
    </row>
    <row r="372">
      <c r="A372" s="10" t="n">
        <v>122</v>
      </c>
      <c r="F372" s="11">
        <f>F371*($B$235+122-1)*(1-$B$234)/122</f>
        <v/>
      </c>
      <c r="G372" s="11">
        <f>G371+F372</f>
        <v/>
      </c>
      <c r="H372" s="11">
        <f>H371-(1-G371)</f>
        <v/>
      </c>
      <c r="I372" s="11">
        <f>I371-H372</f>
        <v/>
      </c>
    </row>
    <row r="373">
      <c r="A373" s="10" t="n">
        <v>123</v>
      </c>
      <c r="F373" s="11">
        <f>F372*($B$235+123-1)*(1-$B$234)/123</f>
        <v/>
      </c>
      <c r="G373" s="11">
        <f>G372+F373</f>
        <v/>
      </c>
      <c r="H373" s="11">
        <f>H372-(1-G372)</f>
        <v/>
      </c>
      <c r="I373" s="11">
        <f>I372-H373</f>
        <v/>
      </c>
    </row>
    <row r="374">
      <c r="A374" s="10" t="n">
        <v>124</v>
      </c>
      <c r="F374" s="11">
        <f>F373*($B$235+124-1)*(1-$B$234)/124</f>
        <v/>
      </c>
      <c r="G374" s="11">
        <f>G373+F374</f>
        <v/>
      </c>
      <c r="H374" s="11">
        <f>H373-(1-G373)</f>
        <v/>
      </c>
      <c r="I374" s="11">
        <f>I373-H374</f>
        <v/>
      </c>
    </row>
    <row r="375">
      <c r="A375" s="10" t="n">
        <v>125</v>
      </c>
      <c r="F375" s="11">
        <f>F374*($B$235+125-1)*(1-$B$234)/125</f>
        <v/>
      </c>
      <c r="G375" s="11">
        <f>G374+F375</f>
        <v/>
      </c>
      <c r="H375" s="11">
        <f>H374-(1-G374)</f>
        <v/>
      </c>
      <c r="I375" s="11">
        <f>I374-H375</f>
        <v/>
      </c>
    </row>
    <row r="376">
      <c r="A376" s="10" t="n">
        <v>126</v>
      </c>
      <c r="F376" s="11">
        <f>F375*($B$235+126-1)*(1-$B$234)/126</f>
        <v/>
      </c>
      <c r="G376" s="11">
        <f>G375+F376</f>
        <v/>
      </c>
      <c r="H376" s="11">
        <f>H375-(1-G375)</f>
        <v/>
      </c>
      <c r="I376" s="11">
        <f>I375-H376</f>
        <v/>
      </c>
    </row>
    <row r="377">
      <c r="A377" s="10" t="n">
        <v>127</v>
      </c>
      <c r="F377" s="11">
        <f>F376*($B$235+127-1)*(1-$B$234)/127</f>
        <v/>
      </c>
      <c r="G377" s="11">
        <f>G376+F377</f>
        <v/>
      </c>
      <c r="H377" s="11">
        <f>H376-(1-G376)</f>
        <v/>
      </c>
      <c r="I377" s="11">
        <f>I376-H377</f>
        <v/>
      </c>
    </row>
    <row r="378">
      <c r="A378" s="10" t="n">
        <v>128</v>
      </c>
      <c r="F378" s="11">
        <f>F377*($B$235+128-1)*(1-$B$234)/128</f>
        <v/>
      </c>
      <c r="G378" s="11">
        <f>G377+F378</f>
        <v/>
      </c>
      <c r="H378" s="11">
        <f>H377-(1-G377)</f>
        <v/>
      </c>
      <c r="I378" s="11">
        <f>I377-H378</f>
        <v/>
      </c>
    </row>
    <row r="379">
      <c r="A379" s="10" t="n">
        <v>129</v>
      </c>
      <c r="F379" s="11">
        <f>F378*($B$235+129-1)*(1-$B$234)/129</f>
        <v/>
      </c>
      <c r="G379" s="11">
        <f>G378+F379</f>
        <v/>
      </c>
      <c r="H379" s="11">
        <f>H378-(1-G378)</f>
        <v/>
      </c>
      <c r="I379" s="11">
        <f>I378-H379</f>
        <v/>
      </c>
    </row>
    <row r="380">
      <c r="A380" s="10" t="n">
        <v>130</v>
      </c>
      <c r="F380" s="11">
        <f>F379*($B$235+130-1)*(1-$B$234)/130</f>
        <v/>
      </c>
      <c r="G380" s="11">
        <f>G379+F380</f>
        <v/>
      </c>
      <c r="H380" s="11">
        <f>H379-(1-G379)</f>
        <v/>
      </c>
      <c r="I380" s="11">
        <f>I379-H380</f>
        <v/>
      </c>
    </row>
    <row r="381">
      <c r="A381" s="10" t="n">
        <v>131</v>
      </c>
      <c r="F381" s="11">
        <f>F380*($B$235+131-1)*(1-$B$234)/131</f>
        <v/>
      </c>
      <c r="G381" s="11">
        <f>G380+F381</f>
        <v/>
      </c>
      <c r="H381" s="11">
        <f>H380-(1-G380)</f>
        <v/>
      </c>
      <c r="I381" s="11">
        <f>I380-H381</f>
        <v/>
      </c>
    </row>
    <row r="382">
      <c r="A382" s="10" t="n">
        <v>132</v>
      </c>
      <c r="F382" s="11">
        <f>F381*($B$235+132-1)*(1-$B$234)/132</f>
        <v/>
      </c>
      <c r="G382" s="11">
        <f>G381+F382</f>
        <v/>
      </c>
      <c r="H382" s="11">
        <f>H381-(1-G381)</f>
        <v/>
      </c>
      <c r="I382" s="11">
        <f>I381-H382</f>
        <v/>
      </c>
    </row>
    <row r="383">
      <c r="A383" s="10" t="n">
        <v>133</v>
      </c>
      <c r="F383" s="11">
        <f>F382*($B$235+133-1)*(1-$B$234)/133</f>
        <v/>
      </c>
      <c r="G383" s="11">
        <f>G382+F383</f>
        <v/>
      </c>
      <c r="H383" s="11">
        <f>H382-(1-G382)</f>
        <v/>
      </c>
      <c r="I383" s="11">
        <f>I382-H383</f>
        <v/>
      </c>
    </row>
    <row r="384">
      <c r="A384" s="10" t="n">
        <v>134</v>
      </c>
      <c r="F384" s="11">
        <f>F383*($B$235+134-1)*(1-$B$234)/134</f>
        <v/>
      </c>
      <c r="G384" s="11">
        <f>G383+F384</f>
        <v/>
      </c>
      <c r="H384" s="11">
        <f>H383-(1-G383)</f>
        <v/>
      </c>
      <c r="I384" s="11">
        <f>I383-H384</f>
        <v/>
      </c>
    </row>
    <row r="385">
      <c r="A385" s="10" t="n">
        <v>135</v>
      </c>
      <c r="F385" s="11">
        <f>F384*($B$235+135-1)*(1-$B$234)/135</f>
        <v/>
      </c>
      <c r="G385" s="11">
        <f>G384+F385</f>
        <v/>
      </c>
      <c r="H385" s="11">
        <f>H384-(1-G384)</f>
        <v/>
      </c>
      <c r="I385" s="11">
        <f>I384-H385</f>
        <v/>
      </c>
    </row>
    <row r="386">
      <c r="A386" s="10" t="n">
        <v>136</v>
      </c>
      <c r="F386" s="11">
        <f>F385*($B$235+136-1)*(1-$B$234)/136</f>
        <v/>
      </c>
      <c r="G386" s="11">
        <f>G385+F386</f>
        <v/>
      </c>
      <c r="H386" s="11">
        <f>H385-(1-G385)</f>
        <v/>
      </c>
      <c r="I386" s="11">
        <f>I385-H386</f>
        <v/>
      </c>
    </row>
    <row r="387">
      <c r="A387" s="10" t="n">
        <v>137</v>
      </c>
      <c r="F387" s="11">
        <f>F386*($B$235+137-1)*(1-$B$234)/137</f>
        <v/>
      </c>
      <c r="G387" s="11">
        <f>G386+F387</f>
        <v/>
      </c>
      <c r="H387" s="11">
        <f>H386-(1-G386)</f>
        <v/>
      </c>
      <c r="I387" s="11">
        <f>I386-H387</f>
        <v/>
      </c>
    </row>
    <row r="388">
      <c r="A388" s="10" t="n">
        <v>138</v>
      </c>
      <c r="F388" s="11">
        <f>F387*($B$235+138-1)*(1-$B$234)/138</f>
        <v/>
      </c>
      <c r="G388" s="11">
        <f>G387+F388</f>
        <v/>
      </c>
      <c r="H388" s="11">
        <f>H387-(1-G387)</f>
        <v/>
      </c>
      <c r="I388" s="11">
        <f>I387-H388</f>
        <v/>
      </c>
    </row>
    <row r="389">
      <c r="A389" s="10" t="n">
        <v>139</v>
      </c>
      <c r="F389" s="11">
        <f>F388*($B$235+139-1)*(1-$B$234)/139</f>
        <v/>
      </c>
      <c r="G389" s="11">
        <f>G388+F389</f>
        <v/>
      </c>
      <c r="H389" s="11">
        <f>H388-(1-G388)</f>
        <v/>
      </c>
      <c r="I389" s="11">
        <f>I388-H389</f>
        <v/>
      </c>
    </row>
    <row r="390">
      <c r="A390" s="10" t="n">
        <v>140</v>
      </c>
      <c r="F390" s="11">
        <f>F389*($B$235+140-1)*(1-$B$234)/140</f>
        <v/>
      </c>
      <c r="G390" s="11">
        <f>G389+F390</f>
        <v/>
      </c>
      <c r="H390" s="11">
        <f>H389-(1-G389)</f>
        <v/>
      </c>
      <c r="I390" s="11">
        <f>I389-H390</f>
        <v/>
      </c>
    </row>
    <row r="391">
      <c r="A391" s="10" t="n">
        <v>141</v>
      </c>
      <c r="F391" s="11">
        <f>F390*($B$235+141-1)*(1-$B$234)/141</f>
        <v/>
      </c>
      <c r="G391" s="11">
        <f>G390+F391</f>
        <v/>
      </c>
      <c r="H391" s="11">
        <f>H390-(1-G390)</f>
        <v/>
      </c>
      <c r="I391" s="11">
        <f>I390-H391</f>
        <v/>
      </c>
    </row>
    <row r="392">
      <c r="A392" s="10" t="n">
        <v>142</v>
      </c>
      <c r="F392" s="11">
        <f>F391*($B$235+142-1)*(1-$B$234)/142</f>
        <v/>
      </c>
      <c r="G392" s="11">
        <f>G391+F392</f>
        <v/>
      </c>
      <c r="H392" s="11">
        <f>H391-(1-G391)</f>
        <v/>
      </c>
      <c r="I392" s="11">
        <f>I391-H392</f>
        <v/>
      </c>
    </row>
    <row r="393">
      <c r="A393" s="10" t="n">
        <v>143</v>
      </c>
      <c r="F393" s="11">
        <f>F392*($B$235+143-1)*(1-$B$234)/143</f>
        <v/>
      </c>
      <c r="G393" s="11">
        <f>G392+F393</f>
        <v/>
      </c>
      <c r="H393" s="11">
        <f>H392-(1-G392)</f>
        <v/>
      </c>
      <c r="I393" s="11">
        <f>I392-H393</f>
        <v/>
      </c>
    </row>
    <row r="394">
      <c r="A394" s="10" t="n">
        <v>144</v>
      </c>
      <c r="F394" s="11">
        <f>F393*($B$235+144-1)*(1-$B$234)/144</f>
        <v/>
      </c>
      <c r="G394" s="11">
        <f>G393+F394</f>
        <v/>
      </c>
      <c r="H394" s="11">
        <f>H393-(1-G393)</f>
        <v/>
      </c>
      <c r="I394" s="11">
        <f>I393-H394</f>
        <v/>
      </c>
    </row>
    <row r="395">
      <c r="A395" s="10" t="n">
        <v>145</v>
      </c>
      <c r="F395" s="11">
        <f>F394*($B$235+145-1)*(1-$B$234)/145</f>
        <v/>
      </c>
      <c r="G395" s="11">
        <f>G394+F395</f>
        <v/>
      </c>
      <c r="H395" s="11">
        <f>H394-(1-G394)</f>
        <v/>
      </c>
      <c r="I395" s="11">
        <f>I394-H395</f>
        <v/>
      </c>
    </row>
    <row r="396">
      <c r="A396" s="10" t="n">
        <v>146</v>
      </c>
      <c r="F396" s="11">
        <f>F395*($B$235+146-1)*(1-$B$234)/146</f>
        <v/>
      </c>
      <c r="G396" s="11">
        <f>G395+F396</f>
        <v/>
      </c>
      <c r="H396" s="11">
        <f>H395-(1-G395)</f>
        <v/>
      </c>
      <c r="I396" s="11">
        <f>I395-H396</f>
        <v/>
      </c>
    </row>
    <row r="397">
      <c r="A397" s="10" t="n">
        <v>147</v>
      </c>
      <c r="F397" s="11">
        <f>F396*($B$235+147-1)*(1-$B$234)/147</f>
        <v/>
      </c>
      <c r="G397" s="11">
        <f>G396+F397</f>
        <v/>
      </c>
      <c r="H397" s="11">
        <f>H396-(1-G396)</f>
        <v/>
      </c>
      <c r="I397" s="11">
        <f>I396-H397</f>
        <v/>
      </c>
    </row>
    <row r="398">
      <c r="A398" s="10" t="n">
        <v>148</v>
      </c>
      <c r="F398" s="11">
        <f>F397*($B$235+148-1)*(1-$B$234)/148</f>
        <v/>
      </c>
      <c r="G398" s="11">
        <f>G397+F398</f>
        <v/>
      </c>
      <c r="H398" s="11">
        <f>H397-(1-G397)</f>
        <v/>
      </c>
      <c r="I398" s="11">
        <f>I397-H398</f>
        <v/>
      </c>
    </row>
    <row r="399">
      <c r="A399" s="10" t="n">
        <v>149</v>
      </c>
      <c r="F399" s="11">
        <f>F398*($B$235+149-1)*(1-$B$234)/149</f>
        <v/>
      </c>
      <c r="G399" s="11">
        <f>G398+F399</f>
        <v/>
      </c>
      <c r="H399" s="11">
        <f>H398-(1-G398)</f>
        <v/>
      </c>
      <c r="I399" s="11">
        <f>I398-H399</f>
        <v/>
      </c>
    </row>
    <row r="400">
      <c r="A400" s="10" t="n">
        <v>150</v>
      </c>
      <c r="F400" s="11">
        <f>F399*($B$235+150-1)*(1-$B$234)/150</f>
        <v/>
      </c>
      <c r="G400" s="11">
        <f>G399+F400</f>
        <v/>
      </c>
      <c r="H400" s="11">
        <f>H399-(1-G399)</f>
        <v/>
      </c>
      <c r="I400" s="11">
        <f>I399-H400</f>
        <v/>
      </c>
    </row>
    <row r="401">
      <c r="A401" s="10" t="n">
        <v>151</v>
      </c>
      <c r="F401" s="11">
        <f>F400*($B$235+151-1)*(1-$B$234)/151</f>
        <v/>
      </c>
      <c r="G401" s="11">
        <f>G400+F401</f>
        <v/>
      </c>
      <c r="H401" s="11">
        <f>H400-(1-G400)</f>
        <v/>
      </c>
      <c r="I401" s="11">
        <f>I400-H401</f>
        <v/>
      </c>
    </row>
    <row r="402">
      <c r="A402" s="10" t="n">
        <v>152</v>
      </c>
      <c r="F402" s="11">
        <f>F401*($B$235+152-1)*(1-$B$234)/152</f>
        <v/>
      </c>
      <c r="G402" s="11">
        <f>G401+F402</f>
        <v/>
      </c>
      <c r="H402" s="11">
        <f>H401-(1-G401)</f>
        <v/>
      </c>
      <c r="I402" s="11">
        <f>I401-H402</f>
        <v/>
      </c>
    </row>
    <row r="403">
      <c r="A403" s="10" t="n">
        <v>153</v>
      </c>
      <c r="F403" s="11">
        <f>F402*($B$235+153-1)*(1-$B$234)/153</f>
        <v/>
      </c>
      <c r="G403" s="11">
        <f>G402+F403</f>
        <v/>
      </c>
      <c r="H403" s="11">
        <f>H402-(1-G402)</f>
        <v/>
      </c>
      <c r="I403" s="11">
        <f>I402-H403</f>
        <v/>
      </c>
    </row>
    <row r="404">
      <c r="A404" s="10" t="n">
        <v>154</v>
      </c>
      <c r="F404" s="11">
        <f>F403*($B$235+154-1)*(1-$B$234)/154</f>
        <v/>
      </c>
      <c r="G404" s="11">
        <f>G403+F404</f>
        <v/>
      </c>
      <c r="H404" s="11">
        <f>H403-(1-G403)</f>
        <v/>
      </c>
      <c r="I404" s="11">
        <f>I403-H404</f>
        <v/>
      </c>
    </row>
    <row r="405">
      <c r="A405" s="10" t="n">
        <v>155</v>
      </c>
      <c r="F405" s="11">
        <f>F404*($B$235+155-1)*(1-$B$234)/155</f>
        <v/>
      </c>
      <c r="G405" s="11">
        <f>G404+F405</f>
        <v/>
      </c>
      <c r="H405" s="11">
        <f>H404-(1-G404)</f>
        <v/>
      </c>
      <c r="I405" s="11">
        <f>I404-H405</f>
        <v/>
      </c>
    </row>
    <row r="406">
      <c r="A406" s="10" t="n">
        <v>156</v>
      </c>
      <c r="F406" s="11">
        <f>F405*($B$235+156-1)*(1-$B$234)/156</f>
        <v/>
      </c>
      <c r="G406" s="11">
        <f>G405+F406</f>
        <v/>
      </c>
      <c r="H406" s="11">
        <f>H405-(1-G405)</f>
        <v/>
      </c>
      <c r="I406" s="11">
        <f>I405-H406</f>
        <v/>
      </c>
    </row>
    <row r="407">
      <c r="A407" s="10" t="n">
        <v>157</v>
      </c>
      <c r="F407" s="11">
        <f>F406*($B$235+157-1)*(1-$B$234)/157</f>
        <v/>
      </c>
      <c r="G407" s="11">
        <f>G406+F407</f>
        <v/>
      </c>
      <c r="H407" s="11">
        <f>H406-(1-G406)</f>
        <v/>
      </c>
      <c r="I407" s="11">
        <f>I406-H407</f>
        <v/>
      </c>
    </row>
    <row r="408">
      <c r="A408" s="10" t="n">
        <v>158</v>
      </c>
      <c r="F408" s="11">
        <f>F407*($B$235+158-1)*(1-$B$234)/158</f>
        <v/>
      </c>
      <c r="G408" s="11">
        <f>G407+F408</f>
        <v/>
      </c>
      <c r="H408" s="11">
        <f>H407-(1-G407)</f>
        <v/>
      </c>
      <c r="I408" s="11">
        <f>I407-H408</f>
        <v/>
      </c>
    </row>
    <row r="409">
      <c r="A409" s="10" t="n">
        <v>159</v>
      </c>
      <c r="F409" s="11">
        <f>F408*($B$235+159-1)*(1-$B$234)/159</f>
        <v/>
      </c>
      <c r="G409" s="11">
        <f>G408+F409</f>
        <v/>
      </c>
      <c r="H409" s="11">
        <f>H408-(1-G408)</f>
        <v/>
      </c>
      <c r="I409" s="11">
        <f>I408-H409</f>
        <v/>
      </c>
    </row>
    <row r="410">
      <c r="A410" s="10" t="n">
        <v>160</v>
      </c>
      <c r="F410" s="11">
        <f>F409*($B$235+160-1)*(1-$B$234)/160</f>
        <v/>
      </c>
      <c r="G410" s="11">
        <f>G409+F410</f>
        <v/>
      </c>
      <c r="H410" s="11">
        <f>H409-(1-G409)</f>
        <v/>
      </c>
      <c r="I410" s="11">
        <f>I409-H410</f>
        <v/>
      </c>
    </row>
    <row r="414">
      <c r="A414" s="3" t="inlineStr">
        <is>
          <t>Pass 3</t>
        </is>
      </c>
    </row>
    <row r="415">
      <c r="A415" t="inlineStr">
        <is>
          <t>E[W] from the last pass</t>
        </is>
      </c>
      <c r="B415" s="7">
        <f>B239</f>
        <v/>
      </c>
    </row>
    <row r="416">
      <c r="A416" t="inlineStr">
        <is>
          <t>Var[W] from the last pass</t>
        </is>
      </c>
      <c r="B416" s="7">
        <f>B240</f>
        <v/>
      </c>
    </row>
    <row r="417">
      <c r="A417" t="inlineStr">
        <is>
          <t>storeroom r_j</t>
        </is>
      </c>
      <c r="B417" s="20" t="n">
        <v>0</v>
      </c>
    </row>
    <row r="418">
      <c r="A418" t="inlineStr">
        <is>
          <t>storeroom Q_j</t>
        </is>
      </c>
      <c r="B418" s="20" t="n">
        <v>29</v>
      </c>
    </row>
    <row r="419">
      <c r="A419" t="inlineStr">
        <is>
          <t>storeroom mean</t>
        </is>
      </c>
      <c r="B419" s="7">
        <f>$B$10*($B$12+B415)</f>
        <v/>
      </c>
    </row>
    <row r="420">
      <c r="A420" t="inlineStr">
        <is>
          <t>storeroom variance</t>
        </is>
      </c>
      <c r="B420" s="7">
        <f>B419+$B$10^2*B416</f>
        <v/>
      </c>
    </row>
    <row r="421">
      <c r="A421" t="inlineStr">
        <is>
          <t>Poisson? (ratio &lt;= 1.05)</t>
        </is>
      </c>
      <c r="B421" s="12">
        <f>IF(B420/B419&lt;=1.05,1,0)</f>
        <v/>
      </c>
    </row>
    <row r="422">
      <c r="A422" t="inlineStr">
        <is>
          <t>p</t>
        </is>
      </c>
      <c r="B422" s="7">
        <f>IF(B421=1,"",B419/B420)</f>
        <v/>
      </c>
    </row>
    <row r="423">
      <c r="A423" t="inlineStr">
        <is>
          <t>r</t>
        </is>
      </c>
      <c r="B423" s="7">
        <f>IF(B421=1,"",B419^2/(B420-B419))</f>
        <v/>
      </c>
    </row>
    <row r="424">
      <c r="A424" t="inlineStr">
        <is>
          <t>second moment</t>
        </is>
      </c>
      <c r="B424" s="7">
        <f>B420+B419^2</f>
        <v/>
      </c>
    </row>
    <row r="426">
      <c r="A426" t="inlineStr">
        <is>
          <t>hub r_0</t>
        </is>
      </c>
      <c r="B426" s="20" t="n">
        <v>2</v>
      </c>
    </row>
    <row r="427">
      <c r="A427" t="inlineStr">
        <is>
          <t>hub Q_0</t>
        </is>
      </c>
      <c r="B427" s="20" t="n">
        <v>48</v>
      </c>
    </row>
    <row r="428">
      <c r="A428" t="inlineStr">
        <is>
          <t>hub mean</t>
        </is>
      </c>
      <c r="B428" s="7">
        <f>($B$10+$B$11)*$B$13</f>
        <v/>
      </c>
    </row>
    <row r="429">
      <c r="A429" t="inlineStr">
        <is>
          <t>hub variance, the recipe</t>
        </is>
      </c>
      <c r="B429" s="7">
        <f>$B$11*$B$13+$B$10*$B$13+B418^2/6</f>
        <v/>
      </c>
    </row>
    <row r="430">
      <c r="A430" t="inlineStr">
        <is>
          <t>p</t>
        </is>
      </c>
      <c r="B430" s="7">
        <f>B428/B429</f>
        <v/>
      </c>
    </row>
    <row r="431">
      <c r="A431" t="inlineStr">
        <is>
          <t>r</t>
        </is>
      </c>
      <c r="B431" s="7">
        <f>B428^2/(B429-B428)</f>
        <v/>
      </c>
    </row>
    <row r="432">
      <c r="A432" t="inlineStr">
        <is>
          <t>second moment</t>
        </is>
      </c>
      <c r="B432" s="7">
        <f>B429+B428^2</f>
        <v/>
      </c>
    </row>
    <row r="434">
      <c r="A434" t="inlineStr">
        <is>
          <t>hub backorders</t>
        </is>
      </c>
      <c r="B434" s="7">
        <f>(INDEX(PassThreeHubLossTwo,$B$426+6)-INDEX(PassThreeHubLossTwo,$B$426+$B$427+6))/$B$427</f>
        <v/>
      </c>
      <c r="D434" s="16" t="inlineStr">
        <is>
          <t>at the policy</t>
        </is>
      </c>
      <c r="E434" s="16" t="inlineStr">
        <is>
          <t>r - 1</t>
        </is>
      </c>
      <c r="F434" s="16" t="inlineStr">
        <is>
          <t>r + 1</t>
        </is>
      </c>
      <c r="G434" s="16" t="inlineStr">
        <is>
          <t>Q - 1</t>
        </is>
      </c>
      <c r="H434" s="16" t="inlineStr">
        <is>
          <t>Q + 1</t>
        </is>
      </c>
    </row>
    <row r="435">
      <c r="A435" t="inlineStr">
        <is>
          <t>E[W]</t>
        </is>
      </c>
      <c r="B435" s="7">
        <f>B434/($B$10+$B$11)</f>
        <v/>
      </c>
      <c r="C435" t="inlineStr">
        <is>
          <t>storeroom</t>
        </is>
      </c>
      <c r="D435" s="21">
        <f>$B$5*$B$10/($B$418)+$B$7*((($B$418)+1)/2+($B$417)-$B$419+(INDEX(PassThreeStoreLossTwo,$B$417+6)-INDEX(PassThreeStoreLossTwo,($B$417)+($B$418)+6))/($B$418))+$B$8*(INDEX(PassThreeStoreLossTwo,$B$417+6)-INDEX(PassThreeStoreLossTwo,($B$417)+($B$418)+6))/($B$418)</f>
        <v/>
      </c>
      <c r="E435" s="8">
        <f>$B$5*$B$10/($B$418+0)+$B$7*((($B$418+0)+1)/2+($B$417-1)-$B$419+(INDEX(PassThreeStoreLossTwo,$B$417-1+6)-INDEX(PassThreeStoreLossTwo,($B$417-1)+($B$418+0)+6))/($B$418+0))+$B$8*(INDEX(PassThreeStoreLossTwo,$B$417-1+6)-INDEX(PassThreeStoreLossTwo,($B$417-1)+($B$418+0)+6))/($B$418+0)</f>
        <v/>
      </c>
      <c r="F435" s="8">
        <f>$B$5*$B$10/($B$418+0)+$B$7*((($B$418+0)+1)/2+($B$417+1)-$B$419+(INDEX(PassThreeStoreLossTwo,$B$417+1+6)-INDEX(PassThreeStoreLossTwo,($B$417+1)+($B$418+0)+6))/($B$418+0))+$B$8*(INDEX(PassThreeStoreLossTwo,$B$417+1+6)-INDEX(PassThreeStoreLossTwo,($B$417+1)+($B$418+0)+6))/($B$418+0)</f>
        <v/>
      </c>
      <c r="G435" s="8">
        <f>$B$5*$B$10/($B$418-1)+$B$7*((($B$418-1)+1)/2+($B$417+0)-$B$419+(INDEX(PassThreeStoreLossTwo,$B$417+0+6)-INDEX(PassThreeStoreLossTwo,($B$417+0)+($B$418-1)+6))/($B$418-1))+$B$8*(INDEX(PassThreeStoreLossTwo,$B$417+0+6)-INDEX(PassThreeStoreLossTwo,($B$417+0)+($B$418-1)+6))/($B$418-1)</f>
        <v/>
      </c>
      <c r="H435" s="8">
        <f>$B$5*$B$10/($B$418+1)+$B$7*((($B$418+1)+1)/2+($B$417+0)-$B$419+(INDEX(PassThreeStoreLossTwo,$B$417+0+6)-INDEX(PassThreeStoreLossTwo,($B$417+0)+($B$418+1)+6))/($B$418+1))+$B$8*(INDEX(PassThreeStoreLossTwo,$B$417+0+6)-INDEX(PassThreeStoreLossTwo,($B$417+0)+($B$418+1)+6))/($B$418+1)</f>
        <v/>
      </c>
      <c r="I435" s="12">
        <f>IF(MIN(E435:H435)&lt;D435,"yes","no")</f>
        <v/>
      </c>
    </row>
    <row r="436">
      <c r="A436" t="inlineStr">
        <is>
          <t>Var[W]</t>
        </is>
      </c>
      <c r="B436" s="7">
        <f>(2/$B$427*SUM(INDEX(PassThreeHubLossTwo,$B$426+1+6):INDEX(PassThreeHubLossTwo,$B$426+$B$427+6))-B434^2)/($B$10+$B$11)^2</f>
        <v/>
      </c>
      <c r="C436" t="inlineStr">
        <is>
          <t>hub</t>
        </is>
      </c>
      <c r="D436" s="21">
        <f>$B$5*($B$10+$B$11)/($B$427)+$B$7*((($B$427)+1)/2+($B$426)-$B$428+(INDEX(PassThreeHubLossTwo,$B$426+6)-INDEX(PassThreeHubLossTwo,($B$426)+($B$427)+6))/($B$427))+$B$9*(INDEX(PassThreeHubLossTwo,$B$426+6)-INDEX(PassThreeHubLossTwo,($B$426)+($B$427)+6))/($B$427)</f>
        <v/>
      </c>
      <c r="E436" s="8">
        <f>$B$5*($B$10+$B$11)/($B$427+0)+$B$7*((($B$427+0)+1)/2+($B$426-1)-$B$428+(INDEX(PassThreeHubLossTwo,$B$426-1+6)-INDEX(PassThreeHubLossTwo,($B$426-1)+($B$427+0)+6))/($B$427+0))+$B$9*(INDEX(PassThreeHubLossTwo,$B$426-1+6)-INDEX(PassThreeHubLossTwo,($B$426-1)+($B$427+0)+6))/($B$427+0)</f>
        <v/>
      </c>
      <c r="F436" s="8">
        <f>$B$5*($B$10+$B$11)/($B$427+0)+$B$7*((($B$427+0)+1)/2+($B$426+1)-$B$428+(INDEX(PassThreeHubLossTwo,$B$426+1+6)-INDEX(PassThreeHubLossTwo,($B$426+1)+($B$427+0)+6))/($B$427+0))+$B$9*(INDEX(PassThreeHubLossTwo,$B$426+1+6)-INDEX(PassThreeHubLossTwo,($B$426+1)+($B$427+0)+6))/($B$427+0)</f>
        <v/>
      </c>
      <c r="G436" s="8">
        <f>$B$5*($B$10+$B$11)/($B$427-1)+$B$7*((($B$427-1)+1)/2+($B$426+0)-$B$428+(INDEX(PassThreeHubLossTwo,$B$426+0+6)-INDEX(PassThreeHubLossTwo,($B$426+0)+($B$427-1)+6))/($B$427-1))+$B$9*(INDEX(PassThreeHubLossTwo,$B$426+0+6)-INDEX(PassThreeHubLossTwo,($B$426+0)+($B$427-1)+6))/($B$427-1)</f>
        <v/>
      </c>
      <c r="H436" s="8">
        <f>$B$5*($B$10+$B$11)/($B$427+1)+$B$7*((($B$427+1)+1)/2+($B$426+0)-$B$428+(INDEX(PassThreeHubLossTwo,$B$426+0+6)-INDEX(PassThreeHubLossTwo,($B$426+0)+($B$427+1)+6))/($B$427+1))+$B$9*(INDEX(PassThreeHubLossTwo,$B$426+0+6)-INDEX(PassThreeHubLossTwo,($B$426+0)+($B$427+1)+6))/($B$427+1)</f>
        <v/>
      </c>
      <c r="I436" s="12">
        <f>IF(MIN(E436:H436)&lt;D436,"yes","no")</f>
        <v/>
      </c>
    </row>
    <row r="440">
      <c r="A440" s="9" t="inlineStr">
        <is>
          <t>x</t>
        </is>
      </c>
      <c r="B440" s="9" t="inlineStr">
        <is>
          <t>storeroom</t>
        </is>
      </c>
      <c r="C440" s="9" t="inlineStr">
        <is>
          <t>F</t>
        </is>
      </c>
      <c r="D440" s="9" t="inlineStr">
        <is>
          <t>LossOne</t>
        </is>
      </c>
      <c r="E440" s="9" t="inlineStr">
        <is>
          <t>LossTwo</t>
        </is>
      </c>
      <c r="F440" s="9" t="inlineStr">
        <is>
          <t>hub</t>
        </is>
      </c>
      <c r="G440" s="9" t="inlineStr">
        <is>
          <t>F</t>
        </is>
      </c>
      <c r="H440" s="9" t="inlineStr">
        <is>
          <t>LossOne</t>
        </is>
      </c>
      <c r="I440" s="9" t="inlineStr">
        <is>
          <t>LossTwo</t>
        </is>
      </c>
    </row>
    <row r="441">
      <c r="A441" s="10" t="n">
        <v>-5</v>
      </c>
      <c r="B441" s="11" t="n">
        <v>0</v>
      </c>
      <c r="C441" s="11" t="n">
        <v>0</v>
      </c>
      <c r="D441" s="11">
        <f>$B$419-A441</f>
        <v/>
      </c>
      <c r="E441" s="11">
        <f>0.5*($B$424-$B$419^2+($B$419-A441)^2-($B$419-A441))</f>
        <v/>
      </c>
      <c r="F441" s="11" t="n">
        <v>0</v>
      </c>
      <c r="G441" s="11" t="n">
        <v>0</v>
      </c>
      <c r="H441" s="11">
        <f>$B$428-A441</f>
        <v/>
      </c>
      <c r="I441" s="11">
        <f>0.5*($B$432-$B$428^2+($B$428-A441)^2-($B$428-A441))</f>
        <v/>
      </c>
    </row>
    <row r="442">
      <c r="A442" s="10" t="n">
        <v>-4</v>
      </c>
      <c r="B442" s="11" t="n">
        <v>0</v>
      </c>
      <c r="C442" s="11" t="n">
        <v>0</v>
      </c>
      <c r="D442" s="11">
        <f>$B$419-A442</f>
        <v/>
      </c>
      <c r="E442" s="11">
        <f>0.5*($B$424-$B$419^2+($B$419-A442)^2-($B$419-A442))</f>
        <v/>
      </c>
      <c r="F442" s="11" t="n">
        <v>0</v>
      </c>
      <c r="G442" s="11" t="n">
        <v>0</v>
      </c>
      <c r="H442" s="11">
        <f>$B$428-A442</f>
        <v/>
      </c>
      <c r="I442" s="11">
        <f>0.5*($B$432-$B$428^2+($B$428-A442)^2-($B$428-A442))</f>
        <v/>
      </c>
    </row>
    <row r="443">
      <c r="A443" s="10" t="n">
        <v>-3</v>
      </c>
      <c r="B443" s="11" t="n">
        <v>0</v>
      </c>
      <c r="C443" s="11" t="n">
        <v>0</v>
      </c>
      <c r="D443" s="11">
        <f>$B$419-A443</f>
        <v/>
      </c>
      <c r="E443" s="11">
        <f>0.5*($B$424-$B$419^2+($B$419-A443)^2-($B$419-A443))</f>
        <v/>
      </c>
      <c r="F443" s="11" t="n">
        <v>0</v>
      </c>
      <c r="G443" s="11" t="n">
        <v>0</v>
      </c>
      <c r="H443" s="11">
        <f>$B$428-A443</f>
        <v/>
      </c>
      <c r="I443" s="11">
        <f>0.5*($B$432-$B$428^2+($B$428-A443)^2-($B$428-A443))</f>
        <v/>
      </c>
    </row>
    <row r="444">
      <c r="A444" s="10" t="n">
        <v>-2</v>
      </c>
      <c r="B444" s="11" t="n">
        <v>0</v>
      </c>
      <c r="C444" s="11" t="n">
        <v>0</v>
      </c>
      <c r="D444" s="11">
        <f>$B$419-A444</f>
        <v/>
      </c>
      <c r="E444" s="11">
        <f>0.5*($B$424-$B$419^2+($B$419-A444)^2-($B$419-A444))</f>
        <v/>
      </c>
      <c r="F444" s="11" t="n">
        <v>0</v>
      </c>
      <c r="G444" s="11" t="n">
        <v>0</v>
      </c>
      <c r="H444" s="11">
        <f>$B$428-A444</f>
        <v/>
      </c>
      <c r="I444" s="11">
        <f>0.5*($B$432-$B$428^2+($B$428-A444)^2-($B$428-A444))</f>
        <v/>
      </c>
    </row>
    <row r="445">
      <c r="A445" s="10" t="n">
        <v>-1</v>
      </c>
      <c r="B445" s="11" t="n">
        <v>0</v>
      </c>
      <c r="C445" s="11" t="n">
        <v>0</v>
      </c>
      <c r="D445" s="11">
        <f>$B$419-A445</f>
        <v/>
      </c>
      <c r="E445" s="11">
        <f>0.5*($B$424-$B$419^2+($B$419-A445)^2-($B$419-A445))</f>
        <v/>
      </c>
      <c r="F445" s="11" t="n">
        <v>0</v>
      </c>
      <c r="G445" s="11" t="n">
        <v>0</v>
      </c>
      <c r="H445" s="11">
        <f>$B$428-A445</f>
        <v/>
      </c>
      <c r="I445" s="11">
        <f>0.5*($B$432-$B$428^2+($B$428-A445)^2-($B$428-A445))</f>
        <v/>
      </c>
    </row>
    <row r="446">
      <c r="A446" s="10" t="n">
        <v>0</v>
      </c>
      <c r="B446" s="11">
        <f>IF($B$421=1,_xlfn.POISSON.DIST(0,$B$419,FALSE),B422^B423)</f>
        <v/>
      </c>
      <c r="C446" s="11">
        <f>B446</f>
        <v/>
      </c>
      <c r="D446" s="11">
        <f>$B$419</f>
        <v/>
      </c>
      <c r="E446" s="11">
        <f>0.5*($B$424-$B$419)</f>
        <v/>
      </c>
      <c r="F446" s="11">
        <f>$B$430^$B$431</f>
        <v/>
      </c>
      <c r="G446" s="11">
        <f>F446</f>
        <v/>
      </c>
      <c r="H446" s="11">
        <f>$B$428</f>
        <v/>
      </c>
      <c r="I446" s="11">
        <f>0.5*($B$432-$B$428)</f>
        <v/>
      </c>
    </row>
    <row r="447">
      <c r="A447" s="10" t="n">
        <v>1</v>
      </c>
      <c r="B447" s="11">
        <f>IF($B$421=1,_xlfn.POISSON.DIST(1,$B$419,FALSE),B446*(B423+1-1)*(1-B422)/1)</f>
        <v/>
      </c>
      <c r="C447" s="11">
        <f>C446+B447</f>
        <v/>
      </c>
      <c r="D447" s="11">
        <f>D446-(1-C446)</f>
        <v/>
      </c>
      <c r="E447" s="11">
        <f>E446-D447</f>
        <v/>
      </c>
      <c r="F447" s="11">
        <f>F446*($B$431+1-1)*(1-$B$430)/1</f>
        <v/>
      </c>
      <c r="G447" s="11">
        <f>G446+F447</f>
        <v/>
      </c>
      <c r="H447" s="11">
        <f>H446-(1-G446)</f>
        <v/>
      </c>
      <c r="I447" s="11">
        <f>I446-H447</f>
        <v/>
      </c>
    </row>
    <row r="448">
      <c r="A448" s="10" t="n">
        <v>2</v>
      </c>
      <c r="B448" s="11">
        <f>IF($B$421=1,_xlfn.POISSON.DIST(2,$B$419,FALSE),B447*(B423+2-1)*(1-B422)/2)</f>
        <v/>
      </c>
      <c r="C448" s="11">
        <f>C447+B448</f>
        <v/>
      </c>
      <c r="D448" s="11">
        <f>D447-(1-C447)</f>
        <v/>
      </c>
      <c r="E448" s="11">
        <f>E447-D448</f>
        <v/>
      </c>
      <c r="F448" s="11">
        <f>F447*($B$431+2-1)*(1-$B$430)/2</f>
        <v/>
      </c>
      <c r="G448" s="11">
        <f>G447+F448</f>
        <v/>
      </c>
      <c r="H448" s="11">
        <f>H447-(1-G447)</f>
        <v/>
      </c>
      <c r="I448" s="11">
        <f>I447-H448</f>
        <v/>
      </c>
    </row>
    <row r="449">
      <c r="A449" s="10" t="n">
        <v>3</v>
      </c>
      <c r="B449" s="11">
        <f>IF($B$421=1,_xlfn.POISSON.DIST(3,$B$419,FALSE),B448*(B423+3-1)*(1-B422)/3)</f>
        <v/>
      </c>
      <c r="C449" s="11">
        <f>C448+B449</f>
        <v/>
      </c>
      <c r="D449" s="11">
        <f>D448-(1-C448)</f>
        <v/>
      </c>
      <c r="E449" s="11">
        <f>E448-D449</f>
        <v/>
      </c>
      <c r="F449" s="11">
        <f>F448*($B$431+3-1)*(1-$B$430)/3</f>
        <v/>
      </c>
      <c r="G449" s="11">
        <f>G448+F449</f>
        <v/>
      </c>
      <c r="H449" s="11">
        <f>H448-(1-G448)</f>
        <v/>
      </c>
      <c r="I449" s="11">
        <f>I448-H449</f>
        <v/>
      </c>
    </row>
    <row r="450">
      <c r="A450" s="10" t="n">
        <v>4</v>
      </c>
      <c r="B450" s="11">
        <f>IF($B$421=1,_xlfn.POISSON.DIST(4,$B$419,FALSE),B449*(B423+4-1)*(1-B422)/4)</f>
        <v/>
      </c>
      <c r="C450" s="11">
        <f>C449+B450</f>
        <v/>
      </c>
      <c r="D450" s="11">
        <f>D449-(1-C449)</f>
        <v/>
      </c>
      <c r="E450" s="11">
        <f>E449-D450</f>
        <v/>
      </c>
      <c r="F450" s="11">
        <f>F449*($B$431+4-1)*(1-$B$430)/4</f>
        <v/>
      </c>
      <c r="G450" s="11">
        <f>G449+F450</f>
        <v/>
      </c>
      <c r="H450" s="11">
        <f>H449-(1-G449)</f>
        <v/>
      </c>
      <c r="I450" s="11">
        <f>I449-H450</f>
        <v/>
      </c>
    </row>
    <row r="451">
      <c r="A451" s="10" t="n">
        <v>5</v>
      </c>
      <c r="B451" s="11">
        <f>IF($B$421=1,_xlfn.POISSON.DIST(5,$B$419,FALSE),B450*(B423+5-1)*(1-B422)/5)</f>
        <v/>
      </c>
      <c r="C451" s="11">
        <f>C450+B451</f>
        <v/>
      </c>
      <c r="D451" s="11">
        <f>D450-(1-C450)</f>
        <v/>
      </c>
      <c r="E451" s="11">
        <f>E450-D451</f>
        <v/>
      </c>
      <c r="F451" s="11">
        <f>F450*($B$431+5-1)*(1-$B$430)/5</f>
        <v/>
      </c>
      <c r="G451" s="11">
        <f>G450+F451</f>
        <v/>
      </c>
      <c r="H451" s="11">
        <f>H450-(1-G450)</f>
        <v/>
      </c>
      <c r="I451" s="11">
        <f>I450-H451</f>
        <v/>
      </c>
    </row>
    <row r="452">
      <c r="A452" s="10" t="n">
        <v>6</v>
      </c>
      <c r="B452" s="11">
        <f>IF($B$421=1,_xlfn.POISSON.DIST(6,$B$419,FALSE),B451*(B423+6-1)*(1-B422)/6)</f>
        <v/>
      </c>
      <c r="C452" s="11">
        <f>C451+B452</f>
        <v/>
      </c>
      <c r="D452" s="11">
        <f>D451-(1-C451)</f>
        <v/>
      </c>
      <c r="E452" s="11">
        <f>E451-D452</f>
        <v/>
      </c>
      <c r="F452" s="11">
        <f>F451*($B$431+6-1)*(1-$B$430)/6</f>
        <v/>
      </c>
      <c r="G452" s="11">
        <f>G451+F452</f>
        <v/>
      </c>
      <c r="H452" s="11">
        <f>H451-(1-G451)</f>
        <v/>
      </c>
      <c r="I452" s="11">
        <f>I451-H452</f>
        <v/>
      </c>
    </row>
    <row r="453">
      <c r="A453" s="10" t="n">
        <v>7</v>
      </c>
      <c r="B453" s="11">
        <f>IF($B$421=1,_xlfn.POISSON.DIST(7,$B$419,FALSE),B452*(B423+7-1)*(1-B422)/7)</f>
        <v/>
      </c>
      <c r="C453" s="11">
        <f>C452+B453</f>
        <v/>
      </c>
      <c r="D453" s="11">
        <f>D452-(1-C452)</f>
        <v/>
      </c>
      <c r="E453" s="11">
        <f>E452-D453</f>
        <v/>
      </c>
      <c r="F453" s="11">
        <f>F452*($B$431+7-1)*(1-$B$430)/7</f>
        <v/>
      </c>
      <c r="G453" s="11">
        <f>G452+F453</f>
        <v/>
      </c>
      <c r="H453" s="11">
        <f>H452-(1-G452)</f>
        <v/>
      </c>
      <c r="I453" s="11">
        <f>I452-H453</f>
        <v/>
      </c>
    </row>
    <row r="454">
      <c r="A454" s="10" t="n">
        <v>8</v>
      </c>
      <c r="B454" s="11">
        <f>IF($B$421=1,_xlfn.POISSON.DIST(8,$B$419,FALSE),B453*(B423+8-1)*(1-B422)/8)</f>
        <v/>
      </c>
      <c r="C454" s="11">
        <f>C453+B454</f>
        <v/>
      </c>
      <c r="D454" s="11">
        <f>D453-(1-C453)</f>
        <v/>
      </c>
      <c r="E454" s="11">
        <f>E453-D454</f>
        <v/>
      </c>
      <c r="F454" s="11">
        <f>F453*($B$431+8-1)*(1-$B$430)/8</f>
        <v/>
      </c>
      <c r="G454" s="11">
        <f>G453+F454</f>
        <v/>
      </c>
      <c r="H454" s="11">
        <f>H453-(1-G453)</f>
        <v/>
      </c>
      <c r="I454" s="11">
        <f>I453-H454</f>
        <v/>
      </c>
    </row>
    <row r="455">
      <c r="A455" s="10" t="n">
        <v>9</v>
      </c>
      <c r="B455" s="11">
        <f>IF($B$421=1,_xlfn.POISSON.DIST(9,$B$419,FALSE),B454*(B423+9-1)*(1-B422)/9)</f>
        <v/>
      </c>
      <c r="C455" s="11">
        <f>C454+B455</f>
        <v/>
      </c>
      <c r="D455" s="11">
        <f>D454-(1-C454)</f>
        <v/>
      </c>
      <c r="E455" s="11">
        <f>E454-D455</f>
        <v/>
      </c>
      <c r="F455" s="11">
        <f>F454*($B$431+9-1)*(1-$B$430)/9</f>
        <v/>
      </c>
      <c r="G455" s="11">
        <f>G454+F455</f>
        <v/>
      </c>
      <c r="H455" s="11">
        <f>H454-(1-G454)</f>
        <v/>
      </c>
      <c r="I455" s="11">
        <f>I454-H455</f>
        <v/>
      </c>
    </row>
    <row r="456">
      <c r="A456" s="10" t="n">
        <v>10</v>
      </c>
      <c r="B456" s="11">
        <f>IF($B$421=1,_xlfn.POISSON.DIST(10,$B$419,FALSE),B455*(B423+10-1)*(1-B422)/10)</f>
        <v/>
      </c>
      <c r="C456" s="11">
        <f>C455+B456</f>
        <v/>
      </c>
      <c r="D456" s="11">
        <f>D455-(1-C455)</f>
        <v/>
      </c>
      <c r="E456" s="11">
        <f>E455-D456</f>
        <v/>
      </c>
      <c r="F456" s="11">
        <f>F455*($B$431+10-1)*(1-$B$430)/10</f>
        <v/>
      </c>
      <c r="G456" s="11">
        <f>G455+F456</f>
        <v/>
      </c>
      <c r="H456" s="11">
        <f>H455-(1-G455)</f>
        <v/>
      </c>
      <c r="I456" s="11">
        <f>I455-H456</f>
        <v/>
      </c>
    </row>
    <row r="457">
      <c r="A457" s="10" t="n">
        <v>11</v>
      </c>
      <c r="B457" s="11">
        <f>IF($B$421=1,_xlfn.POISSON.DIST(11,$B$419,FALSE),B456*(B423+11-1)*(1-B422)/11)</f>
        <v/>
      </c>
      <c r="C457" s="11">
        <f>C456+B457</f>
        <v/>
      </c>
      <c r="D457" s="11">
        <f>D456-(1-C456)</f>
        <v/>
      </c>
      <c r="E457" s="11">
        <f>E456-D457</f>
        <v/>
      </c>
      <c r="F457" s="11">
        <f>F456*($B$431+11-1)*(1-$B$430)/11</f>
        <v/>
      </c>
      <c r="G457" s="11">
        <f>G456+F457</f>
        <v/>
      </c>
      <c r="H457" s="11">
        <f>H456-(1-G456)</f>
        <v/>
      </c>
      <c r="I457" s="11">
        <f>I456-H457</f>
        <v/>
      </c>
    </row>
    <row r="458">
      <c r="A458" s="10" t="n">
        <v>12</v>
      </c>
      <c r="B458" s="11">
        <f>IF($B$421=1,_xlfn.POISSON.DIST(12,$B$419,FALSE),B457*(B423+12-1)*(1-B422)/12)</f>
        <v/>
      </c>
      <c r="C458" s="11">
        <f>C457+B458</f>
        <v/>
      </c>
      <c r="D458" s="11">
        <f>D457-(1-C457)</f>
        <v/>
      </c>
      <c r="E458" s="11">
        <f>E457-D458</f>
        <v/>
      </c>
      <c r="F458" s="11">
        <f>F457*($B$431+12-1)*(1-$B$430)/12</f>
        <v/>
      </c>
      <c r="G458" s="11">
        <f>G457+F458</f>
        <v/>
      </c>
      <c r="H458" s="11">
        <f>H457-(1-G457)</f>
        <v/>
      </c>
      <c r="I458" s="11">
        <f>I457-H458</f>
        <v/>
      </c>
    </row>
    <row r="459">
      <c r="A459" s="10" t="n">
        <v>13</v>
      </c>
      <c r="B459" s="11">
        <f>IF($B$421=1,_xlfn.POISSON.DIST(13,$B$419,FALSE),B458*(B423+13-1)*(1-B422)/13)</f>
        <v/>
      </c>
      <c r="C459" s="11">
        <f>C458+B459</f>
        <v/>
      </c>
      <c r="D459" s="11">
        <f>D458-(1-C458)</f>
        <v/>
      </c>
      <c r="E459" s="11">
        <f>E458-D459</f>
        <v/>
      </c>
      <c r="F459" s="11">
        <f>F458*($B$431+13-1)*(1-$B$430)/13</f>
        <v/>
      </c>
      <c r="G459" s="11">
        <f>G458+F459</f>
        <v/>
      </c>
      <c r="H459" s="11">
        <f>H458-(1-G458)</f>
        <v/>
      </c>
      <c r="I459" s="11">
        <f>I458-H459</f>
        <v/>
      </c>
    </row>
    <row r="460">
      <c r="A460" s="10" t="n">
        <v>14</v>
      </c>
      <c r="B460" s="11">
        <f>IF($B$421=1,_xlfn.POISSON.DIST(14,$B$419,FALSE),B459*(B423+14-1)*(1-B422)/14)</f>
        <v/>
      </c>
      <c r="C460" s="11">
        <f>C459+B460</f>
        <v/>
      </c>
      <c r="D460" s="11">
        <f>D459-(1-C459)</f>
        <v/>
      </c>
      <c r="E460" s="11">
        <f>E459-D460</f>
        <v/>
      </c>
      <c r="F460" s="11">
        <f>F459*($B$431+14-1)*(1-$B$430)/14</f>
        <v/>
      </c>
      <c r="G460" s="11">
        <f>G459+F460</f>
        <v/>
      </c>
      <c r="H460" s="11">
        <f>H459-(1-G459)</f>
        <v/>
      </c>
      <c r="I460" s="11">
        <f>I459-H460</f>
        <v/>
      </c>
    </row>
    <row r="461">
      <c r="A461" s="10" t="n">
        <v>15</v>
      </c>
      <c r="B461" s="11">
        <f>IF($B$421=1,_xlfn.POISSON.DIST(15,$B$419,FALSE),B460*(B423+15-1)*(1-B422)/15)</f>
        <v/>
      </c>
      <c r="C461" s="11">
        <f>C460+B461</f>
        <v/>
      </c>
      <c r="D461" s="11">
        <f>D460-(1-C460)</f>
        <v/>
      </c>
      <c r="E461" s="11">
        <f>E460-D461</f>
        <v/>
      </c>
      <c r="F461" s="11">
        <f>F460*($B$431+15-1)*(1-$B$430)/15</f>
        <v/>
      </c>
      <c r="G461" s="11">
        <f>G460+F461</f>
        <v/>
      </c>
      <c r="H461" s="11">
        <f>H460-(1-G460)</f>
        <v/>
      </c>
      <c r="I461" s="11">
        <f>I460-H461</f>
        <v/>
      </c>
    </row>
    <row r="462">
      <c r="A462" s="10" t="n">
        <v>16</v>
      </c>
      <c r="B462" s="11">
        <f>IF($B$421=1,_xlfn.POISSON.DIST(16,$B$419,FALSE),B461*(B423+16-1)*(1-B422)/16)</f>
        <v/>
      </c>
      <c r="C462" s="11">
        <f>C461+B462</f>
        <v/>
      </c>
      <c r="D462" s="11">
        <f>D461-(1-C461)</f>
        <v/>
      </c>
      <c r="E462" s="11">
        <f>E461-D462</f>
        <v/>
      </c>
      <c r="F462" s="11">
        <f>F461*($B$431+16-1)*(1-$B$430)/16</f>
        <v/>
      </c>
      <c r="G462" s="11">
        <f>G461+F462</f>
        <v/>
      </c>
      <c r="H462" s="11">
        <f>H461-(1-G461)</f>
        <v/>
      </c>
      <c r="I462" s="11">
        <f>I461-H462</f>
        <v/>
      </c>
    </row>
    <row r="463">
      <c r="A463" s="10" t="n">
        <v>17</v>
      </c>
      <c r="B463" s="11">
        <f>IF($B$421=1,_xlfn.POISSON.DIST(17,$B$419,FALSE),B462*(B423+17-1)*(1-B422)/17)</f>
        <v/>
      </c>
      <c r="C463" s="11">
        <f>C462+B463</f>
        <v/>
      </c>
      <c r="D463" s="11">
        <f>D462-(1-C462)</f>
        <v/>
      </c>
      <c r="E463" s="11">
        <f>E462-D463</f>
        <v/>
      </c>
      <c r="F463" s="11">
        <f>F462*($B$431+17-1)*(1-$B$430)/17</f>
        <v/>
      </c>
      <c r="G463" s="11">
        <f>G462+F463</f>
        <v/>
      </c>
      <c r="H463" s="11">
        <f>H462-(1-G462)</f>
        <v/>
      </c>
      <c r="I463" s="11">
        <f>I462-H463</f>
        <v/>
      </c>
    </row>
    <row r="464">
      <c r="A464" s="10" t="n">
        <v>18</v>
      </c>
      <c r="B464" s="11">
        <f>IF($B$421=1,_xlfn.POISSON.DIST(18,$B$419,FALSE),B463*(B423+18-1)*(1-B422)/18)</f>
        <v/>
      </c>
      <c r="C464" s="11">
        <f>C463+B464</f>
        <v/>
      </c>
      <c r="D464" s="11">
        <f>D463-(1-C463)</f>
        <v/>
      </c>
      <c r="E464" s="11">
        <f>E463-D464</f>
        <v/>
      </c>
      <c r="F464" s="11">
        <f>F463*($B$431+18-1)*(1-$B$430)/18</f>
        <v/>
      </c>
      <c r="G464" s="11">
        <f>G463+F464</f>
        <v/>
      </c>
      <c r="H464" s="11">
        <f>H463-(1-G463)</f>
        <v/>
      </c>
      <c r="I464" s="11">
        <f>I463-H464</f>
        <v/>
      </c>
    </row>
    <row r="465">
      <c r="A465" s="10" t="n">
        <v>19</v>
      </c>
      <c r="B465" s="11">
        <f>IF($B$421=1,_xlfn.POISSON.DIST(19,$B$419,FALSE),B464*(B423+19-1)*(1-B422)/19)</f>
        <v/>
      </c>
      <c r="C465" s="11">
        <f>C464+B465</f>
        <v/>
      </c>
      <c r="D465" s="11">
        <f>D464-(1-C464)</f>
        <v/>
      </c>
      <c r="E465" s="11">
        <f>E464-D465</f>
        <v/>
      </c>
      <c r="F465" s="11">
        <f>F464*($B$431+19-1)*(1-$B$430)/19</f>
        <v/>
      </c>
      <c r="G465" s="11">
        <f>G464+F465</f>
        <v/>
      </c>
      <c r="H465" s="11">
        <f>H464-(1-G464)</f>
        <v/>
      </c>
      <c r="I465" s="11">
        <f>I464-H465</f>
        <v/>
      </c>
    </row>
    <row r="466">
      <c r="A466" s="10" t="n">
        <v>20</v>
      </c>
      <c r="B466" s="11">
        <f>IF($B$421=1,_xlfn.POISSON.DIST(20,$B$419,FALSE),B465*(B423+20-1)*(1-B422)/20)</f>
        <v/>
      </c>
      <c r="C466" s="11">
        <f>C465+B466</f>
        <v/>
      </c>
      <c r="D466" s="11">
        <f>D465-(1-C465)</f>
        <v/>
      </c>
      <c r="E466" s="11">
        <f>E465-D466</f>
        <v/>
      </c>
      <c r="F466" s="11">
        <f>F465*($B$431+20-1)*(1-$B$430)/20</f>
        <v/>
      </c>
      <c r="G466" s="11">
        <f>G465+F466</f>
        <v/>
      </c>
      <c r="H466" s="11">
        <f>H465-(1-G465)</f>
        <v/>
      </c>
      <c r="I466" s="11">
        <f>I465-H466</f>
        <v/>
      </c>
    </row>
    <row r="467">
      <c r="A467" s="10" t="n">
        <v>21</v>
      </c>
      <c r="B467" s="11">
        <f>IF($B$421=1,_xlfn.POISSON.DIST(21,$B$419,FALSE),B466*(B423+21-1)*(1-B422)/21)</f>
        <v/>
      </c>
      <c r="C467" s="11">
        <f>C466+B467</f>
        <v/>
      </c>
      <c r="D467" s="11">
        <f>D466-(1-C466)</f>
        <v/>
      </c>
      <c r="E467" s="11">
        <f>E466-D467</f>
        <v/>
      </c>
      <c r="F467" s="11">
        <f>F466*($B$431+21-1)*(1-$B$430)/21</f>
        <v/>
      </c>
      <c r="G467" s="11">
        <f>G466+F467</f>
        <v/>
      </c>
      <c r="H467" s="11">
        <f>H466-(1-G466)</f>
        <v/>
      </c>
      <c r="I467" s="11">
        <f>I466-H467</f>
        <v/>
      </c>
    </row>
    <row r="468">
      <c r="A468" s="10" t="n">
        <v>22</v>
      </c>
      <c r="B468" s="11">
        <f>IF($B$421=1,_xlfn.POISSON.DIST(22,$B$419,FALSE),B467*(B423+22-1)*(1-B422)/22)</f>
        <v/>
      </c>
      <c r="C468" s="11">
        <f>C467+B468</f>
        <v/>
      </c>
      <c r="D468" s="11">
        <f>D467-(1-C467)</f>
        <v/>
      </c>
      <c r="E468" s="11">
        <f>E467-D468</f>
        <v/>
      </c>
      <c r="F468" s="11">
        <f>F467*($B$431+22-1)*(1-$B$430)/22</f>
        <v/>
      </c>
      <c r="G468" s="11">
        <f>G467+F468</f>
        <v/>
      </c>
      <c r="H468" s="11">
        <f>H467-(1-G467)</f>
        <v/>
      </c>
      <c r="I468" s="11">
        <f>I467-H468</f>
        <v/>
      </c>
    </row>
    <row r="469">
      <c r="A469" s="10" t="n">
        <v>23</v>
      </c>
      <c r="B469" s="11">
        <f>IF($B$421=1,_xlfn.POISSON.DIST(23,$B$419,FALSE),B468*(B423+23-1)*(1-B422)/23)</f>
        <v/>
      </c>
      <c r="C469" s="11">
        <f>C468+B469</f>
        <v/>
      </c>
      <c r="D469" s="11">
        <f>D468-(1-C468)</f>
        <v/>
      </c>
      <c r="E469" s="11">
        <f>E468-D469</f>
        <v/>
      </c>
      <c r="F469" s="11">
        <f>F468*($B$431+23-1)*(1-$B$430)/23</f>
        <v/>
      </c>
      <c r="G469" s="11">
        <f>G468+F469</f>
        <v/>
      </c>
      <c r="H469" s="11">
        <f>H468-(1-G468)</f>
        <v/>
      </c>
      <c r="I469" s="11">
        <f>I468-H469</f>
        <v/>
      </c>
    </row>
    <row r="470">
      <c r="A470" s="10" t="n">
        <v>24</v>
      </c>
      <c r="B470" s="11">
        <f>IF($B$421=1,_xlfn.POISSON.DIST(24,$B$419,FALSE),B469*(B423+24-1)*(1-B422)/24)</f>
        <v/>
      </c>
      <c r="C470" s="11">
        <f>C469+B470</f>
        <v/>
      </c>
      <c r="D470" s="11">
        <f>D469-(1-C469)</f>
        <v/>
      </c>
      <c r="E470" s="11">
        <f>E469-D470</f>
        <v/>
      </c>
      <c r="F470" s="11">
        <f>F469*($B$431+24-1)*(1-$B$430)/24</f>
        <v/>
      </c>
      <c r="G470" s="11">
        <f>G469+F470</f>
        <v/>
      </c>
      <c r="H470" s="11">
        <f>H469-(1-G469)</f>
        <v/>
      </c>
      <c r="I470" s="11">
        <f>I469-H470</f>
        <v/>
      </c>
    </row>
    <row r="471">
      <c r="A471" s="10" t="n">
        <v>25</v>
      </c>
      <c r="B471" s="11">
        <f>IF($B$421=1,_xlfn.POISSON.DIST(25,$B$419,FALSE),B470*(B423+25-1)*(1-B422)/25)</f>
        <v/>
      </c>
      <c r="C471" s="11">
        <f>C470+B471</f>
        <v/>
      </c>
      <c r="D471" s="11">
        <f>D470-(1-C470)</f>
        <v/>
      </c>
      <c r="E471" s="11">
        <f>E470-D471</f>
        <v/>
      </c>
      <c r="F471" s="11">
        <f>F470*($B$431+25-1)*(1-$B$430)/25</f>
        <v/>
      </c>
      <c r="G471" s="11">
        <f>G470+F471</f>
        <v/>
      </c>
      <c r="H471" s="11">
        <f>H470-(1-G470)</f>
        <v/>
      </c>
      <c r="I471" s="11">
        <f>I470-H471</f>
        <v/>
      </c>
    </row>
    <row r="472">
      <c r="A472" s="10" t="n">
        <v>26</v>
      </c>
      <c r="B472" s="11">
        <f>IF($B$421=1,_xlfn.POISSON.DIST(26,$B$419,FALSE),B471*(B423+26-1)*(1-B422)/26)</f>
        <v/>
      </c>
      <c r="C472" s="11">
        <f>C471+B472</f>
        <v/>
      </c>
      <c r="D472" s="11">
        <f>D471-(1-C471)</f>
        <v/>
      </c>
      <c r="E472" s="11">
        <f>E471-D472</f>
        <v/>
      </c>
      <c r="F472" s="11">
        <f>F471*($B$431+26-1)*(1-$B$430)/26</f>
        <v/>
      </c>
      <c r="G472" s="11">
        <f>G471+F472</f>
        <v/>
      </c>
      <c r="H472" s="11">
        <f>H471-(1-G471)</f>
        <v/>
      </c>
      <c r="I472" s="11">
        <f>I471-H472</f>
        <v/>
      </c>
    </row>
    <row r="473">
      <c r="A473" s="10" t="n">
        <v>27</v>
      </c>
      <c r="B473" s="11">
        <f>IF($B$421=1,_xlfn.POISSON.DIST(27,$B$419,FALSE),B472*(B423+27-1)*(1-B422)/27)</f>
        <v/>
      </c>
      <c r="C473" s="11">
        <f>C472+B473</f>
        <v/>
      </c>
      <c r="D473" s="11">
        <f>D472-(1-C472)</f>
        <v/>
      </c>
      <c r="E473" s="11">
        <f>E472-D473</f>
        <v/>
      </c>
      <c r="F473" s="11">
        <f>F472*($B$431+27-1)*(1-$B$430)/27</f>
        <v/>
      </c>
      <c r="G473" s="11">
        <f>G472+F473</f>
        <v/>
      </c>
      <c r="H473" s="11">
        <f>H472-(1-G472)</f>
        <v/>
      </c>
      <c r="I473" s="11">
        <f>I472-H473</f>
        <v/>
      </c>
    </row>
    <row r="474">
      <c r="A474" s="10" t="n">
        <v>28</v>
      </c>
      <c r="B474" s="11">
        <f>IF($B$421=1,_xlfn.POISSON.DIST(28,$B$419,FALSE),B473*(B423+28-1)*(1-B422)/28)</f>
        <v/>
      </c>
      <c r="C474" s="11">
        <f>C473+B474</f>
        <v/>
      </c>
      <c r="D474" s="11">
        <f>D473-(1-C473)</f>
        <v/>
      </c>
      <c r="E474" s="11">
        <f>E473-D474</f>
        <v/>
      </c>
      <c r="F474" s="11">
        <f>F473*($B$431+28-1)*(1-$B$430)/28</f>
        <v/>
      </c>
      <c r="G474" s="11">
        <f>G473+F474</f>
        <v/>
      </c>
      <c r="H474" s="11">
        <f>H473-(1-G473)</f>
        <v/>
      </c>
      <c r="I474" s="11">
        <f>I473-H474</f>
        <v/>
      </c>
    </row>
    <row r="475">
      <c r="A475" s="10" t="n">
        <v>29</v>
      </c>
      <c r="B475" s="11">
        <f>IF($B$421=1,_xlfn.POISSON.DIST(29,$B$419,FALSE),B474*(B423+29-1)*(1-B422)/29)</f>
        <v/>
      </c>
      <c r="C475" s="11">
        <f>C474+B475</f>
        <v/>
      </c>
      <c r="D475" s="11">
        <f>D474-(1-C474)</f>
        <v/>
      </c>
      <c r="E475" s="11">
        <f>E474-D475</f>
        <v/>
      </c>
      <c r="F475" s="11">
        <f>F474*($B$431+29-1)*(1-$B$430)/29</f>
        <v/>
      </c>
      <c r="G475" s="11">
        <f>G474+F475</f>
        <v/>
      </c>
      <c r="H475" s="11">
        <f>H474-(1-G474)</f>
        <v/>
      </c>
      <c r="I475" s="11">
        <f>I474-H475</f>
        <v/>
      </c>
    </row>
    <row r="476">
      <c r="A476" s="10" t="n">
        <v>30</v>
      </c>
      <c r="B476" s="11">
        <f>IF($B$421=1,_xlfn.POISSON.DIST(30,$B$419,FALSE),B475*(B423+30-1)*(1-B422)/30)</f>
        <v/>
      </c>
      <c r="C476" s="11">
        <f>C475+B476</f>
        <v/>
      </c>
      <c r="D476" s="11">
        <f>D475-(1-C475)</f>
        <v/>
      </c>
      <c r="E476" s="11">
        <f>E475-D476</f>
        <v/>
      </c>
      <c r="F476" s="11">
        <f>F475*($B$431+30-1)*(1-$B$430)/30</f>
        <v/>
      </c>
      <c r="G476" s="11">
        <f>G475+F476</f>
        <v/>
      </c>
      <c r="H476" s="11">
        <f>H475-(1-G475)</f>
        <v/>
      </c>
      <c r="I476" s="11">
        <f>I475-H476</f>
        <v/>
      </c>
    </row>
    <row r="477">
      <c r="A477" s="10" t="n">
        <v>31</v>
      </c>
      <c r="B477" s="11">
        <f>IF($B$421=1,_xlfn.POISSON.DIST(31,$B$419,FALSE),B476*(B423+31-1)*(1-B422)/31)</f>
        <v/>
      </c>
      <c r="C477" s="11">
        <f>C476+B477</f>
        <v/>
      </c>
      <c r="D477" s="11">
        <f>D476-(1-C476)</f>
        <v/>
      </c>
      <c r="E477" s="11">
        <f>E476-D477</f>
        <v/>
      </c>
      <c r="F477" s="11">
        <f>F476*($B$431+31-1)*(1-$B$430)/31</f>
        <v/>
      </c>
      <c r="G477" s="11">
        <f>G476+F477</f>
        <v/>
      </c>
      <c r="H477" s="11">
        <f>H476-(1-G476)</f>
        <v/>
      </c>
      <c r="I477" s="11">
        <f>I476-H477</f>
        <v/>
      </c>
    </row>
    <row r="478">
      <c r="A478" s="10" t="n">
        <v>32</v>
      </c>
      <c r="B478" s="11">
        <f>IF($B$421=1,_xlfn.POISSON.DIST(32,$B$419,FALSE),B477*(B423+32-1)*(1-B422)/32)</f>
        <v/>
      </c>
      <c r="C478" s="11">
        <f>C477+B478</f>
        <v/>
      </c>
      <c r="D478" s="11">
        <f>D477-(1-C477)</f>
        <v/>
      </c>
      <c r="E478" s="11">
        <f>E477-D478</f>
        <v/>
      </c>
      <c r="F478" s="11">
        <f>F477*($B$431+32-1)*(1-$B$430)/32</f>
        <v/>
      </c>
      <c r="G478" s="11">
        <f>G477+F478</f>
        <v/>
      </c>
      <c r="H478" s="11">
        <f>H477-(1-G477)</f>
        <v/>
      </c>
      <c r="I478" s="11">
        <f>I477-H478</f>
        <v/>
      </c>
    </row>
    <row r="479">
      <c r="A479" s="10" t="n">
        <v>33</v>
      </c>
      <c r="B479" s="11">
        <f>IF($B$421=1,_xlfn.POISSON.DIST(33,$B$419,FALSE),B478*(B423+33-1)*(1-B422)/33)</f>
        <v/>
      </c>
      <c r="C479" s="11">
        <f>C478+B479</f>
        <v/>
      </c>
      <c r="D479" s="11">
        <f>D478-(1-C478)</f>
        <v/>
      </c>
      <c r="E479" s="11">
        <f>E478-D479</f>
        <v/>
      </c>
      <c r="F479" s="11">
        <f>F478*($B$431+33-1)*(1-$B$430)/33</f>
        <v/>
      </c>
      <c r="G479" s="11">
        <f>G478+F479</f>
        <v/>
      </c>
      <c r="H479" s="11">
        <f>H478-(1-G478)</f>
        <v/>
      </c>
      <c r="I479" s="11">
        <f>I478-H479</f>
        <v/>
      </c>
    </row>
    <row r="480">
      <c r="A480" s="10" t="n">
        <v>34</v>
      </c>
      <c r="B480" s="11">
        <f>IF($B$421=1,_xlfn.POISSON.DIST(34,$B$419,FALSE),B479*(B423+34-1)*(1-B422)/34)</f>
        <v/>
      </c>
      <c r="C480" s="11">
        <f>C479+B480</f>
        <v/>
      </c>
      <c r="D480" s="11">
        <f>D479-(1-C479)</f>
        <v/>
      </c>
      <c r="E480" s="11">
        <f>E479-D480</f>
        <v/>
      </c>
      <c r="F480" s="11">
        <f>F479*($B$431+34-1)*(1-$B$430)/34</f>
        <v/>
      </c>
      <c r="G480" s="11">
        <f>G479+F480</f>
        <v/>
      </c>
      <c r="H480" s="11">
        <f>H479-(1-G479)</f>
        <v/>
      </c>
      <c r="I480" s="11">
        <f>I479-H480</f>
        <v/>
      </c>
    </row>
    <row r="481">
      <c r="A481" s="10" t="n">
        <v>35</v>
      </c>
      <c r="B481" s="11">
        <f>IF($B$421=1,_xlfn.POISSON.DIST(35,$B$419,FALSE),B480*(B423+35-1)*(1-B422)/35)</f>
        <v/>
      </c>
      <c r="C481" s="11">
        <f>C480+B481</f>
        <v/>
      </c>
      <c r="D481" s="11">
        <f>D480-(1-C480)</f>
        <v/>
      </c>
      <c r="E481" s="11">
        <f>E480-D481</f>
        <v/>
      </c>
      <c r="F481" s="11">
        <f>F480*($B$431+35-1)*(1-$B$430)/35</f>
        <v/>
      </c>
      <c r="G481" s="11">
        <f>G480+F481</f>
        <v/>
      </c>
      <c r="H481" s="11">
        <f>H480-(1-G480)</f>
        <v/>
      </c>
      <c r="I481" s="11">
        <f>I480-H481</f>
        <v/>
      </c>
    </row>
    <row r="482">
      <c r="A482" s="10" t="n">
        <v>36</v>
      </c>
      <c r="B482" s="11">
        <f>IF($B$421=1,_xlfn.POISSON.DIST(36,$B$419,FALSE),B481*(B423+36-1)*(1-B422)/36)</f>
        <v/>
      </c>
      <c r="C482" s="11">
        <f>C481+B482</f>
        <v/>
      </c>
      <c r="D482" s="11">
        <f>D481-(1-C481)</f>
        <v/>
      </c>
      <c r="E482" s="11">
        <f>E481-D482</f>
        <v/>
      </c>
      <c r="F482" s="11">
        <f>F481*($B$431+36-1)*(1-$B$430)/36</f>
        <v/>
      </c>
      <c r="G482" s="11">
        <f>G481+F482</f>
        <v/>
      </c>
      <c r="H482" s="11">
        <f>H481-(1-G481)</f>
        <v/>
      </c>
      <c r="I482" s="11">
        <f>I481-H482</f>
        <v/>
      </c>
    </row>
    <row r="483">
      <c r="A483" s="10" t="n">
        <v>37</v>
      </c>
      <c r="B483" s="11">
        <f>IF($B$421=1,_xlfn.POISSON.DIST(37,$B$419,FALSE),B482*(B423+37-1)*(1-B422)/37)</f>
        <v/>
      </c>
      <c r="C483" s="11">
        <f>C482+B483</f>
        <v/>
      </c>
      <c r="D483" s="11">
        <f>D482-(1-C482)</f>
        <v/>
      </c>
      <c r="E483" s="11">
        <f>E482-D483</f>
        <v/>
      </c>
      <c r="F483" s="11">
        <f>F482*($B$431+37-1)*(1-$B$430)/37</f>
        <v/>
      </c>
      <c r="G483" s="11">
        <f>G482+F483</f>
        <v/>
      </c>
      <c r="H483" s="11">
        <f>H482-(1-G482)</f>
        <v/>
      </c>
      <c r="I483" s="11">
        <f>I482-H483</f>
        <v/>
      </c>
    </row>
    <row r="484">
      <c r="A484" s="10" t="n">
        <v>38</v>
      </c>
      <c r="B484" s="11">
        <f>IF($B$421=1,_xlfn.POISSON.DIST(38,$B$419,FALSE),B483*(B423+38-1)*(1-B422)/38)</f>
        <v/>
      </c>
      <c r="C484" s="11">
        <f>C483+B484</f>
        <v/>
      </c>
      <c r="D484" s="11">
        <f>D483-(1-C483)</f>
        <v/>
      </c>
      <c r="E484" s="11">
        <f>E483-D484</f>
        <v/>
      </c>
      <c r="F484" s="11">
        <f>F483*($B$431+38-1)*(1-$B$430)/38</f>
        <v/>
      </c>
      <c r="G484" s="11">
        <f>G483+F484</f>
        <v/>
      </c>
      <c r="H484" s="11">
        <f>H483-(1-G483)</f>
        <v/>
      </c>
      <c r="I484" s="11">
        <f>I483-H484</f>
        <v/>
      </c>
    </row>
    <row r="485">
      <c r="A485" s="10" t="n">
        <v>39</v>
      </c>
      <c r="B485" s="11">
        <f>IF($B$421=1,_xlfn.POISSON.DIST(39,$B$419,FALSE),B484*(B423+39-1)*(1-B422)/39)</f>
        <v/>
      </c>
      <c r="C485" s="11">
        <f>C484+B485</f>
        <v/>
      </c>
      <c r="D485" s="11">
        <f>D484-(1-C484)</f>
        <v/>
      </c>
      <c r="E485" s="11">
        <f>E484-D485</f>
        <v/>
      </c>
      <c r="F485" s="11">
        <f>F484*($B$431+39-1)*(1-$B$430)/39</f>
        <v/>
      </c>
      <c r="G485" s="11">
        <f>G484+F485</f>
        <v/>
      </c>
      <c r="H485" s="11">
        <f>H484-(1-G484)</f>
        <v/>
      </c>
      <c r="I485" s="11">
        <f>I484-H485</f>
        <v/>
      </c>
    </row>
    <row r="486">
      <c r="A486" s="10" t="n">
        <v>40</v>
      </c>
      <c r="B486" s="11">
        <f>IF($B$421=1,_xlfn.POISSON.DIST(40,$B$419,FALSE),B485*(B423+40-1)*(1-B422)/40)</f>
        <v/>
      </c>
      <c r="C486" s="11">
        <f>C485+B486</f>
        <v/>
      </c>
      <c r="D486" s="11">
        <f>D485-(1-C485)</f>
        <v/>
      </c>
      <c r="E486" s="11">
        <f>E485-D486</f>
        <v/>
      </c>
      <c r="F486" s="11">
        <f>F485*($B$431+40-1)*(1-$B$430)/40</f>
        <v/>
      </c>
      <c r="G486" s="11">
        <f>G485+F486</f>
        <v/>
      </c>
      <c r="H486" s="11">
        <f>H485-(1-G485)</f>
        <v/>
      </c>
      <c r="I486" s="11">
        <f>I485-H486</f>
        <v/>
      </c>
    </row>
    <row r="487">
      <c r="A487" s="10" t="n">
        <v>41</v>
      </c>
      <c r="B487" s="11">
        <f>IF($B$421=1,_xlfn.POISSON.DIST(41,$B$419,FALSE),B486*(B423+41-1)*(1-B422)/41)</f>
        <v/>
      </c>
      <c r="C487" s="11">
        <f>C486+B487</f>
        <v/>
      </c>
      <c r="D487" s="11">
        <f>D486-(1-C486)</f>
        <v/>
      </c>
      <c r="E487" s="11">
        <f>E486-D487</f>
        <v/>
      </c>
      <c r="F487" s="11">
        <f>F486*($B$431+41-1)*(1-$B$430)/41</f>
        <v/>
      </c>
      <c r="G487" s="11">
        <f>G486+F487</f>
        <v/>
      </c>
      <c r="H487" s="11">
        <f>H486-(1-G486)</f>
        <v/>
      </c>
      <c r="I487" s="11">
        <f>I486-H487</f>
        <v/>
      </c>
    </row>
    <row r="488">
      <c r="A488" s="10" t="n">
        <v>42</v>
      </c>
      <c r="B488" s="11">
        <f>IF($B$421=1,_xlfn.POISSON.DIST(42,$B$419,FALSE),B487*(B423+42-1)*(1-B422)/42)</f>
        <v/>
      </c>
      <c r="C488" s="11">
        <f>C487+B488</f>
        <v/>
      </c>
      <c r="D488" s="11">
        <f>D487-(1-C487)</f>
        <v/>
      </c>
      <c r="E488" s="11">
        <f>E487-D488</f>
        <v/>
      </c>
      <c r="F488" s="11">
        <f>F487*($B$431+42-1)*(1-$B$430)/42</f>
        <v/>
      </c>
      <c r="G488" s="11">
        <f>G487+F488</f>
        <v/>
      </c>
      <c r="H488" s="11">
        <f>H487-(1-G487)</f>
        <v/>
      </c>
      <c r="I488" s="11">
        <f>I487-H488</f>
        <v/>
      </c>
    </row>
    <row r="489">
      <c r="A489" s="10" t="n">
        <v>43</v>
      </c>
      <c r="B489" s="11">
        <f>IF($B$421=1,_xlfn.POISSON.DIST(43,$B$419,FALSE),B488*(B423+43-1)*(1-B422)/43)</f>
        <v/>
      </c>
      <c r="C489" s="11">
        <f>C488+B489</f>
        <v/>
      </c>
      <c r="D489" s="11">
        <f>D488-(1-C488)</f>
        <v/>
      </c>
      <c r="E489" s="11">
        <f>E488-D489</f>
        <v/>
      </c>
      <c r="F489" s="11">
        <f>F488*($B$431+43-1)*(1-$B$430)/43</f>
        <v/>
      </c>
      <c r="G489" s="11">
        <f>G488+F489</f>
        <v/>
      </c>
      <c r="H489" s="11">
        <f>H488-(1-G488)</f>
        <v/>
      </c>
      <c r="I489" s="11">
        <f>I488-H489</f>
        <v/>
      </c>
    </row>
    <row r="490">
      <c r="A490" s="10" t="n">
        <v>44</v>
      </c>
      <c r="B490" s="11">
        <f>IF($B$421=1,_xlfn.POISSON.DIST(44,$B$419,FALSE),B489*(B423+44-1)*(1-B422)/44)</f>
        <v/>
      </c>
      <c r="C490" s="11">
        <f>C489+B490</f>
        <v/>
      </c>
      <c r="D490" s="11">
        <f>D489-(1-C489)</f>
        <v/>
      </c>
      <c r="E490" s="11">
        <f>E489-D490</f>
        <v/>
      </c>
      <c r="F490" s="11">
        <f>F489*($B$431+44-1)*(1-$B$430)/44</f>
        <v/>
      </c>
      <c r="G490" s="11">
        <f>G489+F490</f>
        <v/>
      </c>
      <c r="H490" s="11">
        <f>H489-(1-G489)</f>
        <v/>
      </c>
      <c r="I490" s="11">
        <f>I489-H490</f>
        <v/>
      </c>
    </row>
    <row r="491">
      <c r="A491" s="10" t="n">
        <v>45</v>
      </c>
      <c r="B491" s="11">
        <f>IF($B$421=1,_xlfn.POISSON.DIST(45,$B$419,FALSE),B490*(B423+45-1)*(1-B422)/45)</f>
        <v/>
      </c>
      <c r="C491" s="11">
        <f>C490+B491</f>
        <v/>
      </c>
      <c r="D491" s="11">
        <f>D490-(1-C490)</f>
        <v/>
      </c>
      <c r="E491" s="11">
        <f>E490-D491</f>
        <v/>
      </c>
      <c r="F491" s="11">
        <f>F490*($B$431+45-1)*(1-$B$430)/45</f>
        <v/>
      </c>
      <c r="G491" s="11">
        <f>G490+F491</f>
        <v/>
      </c>
      <c r="H491" s="11">
        <f>H490-(1-G490)</f>
        <v/>
      </c>
      <c r="I491" s="11">
        <f>I490-H491</f>
        <v/>
      </c>
    </row>
    <row r="492">
      <c r="A492" s="10" t="n">
        <v>46</v>
      </c>
      <c r="B492" s="11">
        <f>IF($B$421=1,_xlfn.POISSON.DIST(46,$B$419,FALSE),B491*(B423+46-1)*(1-B422)/46)</f>
        <v/>
      </c>
      <c r="C492" s="11">
        <f>C491+B492</f>
        <v/>
      </c>
      <c r="D492" s="11">
        <f>D491-(1-C491)</f>
        <v/>
      </c>
      <c r="E492" s="11">
        <f>E491-D492</f>
        <v/>
      </c>
      <c r="F492" s="11">
        <f>F491*($B$431+46-1)*(1-$B$430)/46</f>
        <v/>
      </c>
      <c r="G492" s="11">
        <f>G491+F492</f>
        <v/>
      </c>
      <c r="H492" s="11">
        <f>H491-(1-G491)</f>
        <v/>
      </c>
      <c r="I492" s="11">
        <f>I491-H492</f>
        <v/>
      </c>
    </row>
    <row r="493">
      <c r="A493" s="10" t="n">
        <v>47</v>
      </c>
      <c r="B493" s="11">
        <f>IF($B$421=1,_xlfn.POISSON.DIST(47,$B$419,FALSE),B492*(B423+47-1)*(1-B422)/47)</f>
        <v/>
      </c>
      <c r="C493" s="11">
        <f>C492+B493</f>
        <v/>
      </c>
      <c r="D493" s="11">
        <f>D492-(1-C492)</f>
        <v/>
      </c>
      <c r="E493" s="11">
        <f>E492-D493</f>
        <v/>
      </c>
      <c r="F493" s="11">
        <f>F492*($B$431+47-1)*(1-$B$430)/47</f>
        <v/>
      </c>
      <c r="G493" s="11">
        <f>G492+F493</f>
        <v/>
      </c>
      <c r="H493" s="11">
        <f>H492-(1-G492)</f>
        <v/>
      </c>
      <c r="I493" s="11">
        <f>I492-H493</f>
        <v/>
      </c>
    </row>
    <row r="494">
      <c r="A494" s="10" t="n">
        <v>48</v>
      </c>
      <c r="B494" s="11">
        <f>IF($B$421=1,_xlfn.POISSON.DIST(48,$B$419,FALSE),B493*(B423+48-1)*(1-B422)/48)</f>
        <v/>
      </c>
      <c r="C494" s="11">
        <f>C493+B494</f>
        <v/>
      </c>
      <c r="D494" s="11">
        <f>D493-(1-C493)</f>
        <v/>
      </c>
      <c r="E494" s="11">
        <f>E493-D494</f>
        <v/>
      </c>
      <c r="F494" s="11">
        <f>F493*($B$431+48-1)*(1-$B$430)/48</f>
        <v/>
      </c>
      <c r="G494" s="11">
        <f>G493+F494</f>
        <v/>
      </c>
      <c r="H494" s="11">
        <f>H493-(1-G493)</f>
        <v/>
      </c>
      <c r="I494" s="11">
        <f>I493-H494</f>
        <v/>
      </c>
    </row>
    <row r="495">
      <c r="A495" s="10" t="n">
        <v>49</v>
      </c>
      <c r="B495" s="11">
        <f>IF($B$421=1,_xlfn.POISSON.DIST(49,$B$419,FALSE),B494*(B423+49-1)*(1-B422)/49)</f>
        <v/>
      </c>
      <c r="C495" s="11">
        <f>C494+B495</f>
        <v/>
      </c>
      <c r="D495" s="11">
        <f>D494-(1-C494)</f>
        <v/>
      </c>
      <c r="E495" s="11">
        <f>E494-D495</f>
        <v/>
      </c>
      <c r="F495" s="11">
        <f>F494*($B$431+49-1)*(1-$B$430)/49</f>
        <v/>
      </c>
      <c r="G495" s="11">
        <f>G494+F495</f>
        <v/>
      </c>
      <c r="H495" s="11">
        <f>H494-(1-G494)</f>
        <v/>
      </c>
      <c r="I495" s="11">
        <f>I494-H495</f>
        <v/>
      </c>
    </row>
    <row r="496">
      <c r="A496" s="10" t="n">
        <v>50</v>
      </c>
      <c r="B496" s="11">
        <f>IF($B$421=1,_xlfn.POISSON.DIST(50,$B$419,FALSE),B495*(B423+50-1)*(1-B422)/50)</f>
        <v/>
      </c>
      <c r="C496" s="11">
        <f>C495+B496</f>
        <v/>
      </c>
      <c r="D496" s="11">
        <f>D495-(1-C495)</f>
        <v/>
      </c>
      <c r="E496" s="11">
        <f>E495-D496</f>
        <v/>
      </c>
      <c r="F496" s="11">
        <f>F495*($B$431+50-1)*(1-$B$430)/50</f>
        <v/>
      </c>
      <c r="G496" s="11">
        <f>G495+F496</f>
        <v/>
      </c>
      <c r="H496" s="11">
        <f>H495-(1-G495)</f>
        <v/>
      </c>
      <c r="I496" s="11">
        <f>I495-H496</f>
        <v/>
      </c>
    </row>
    <row r="497">
      <c r="A497" s="10" t="n">
        <v>51</v>
      </c>
      <c r="B497" s="11">
        <f>IF($B$421=1,_xlfn.POISSON.DIST(51,$B$419,FALSE),B496*(B423+51-1)*(1-B422)/51)</f>
        <v/>
      </c>
      <c r="C497" s="11">
        <f>C496+B497</f>
        <v/>
      </c>
      <c r="D497" s="11">
        <f>D496-(1-C496)</f>
        <v/>
      </c>
      <c r="E497" s="11">
        <f>E496-D497</f>
        <v/>
      </c>
      <c r="F497" s="11">
        <f>F496*($B$431+51-1)*(1-$B$430)/51</f>
        <v/>
      </c>
      <c r="G497" s="11">
        <f>G496+F497</f>
        <v/>
      </c>
      <c r="H497" s="11">
        <f>H496-(1-G496)</f>
        <v/>
      </c>
      <c r="I497" s="11">
        <f>I496-H497</f>
        <v/>
      </c>
    </row>
    <row r="498">
      <c r="A498" s="10" t="n">
        <v>52</v>
      </c>
      <c r="B498" s="11">
        <f>IF($B$421=1,_xlfn.POISSON.DIST(52,$B$419,FALSE),B497*(B423+52-1)*(1-B422)/52)</f>
        <v/>
      </c>
      <c r="C498" s="11">
        <f>C497+B498</f>
        <v/>
      </c>
      <c r="D498" s="11">
        <f>D497-(1-C497)</f>
        <v/>
      </c>
      <c r="E498" s="11">
        <f>E497-D498</f>
        <v/>
      </c>
      <c r="F498" s="11">
        <f>F497*($B$431+52-1)*(1-$B$430)/52</f>
        <v/>
      </c>
      <c r="G498" s="11">
        <f>G497+F498</f>
        <v/>
      </c>
      <c r="H498" s="11">
        <f>H497-(1-G497)</f>
        <v/>
      </c>
      <c r="I498" s="11">
        <f>I497-H498</f>
        <v/>
      </c>
    </row>
    <row r="499">
      <c r="A499" s="10" t="n">
        <v>53</v>
      </c>
      <c r="B499" s="11">
        <f>IF($B$421=1,_xlfn.POISSON.DIST(53,$B$419,FALSE),B498*(B423+53-1)*(1-B422)/53)</f>
        <v/>
      </c>
      <c r="C499" s="11">
        <f>C498+B499</f>
        <v/>
      </c>
      <c r="D499" s="11">
        <f>D498-(1-C498)</f>
        <v/>
      </c>
      <c r="E499" s="11">
        <f>E498-D499</f>
        <v/>
      </c>
      <c r="F499" s="11">
        <f>F498*($B$431+53-1)*(1-$B$430)/53</f>
        <v/>
      </c>
      <c r="G499" s="11">
        <f>G498+F499</f>
        <v/>
      </c>
      <c r="H499" s="11">
        <f>H498-(1-G498)</f>
        <v/>
      </c>
      <c r="I499" s="11">
        <f>I498-H499</f>
        <v/>
      </c>
    </row>
    <row r="500">
      <c r="A500" s="10" t="n">
        <v>54</v>
      </c>
      <c r="B500" s="11">
        <f>IF($B$421=1,_xlfn.POISSON.DIST(54,$B$419,FALSE),B499*(B423+54-1)*(1-B422)/54)</f>
        <v/>
      </c>
      <c r="C500" s="11">
        <f>C499+B500</f>
        <v/>
      </c>
      <c r="D500" s="11">
        <f>D499-(1-C499)</f>
        <v/>
      </c>
      <c r="E500" s="11">
        <f>E499-D500</f>
        <v/>
      </c>
      <c r="F500" s="11">
        <f>F499*($B$431+54-1)*(1-$B$430)/54</f>
        <v/>
      </c>
      <c r="G500" s="11">
        <f>G499+F500</f>
        <v/>
      </c>
      <c r="H500" s="11">
        <f>H499-(1-G499)</f>
        <v/>
      </c>
      <c r="I500" s="11">
        <f>I499-H500</f>
        <v/>
      </c>
    </row>
    <row r="501">
      <c r="A501" s="10" t="n">
        <v>55</v>
      </c>
      <c r="B501" s="11">
        <f>IF($B$421=1,_xlfn.POISSON.DIST(55,$B$419,FALSE),B500*(B423+55-1)*(1-B422)/55)</f>
        <v/>
      </c>
      <c r="C501" s="11">
        <f>C500+B501</f>
        <v/>
      </c>
      <c r="D501" s="11">
        <f>D500-(1-C500)</f>
        <v/>
      </c>
      <c r="E501" s="11">
        <f>E500-D501</f>
        <v/>
      </c>
      <c r="F501" s="11">
        <f>F500*($B$431+55-1)*(1-$B$430)/55</f>
        <v/>
      </c>
      <c r="G501" s="11">
        <f>G500+F501</f>
        <v/>
      </c>
      <c r="H501" s="11">
        <f>H500-(1-G500)</f>
        <v/>
      </c>
      <c r="I501" s="11">
        <f>I500-H501</f>
        <v/>
      </c>
    </row>
    <row r="502">
      <c r="A502" s="10" t="n">
        <v>56</v>
      </c>
      <c r="B502" s="11">
        <f>IF($B$421=1,_xlfn.POISSON.DIST(56,$B$419,FALSE),B501*(B423+56-1)*(1-B422)/56)</f>
        <v/>
      </c>
      <c r="C502" s="11">
        <f>C501+B502</f>
        <v/>
      </c>
      <c r="D502" s="11">
        <f>D501-(1-C501)</f>
        <v/>
      </c>
      <c r="E502" s="11">
        <f>E501-D502</f>
        <v/>
      </c>
      <c r="F502" s="11">
        <f>F501*($B$431+56-1)*(1-$B$430)/56</f>
        <v/>
      </c>
      <c r="G502" s="11">
        <f>G501+F502</f>
        <v/>
      </c>
      <c r="H502" s="11">
        <f>H501-(1-G501)</f>
        <v/>
      </c>
      <c r="I502" s="11">
        <f>I501-H502</f>
        <v/>
      </c>
    </row>
    <row r="503">
      <c r="A503" s="10" t="n">
        <v>57</v>
      </c>
      <c r="B503" s="11">
        <f>IF($B$421=1,_xlfn.POISSON.DIST(57,$B$419,FALSE),B502*(B423+57-1)*(1-B422)/57)</f>
        <v/>
      </c>
      <c r="C503" s="11">
        <f>C502+B503</f>
        <v/>
      </c>
      <c r="D503" s="11">
        <f>D502-(1-C502)</f>
        <v/>
      </c>
      <c r="E503" s="11">
        <f>E502-D503</f>
        <v/>
      </c>
      <c r="F503" s="11">
        <f>F502*($B$431+57-1)*(1-$B$430)/57</f>
        <v/>
      </c>
      <c r="G503" s="11">
        <f>G502+F503</f>
        <v/>
      </c>
      <c r="H503" s="11">
        <f>H502-(1-G502)</f>
        <v/>
      </c>
      <c r="I503" s="11">
        <f>I502-H503</f>
        <v/>
      </c>
    </row>
    <row r="504">
      <c r="A504" s="10" t="n">
        <v>58</v>
      </c>
      <c r="B504" s="11">
        <f>IF($B$421=1,_xlfn.POISSON.DIST(58,$B$419,FALSE),B503*(B423+58-1)*(1-B422)/58)</f>
        <v/>
      </c>
      <c r="C504" s="11">
        <f>C503+B504</f>
        <v/>
      </c>
      <c r="D504" s="11">
        <f>D503-(1-C503)</f>
        <v/>
      </c>
      <c r="E504" s="11">
        <f>E503-D504</f>
        <v/>
      </c>
      <c r="F504" s="11">
        <f>F503*($B$431+58-1)*(1-$B$430)/58</f>
        <v/>
      </c>
      <c r="G504" s="11">
        <f>G503+F504</f>
        <v/>
      </c>
      <c r="H504" s="11">
        <f>H503-(1-G503)</f>
        <v/>
      </c>
      <c r="I504" s="11">
        <f>I503-H504</f>
        <v/>
      </c>
    </row>
    <row r="505">
      <c r="A505" s="10" t="n">
        <v>59</v>
      </c>
      <c r="B505" s="11">
        <f>IF($B$421=1,_xlfn.POISSON.DIST(59,$B$419,FALSE),B504*(B423+59-1)*(1-B422)/59)</f>
        <v/>
      </c>
      <c r="C505" s="11">
        <f>C504+B505</f>
        <v/>
      </c>
      <c r="D505" s="11">
        <f>D504-(1-C504)</f>
        <v/>
      </c>
      <c r="E505" s="11">
        <f>E504-D505</f>
        <v/>
      </c>
      <c r="F505" s="11">
        <f>F504*($B$431+59-1)*(1-$B$430)/59</f>
        <v/>
      </c>
      <c r="G505" s="11">
        <f>G504+F505</f>
        <v/>
      </c>
      <c r="H505" s="11">
        <f>H504-(1-G504)</f>
        <v/>
      </c>
      <c r="I505" s="11">
        <f>I504-H505</f>
        <v/>
      </c>
    </row>
    <row r="506">
      <c r="A506" s="10" t="n">
        <v>60</v>
      </c>
      <c r="B506" s="11">
        <f>IF($B$421=1,_xlfn.POISSON.DIST(60,$B$419,FALSE),B505*(B423+60-1)*(1-B422)/60)</f>
        <v/>
      </c>
      <c r="C506" s="11">
        <f>C505+B506</f>
        <v/>
      </c>
      <c r="D506" s="11">
        <f>D505-(1-C505)</f>
        <v/>
      </c>
      <c r="E506" s="11">
        <f>E505-D506</f>
        <v/>
      </c>
      <c r="F506" s="11">
        <f>F505*($B$431+60-1)*(1-$B$430)/60</f>
        <v/>
      </c>
      <c r="G506" s="11">
        <f>G505+F506</f>
        <v/>
      </c>
      <c r="H506" s="11">
        <f>H505-(1-G505)</f>
        <v/>
      </c>
      <c r="I506" s="11">
        <f>I505-H506</f>
        <v/>
      </c>
    </row>
    <row r="507">
      <c r="A507" s="10" t="n">
        <v>61</v>
      </c>
      <c r="B507" s="11">
        <f>IF($B$421=1,_xlfn.POISSON.DIST(61,$B$419,FALSE),B506*(B423+61-1)*(1-B422)/61)</f>
        <v/>
      </c>
      <c r="C507" s="11">
        <f>C506+B507</f>
        <v/>
      </c>
      <c r="D507" s="11">
        <f>D506-(1-C506)</f>
        <v/>
      </c>
      <c r="E507" s="11">
        <f>E506-D507</f>
        <v/>
      </c>
      <c r="F507" s="11">
        <f>F506*($B$431+61-1)*(1-$B$430)/61</f>
        <v/>
      </c>
      <c r="G507" s="11">
        <f>G506+F507</f>
        <v/>
      </c>
      <c r="H507" s="11">
        <f>H506-(1-G506)</f>
        <v/>
      </c>
      <c r="I507" s="11">
        <f>I506-H507</f>
        <v/>
      </c>
    </row>
    <row r="508">
      <c r="A508" s="10" t="n">
        <v>62</v>
      </c>
      <c r="B508" s="11">
        <f>IF($B$421=1,_xlfn.POISSON.DIST(62,$B$419,FALSE),B507*(B423+62-1)*(1-B422)/62)</f>
        <v/>
      </c>
      <c r="C508" s="11">
        <f>C507+B508</f>
        <v/>
      </c>
      <c r="D508" s="11">
        <f>D507-(1-C507)</f>
        <v/>
      </c>
      <c r="E508" s="11">
        <f>E507-D508</f>
        <v/>
      </c>
      <c r="F508" s="11">
        <f>F507*($B$431+62-1)*(1-$B$430)/62</f>
        <v/>
      </c>
      <c r="G508" s="11">
        <f>G507+F508</f>
        <v/>
      </c>
      <c r="H508" s="11">
        <f>H507-(1-G507)</f>
        <v/>
      </c>
      <c r="I508" s="11">
        <f>I507-H508</f>
        <v/>
      </c>
    </row>
    <row r="509">
      <c r="A509" s="10" t="n">
        <v>63</v>
      </c>
      <c r="B509" s="11">
        <f>IF($B$421=1,_xlfn.POISSON.DIST(63,$B$419,FALSE),B508*(B423+63-1)*(1-B422)/63)</f>
        <v/>
      </c>
      <c r="C509" s="11">
        <f>C508+B509</f>
        <v/>
      </c>
      <c r="D509" s="11">
        <f>D508-(1-C508)</f>
        <v/>
      </c>
      <c r="E509" s="11">
        <f>E508-D509</f>
        <v/>
      </c>
      <c r="F509" s="11">
        <f>F508*($B$431+63-1)*(1-$B$430)/63</f>
        <v/>
      </c>
      <c r="G509" s="11">
        <f>G508+F509</f>
        <v/>
      </c>
      <c r="H509" s="11">
        <f>H508-(1-G508)</f>
        <v/>
      </c>
      <c r="I509" s="11">
        <f>I508-H509</f>
        <v/>
      </c>
    </row>
    <row r="510">
      <c r="A510" s="10" t="n">
        <v>64</v>
      </c>
      <c r="B510" s="11">
        <f>IF($B$421=1,_xlfn.POISSON.DIST(64,$B$419,FALSE),B509*(B423+64-1)*(1-B422)/64)</f>
        <v/>
      </c>
      <c r="C510" s="11">
        <f>C509+B510</f>
        <v/>
      </c>
      <c r="D510" s="11">
        <f>D509-(1-C509)</f>
        <v/>
      </c>
      <c r="E510" s="11">
        <f>E509-D510</f>
        <v/>
      </c>
      <c r="F510" s="11">
        <f>F509*($B$431+64-1)*(1-$B$430)/64</f>
        <v/>
      </c>
      <c r="G510" s="11">
        <f>G509+F510</f>
        <v/>
      </c>
      <c r="H510" s="11">
        <f>H509-(1-G509)</f>
        <v/>
      </c>
      <c r="I510" s="11">
        <f>I509-H510</f>
        <v/>
      </c>
    </row>
    <row r="511">
      <c r="A511" s="10" t="n">
        <v>65</v>
      </c>
      <c r="B511" s="11">
        <f>IF($B$421=1,_xlfn.POISSON.DIST(65,$B$419,FALSE),B510*(B423+65-1)*(1-B422)/65)</f>
        <v/>
      </c>
      <c r="C511" s="11">
        <f>C510+B511</f>
        <v/>
      </c>
      <c r="D511" s="11">
        <f>D510-(1-C510)</f>
        <v/>
      </c>
      <c r="E511" s="11">
        <f>E510-D511</f>
        <v/>
      </c>
      <c r="F511" s="11">
        <f>F510*($B$431+65-1)*(1-$B$430)/65</f>
        <v/>
      </c>
      <c r="G511" s="11">
        <f>G510+F511</f>
        <v/>
      </c>
      <c r="H511" s="11">
        <f>H510-(1-G510)</f>
        <v/>
      </c>
      <c r="I511" s="11">
        <f>I510-H511</f>
        <v/>
      </c>
    </row>
    <row r="512">
      <c r="A512" s="10" t="n">
        <v>66</v>
      </c>
      <c r="B512" s="11">
        <f>IF($B$421=1,_xlfn.POISSON.DIST(66,$B$419,FALSE),B511*(B423+66-1)*(1-B422)/66)</f>
        <v/>
      </c>
      <c r="C512" s="11">
        <f>C511+B512</f>
        <v/>
      </c>
      <c r="D512" s="11">
        <f>D511-(1-C511)</f>
        <v/>
      </c>
      <c r="E512" s="11">
        <f>E511-D512</f>
        <v/>
      </c>
      <c r="F512" s="11">
        <f>F511*($B$431+66-1)*(1-$B$430)/66</f>
        <v/>
      </c>
      <c r="G512" s="11">
        <f>G511+F512</f>
        <v/>
      </c>
      <c r="H512" s="11">
        <f>H511-(1-G511)</f>
        <v/>
      </c>
      <c r="I512" s="11">
        <f>I511-H512</f>
        <v/>
      </c>
    </row>
    <row r="513">
      <c r="A513" s="10" t="n">
        <v>67</v>
      </c>
      <c r="B513" s="11">
        <f>IF($B$421=1,_xlfn.POISSON.DIST(67,$B$419,FALSE),B512*(B423+67-1)*(1-B422)/67)</f>
        <v/>
      </c>
      <c r="C513" s="11">
        <f>C512+B513</f>
        <v/>
      </c>
      <c r="D513" s="11">
        <f>D512-(1-C512)</f>
        <v/>
      </c>
      <c r="E513" s="11">
        <f>E512-D513</f>
        <v/>
      </c>
      <c r="F513" s="11">
        <f>F512*($B$431+67-1)*(1-$B$430)/67</f>
        <v/>
      </c>
      <c r="G513" s="11">
        <f>G512+F513</f>
        <v/>
      </c>
      <c r="H513" s="11">
        <f>H512-(1-G512)</f>
        <v/>
      </c>
      <c r="I513" s="11">
        <f>I512-H513</f>
        <v/>
      </c>
    </row>
    <row r="514">
      <c r="A514" s="10" t="n">
        <v>68</v>
      </c>
      <c r="B514" s="11">
        <f>IF($B$421=1,_xlfn.POISSON.DIST(68,$B$419,FALSE),B513*(B423+68-1)*(1-B422)/68)</f>
        <v/>
      </c>
      <c r="C514" s="11">
        <f>C513+B514</f>
        <v/>
      </c>
      <c r="D514" s="11">
        <f>D513-(1-C513)</f>
        <v/>
      </c>
      <c r="E514" s="11">
        <f>E513-D514</f>
        <v/>
      </c>
      <c r="F514" s="11">
        <f>F513*($B$431+68-1)*(1-$B$430)/68</f>
        <v/>
      </c>
      <c r="G514" s="11">
        <f>G513+F514</f>
        <v/>
      </c>
      <c r="H514" s="11">
        <f>H513-(1-G513)</f>
        <v/>
      </c>
      <c r="I514" s="11">
        <f>I513-H514</f>
        <v/>
      </c>
    </row>
    <row r="515">
      <c r="A515" s="10" t="n">
        <v>69</v>
      </c>
      <c r="B515" s="11">
        <f>IF($B$421=1,_xlfn.POISSON.DIST(69,$B$419,FALSE),B514*(B423+69-1)*(1-B422)/69)</f>
        <v/>
      </c>
      <c r="C515" s="11">
        <f>C514+B515</f>
        <v/>
      </c>
      <c r="D515" s="11">
        <f>D514-(1-C514)</f>
        <v/>
      </c>
      <c r="E515" s="11">
        <f>E514-D515</f>
        <v/>
      </c>
      <c r="F515" s="11">
        <f>F514*($B$431+69-1)*(1-$B$430)/69</f>
        <v/>
      </c>
      <c r="G515" s="11">
        <f>G514+F515</f>
        <v/>
      </c>
      <c r="H515" s="11">
        <f>H514-(1-G514)</f>
        <v/>
      </c>
      <c r="I515" s="11">
        <f>I514-H515</f>
        <v/>
      </c>
    </row>
    <row r="516">
      <c r="A516" s="10" t="n">
        <v>70</v>
      </c>
      <c r="B516" s="11">
        <f>IF($B$421=1,_xlfn.POISSON.DIST(70,$B$419,FALSE),B515*(B423+70-1)*(1-B422)/70)</f>
        <v/>
      </c>
      <c r="C516" s="11">
        <f>C515+B516</f>
        <v/>
      </c>
      <c r="D516" s="11">
        <f>D515-(1-C515)</f>
        <v/>
      </c>
      <c r="E516" s="11">
        <f>E515-D516</f>
        <v/>
      </c>
      <c r="F516" s="11">
        <f>F515*($B$431+70-1)*(1-$B$430)/70</f>
        <v/>
      </c>
      <c r="G516" s="11">
        <f>G515+F516</f>
        <v/>
      </c>
      <c r="H516" s="11">
        <f>H515-(1-G515)</f>
        <v/>
      </c>
      <c r="I516" s="11">
        <f>I515-H516</f>
        <v/>
      </c>
    </row>
    <row r="517">
      <c r="A517" s="10" t="n">
        <v>71</v>
      </c>
      <c r="B517" s="11">
        <f>IF($B$421=1,_xlfn.POISSON.DIST(71,$B$419,FALSE),B516*(B423+71-1)*(1-B422)/71)</f>
        <v/>
      </c>
      <c r="C517" s="11">
        <f>C516+B517</f>
        <v/>
      </c>
      <c r="D517" s="11">
        <f>D516-(1-C516)</f>
        <v/>
      </c>
      <c r="E517" s="11">
        <f>E516-D517</f>
        <v/>
      </c>
      <c r="F517" s="11">
        <f>F516*($B$431+71-1)*(1-$B$430)/71</f>
        <v/>
      </c>
      <c r="G517" s="11">
        <f>G516+F517</f>
        <v/>
      </c>
      <c r="H517" s="11">
        <f>H516-(1-G516)</f>
        <v/>
      </c>
      <c r="I517" s="11">
        <f>I516-H517</f>
        <v/>
      </c>
    </row>
    <row r="518">
      <c r="A518" s="10" t="n">
        <v>72</v>
      </c>
      <c r="B518" s="11">
        <f>IF($B$421=1,_xlfn.POISSON.DIST(72,$B$419,FALSE),B517*(B423+72-1)*(1-B422)/72)</f>
        <v/>
      </c>
      <c r="C518" s="11">
        <f>C517+B518</f>
        <v/>
      </c>
      <c r="D518" s="11">
        <f>D517-(1-C517)</f>
        <v/>
      </c>
      <c r="E518" s="11">
        <f>E517-D518</f>
        <v/>
      </c>
      <c r="F518" s="11">
        <f>F517*($B$431+72-1)*(1-$B$430)/72</f>
        <v/>
      </c>
      <c r="G518" s="11">
        <f>G517+F518</f>
        <v/>
      </c>
      <c r="H518" s="11">
        <f>H517-(1-G517)</f>
        <v/>
      </c>
      <c r="I518" s="11">
        <f>I517-H518</f>
        <v/>
      </c>
    </row>
    <row r="519">
      <c r="A519" s="10" t="n">
        <v>73</v>
      </c>
      <c r="B519" s="11">
        <f>IF($B$421=1,_xlfn.POISSON.DIST(73,$B$419,FALSE),B518*(B423+73-1)*(1-B422)/73)</f>
        <v/>
      </c>
      <c r="C519" s="11">
        <f>C518+B519</f>
        <v/>
      </c>
      <c r="D519" s="11">
        <f>D518-(1-C518)</f>
        <v/>
      </c>
      <c r="E519" s="11">
        <f>E518-D519</f>
        <v/>
      </c>
      <c r="F519" s="11">
        <f>F518*($B$431+73-1)*(1-$B$430)/73</f>
        <v/>
      </c>
      <c r="G519" s="11">
        <f>G518+F519</f>
        <v/>
      </c>
      <c r="H519" s="11">
        <f>H518-(1-G518)</f>
        <v/>
      </c>
      <c r="I519" s="11">
        <f>I518-H519</f>
        <v/>
      </c>
    </row>
    <row r="520">
      <c r="A520" s="10" t="n">
        <v>74</v>
      </c>
      <c r="B520" s="11">
        <f>IF($B$421=1,_xlfn.POISSON.DIST(74,$B$419,FALSE),B519*(B423+74-1)*(1-B422)/74)</f>
        <v/>
      </c>
      <c r="C520" s="11">
        <f>C519+B520</f>
        <v/>
      </c>
      <c r="D520" s="11">
        <f>D519-(1-C519)</f>
        <v/>
      </c>
      <c r="E520" s="11">
        <f>E519-D520</f>
        <v/>
      </c>
      <c r="F520" s="11">
        <f>F519*($B$431+74-1)*(1-$B$430)/74</f>
        <v/>
      </c>
      <c r="G520" s="11">
        <f>G519+F520</f>
        <v/>
      </c>
      <c r="H520" s="11">
        <f>H519-(1-G519)</f>
        <v/>
      </c>
      <c r="I520" s="11">
        <f>I519-H520</f>
        <v/>
      </c>
    </row>
    <row r="521">
      <c r="A521" s="10" t="n">
        <v>75</v>
      </c>
      <c r="B521" s="11">
        <f>IF($B$421=1,_xlfn.POISSON.DIST(75,$B$419,FALSE),B520*(B423+75-1)*(1-B422)/75)</f>
        <v/>
      </c>
      <c r="C521" s="11">
        <f>C520+B521</f>
        <v/>
      </c>
      <c r="D521" s="11">
        <f>D520-(1-C520)</f>
        <v/>
      </c>
      <c r="E521" s="11">
        <f>E520-D521</f>
        <v/>
      </c>
      <c r="F521" s="11">
        <f>F520*($B$431+75-1)*(1-$B$430)/75</f>
        <v/>
      </c>
      <c r="G521" s="11">
        <f>G520+F521</f>
        <v/>
      </c>
      <c r="H521" s="11">
        <f>H520-(1-G520)</f>
        <v/>
      </c>
      <c r="I521" s="11">
        <f>I520-H521</f>
        <v/>
      </c>
    </row>
    <row r="522">
      <c r="A522" s="10" t="n">
        <v>76</v>
      </c>
      <c r="B522" s="11">
        <f>IF($B$421=1,_xlfn.POISSON.DIST(76,$B$419,FALSE),B521*(B423+76-1)*(1-B422)/76)</f>
        <v/>
      </c>
      <c r="C522" s="11">
        <f>C521+B522</f>
        <v/>
      </c>
      <c r="D522" s="11">
        <f>D521-(1-C521)</f>
        <v/>
      </c>
      <c r="E522" s="11">
        <f>E521-D522</f>
        <v/>
      </c>
      <c r="F522" s="11">
        <f>F521*($B$431+76-1)*(1-$B$430)/76</f>
        <v/>
      </c>
      <c r="G522" s="11">
        <f>G521+F522</f>
        <v/>
      </c>
      <c r="H522" s="11">
        <f>H521-(1-G521)</f>
        <v/>
      </c>
      <c r="I522" s="11">
        <f>I521-H522</f>
        <v/>
      </c>
    </row>
    <row r="523">
      <c r="A523" s="10" t="n">
        <v>77</v>
      </c>
      <c r="B523" s="11">
        <f>IF($B$421=1,_xlfn.POISSON.DIST(77,$B$419,FALSE),B522*(B423+77-1)*(1-B422)/77)</f>
        <v/>
      </c>
      <c r="C523" s="11">
        <f>C522+B523</f>
        <v/>
      </c>
      <c r="D523" s="11">
        <f>D522-(1-C522)</f>
        <v/>
      </c>
      <c r="E523" s="11">
        <f>E522-D523</f>
        <v/>
      </c>
      <c r="F523" s="11">
        <f>F522*($B$431+77-1)*(1-$B$430)/77</f>
        <v/>
      </c>
      <c r="G523" s="11">
        <f>G522+F523</f>
        <v/>
      </c>
      <c r="H523" s="11">
        <f>H522-(1-G522)</f>
        <v/>
      </c>
      <c r="I523" s="11">
        <f>I522-H523</f>
        <v/>
      </c>
    </row>
    <row r="524">
      <c r="A524" s="10" t="n">
        <v>78</v>
      </c>
      <c r="B524" s="11">
        <f>IF($B$421=1,_xlfn.POISSON.DIST(78,$B$419,FALSE),B523*(B423+78-1)*(1-B422)/78)</f>
        <v/>
      </c>
      <c r="C524" s="11">
        <f>C523+B524</f>
        <v/>
      </c>
      <c r="D524" s="11">
        <f>D523-(1-C523)</f>
        <v/>
      </c>
      <c r="E524" s="11">
        <f>E523-D524</f>
        <v/>
      </c>
      <c r="F524" s="11">
        <f>F523*($B$431+78-1)*(1-$B$430)/78</f>
        <v/>
      </c>
      <c r="G524" s="11">
        <f>G523+F524</f>
        <v/>
      </c>
      <c r="H524" s="11">
        <f>H523-(1-G523)</f>
        <v/>
      </c>
      <c r="I524" s="11">
        <f>I523-H524</f>
        <v/>
      </c>
    </row>
    <row r="525">
      <c r="A525" s="10" t="n">
        <v>79</v>
      </c>
      <c r="B525" s="11">
        <f>IF($B$421=1,_xlfn.POISSON.DIST(79,$B$419,FALSE),B524*(B423+79-1)*(1-B422)/79)</f>
        <v/>
      </c>
      <c r="C525" s="11">
        <f>C524+B525</f>
        <v/>
      </c>
      <c r="D525" s="11">
        <f>D524-(1-C524)</f>
        <v/>
      </c>
      <c r="E525" s="11">
        <f>E524-D525</f>
        <v/>
      </c>
      <c r="F525" s="11">
        <f>F524*($B$431+79-1)*(1-$B$430)/79</f>
        <v/>
      </c>
      <c r="G525" s="11">
        <f>G524+F525</f>
        <v/>
      </c>
      <c r="H525" s="11">
        <f>H524-(1-G524)</f>
        <v/>
      </c>
      <c r="I525" s="11">
        <f>I524-H525</f>
        <v/>
      </c>
    </row>
    <row r="526">
      <c r="A526" s="10" t="n">
        <v>80</v>
      </c>
      <c r="B526" s="11">
        <f>IF($B$421=1,_xlfn.POISSON.DIST(80,$B$419,FALSE),B525*(B423+80-1)*(1-B422)/80)</f>
        <v/>
      </c>
      <c r="C526" s="11">
        <f>C525+B526</f>
        <v/>
      </c>
      <c r="D526" s="11">
        <f>D525-(1-C525)</f>
        <v/>
      </c>
      <c r="E526" s="11">
        <f>E525-D526</f>
        <v/>
      </c>
      <c r="F526" s="11">
        <f>F525*($B$431+80-1)*(1-$B$430)/80</f>
        <v/>
      </c>
      <c r="G526" s="11">
        <f>G525+F526</f>
        <v/>
      </c>
      <c r="H526" s="11">
        <f>H525-(1-G525)</f>
        <v/>
      </c>
      <c r="I526" s="11">
        <f>I525-H526</f>
        <v/>
      </c>
    </row>
    <row r="527">
      <c r="A527" s="10" t="n">
        <v>81</v>
      </c>
      <c r="B527" s="11">
        <f>IF($B$421=1,_xlfn.POISSON.DIST(81,$B$419,FALSE),B526*(B423+81-1)*(1-B422)/81)</f>
        <v/>
      </c>
      <c r="C527" s="11">
        <f>C526+B527</f>
        <v/>
      </c>
      <c r="D527" s="11">
        <f>D526-(1-C526)</f>
        <v/>
      </c>
      <c r="E527" s="11">
        <f>E526-D527</f>
        <v/>
      </c>
      <c r="F527" s="11">
        <f>F526*($B$431+81-1)*(1-$B$430)/81</f>
        <v/>
      </c>
      <c r="G527" s="11">
        <f>G526+F527</f>
        <v/>
      </c>
      <c r="H527" s="11">
        <f>H526-(1-G526)</f>
        <v/>
      </c>
      <c r="I527" s="11">
        <f>I526-H527</f>
        <v/>
      </c>
    </row>
    <row r="528">
      <c r="A528" s="10" t="n">
        <v>82</v>
      </c>
      <c r="B528" s="11">
        <f>IF($B$421=1,_xlfn.POISSON.DIST(82,$B$419,FALSE),B527*(B423+82-1)*(1-B422)/82)</f>
        <v/>
      </c>
      <c r="C528" s="11">
        <f>C527+B528</f>
        <v/>
      </c>
      <c r="D528" s="11">
        <f>D527-(1-C527)</f>
        <v/>
      </c>
      <c r="E528" s="11">
        <f>E527-D528</f>
        <v/>
      </c>
      <c r="F528" s="11">
        <f>F527*($B$431+82-1)*(1-$B$430)/82</f>
        <v/>
      </c>
      <c r="G528" s="11">
        <f>G527+F528</f>
        <v/>
      </c>
      <c r="H528" s="11">
        <f>H527-(1-G527)</f>
        <v/>
      </c>
      <c r="I528" s="11">
        <f>I527-H528</f>
        <v/>
      </c>
    </row>
    <row r="529">
      <c r="A529" s="10" t="n">
        <v>83</v>
      </c>
      <c r="B529" s="11">
        <f>IF($B$421=1,_xlfn.POISSON.DIST(83,$B$419,FALSE),B528*(B423+83-1)*(1-B422)/83)</f>
        <v/>
      </c>
      <c r="C529" s="11">
        <f>C528+B529</f>
        <v/>
      </c>
      <c r="D529" s="11">
        <f>D528-(1-C528)</f>
        <v/>
      </c>
      <c r="E529" s="11">
        <f>E528-D529</f>
        <v/>
      </c>
      <c r="F529" s="11">
        <f>F528*($B$431+83-1)*(1-$B$430)/83</f>
        <v/>
      </c>
      <c r="G529" s="11">
        <f>G528+F529</f>
        <v/>
      </c>
      <c r="H529" s="11">
        <f>H528-(1-G528)</f>
        <v/>
      </c>
      <c r="I529" s="11">
        <f>I528-H529</f>
        <v/>
      </c>
    </row>
    <row r="530">
      <c r="A530" s="10" t="n">
        <v>84</v>
      </c>
      <c r="B530" s="11">
        <f>IF($B$421=1,_xlfn.POISSON.DIST(84,$B$419,FALSE),B529*(B423+84-1)*(1-B422)/84)</f>
        <v/>
      </c>
      <c r="C530" s="11">
        <f>C529+B530</f>
        <v/>
      </c>
      <c r="D530" s="11">
        <f>D529-(1-C529)</f>
        <v/>
      </c>
      <c r="E530" s="11">
        <f>E529-D530</f>
        <v/>
      </c>
      <c r="F530" s="11">
        <f>F529*($B$431+84-1)*(1-$B$430)/84</f>
        <v/>
      </c>
      <c r="G530" s="11">
        <f>G529+F530</f>
        <v/>
      </c>
      <c r="H530" s="11">
        <f>H529-(1-G529)</f>
        <v/>
      </c>
      <c r="I530" s="11">
        <f>I529-H530</f>
        <v/>
      </c>
    </row>
    <row r="531">
      <c r="A531" s="10" t="n">
        <v>85</v>
      </c>
      <c r="B531" s="11">
        <f>IF($B$421=1,_xlfn.POISSON.DIST(85,$B$419,FALSE),B530*(B423+85-1)*(1-B422)/85)</f>
        <v/>
      </c>
      <c r="C531" s="11">
        <f>C530+B531</f>
        <v/>
      </c>
      <c r="D531" s="11">
        <f>D530-(1-C530)</f>
        <v/>
      </c>
      <c r="E531" s="11">
        <f>E530-D531</f>
        <v/>
      </c>
      <c r="F531" s="11">
        <f>F530*($B$431+85-1)*(1-$B$430)/85</f>
        <v/>
      </c>
      <c r="G531" s="11">
        <f>G530+F531</f>
        <v/>
      </c>
      <c r="H531" s="11">
        <f>H530-(1-G530)</f>
        <v/>
      </c>
      <c r="I531" s="11">
        <f>I530-H531</f>
        <v/>
      </c>
    </row>
    <row r="532">
      <c r="A532" s="10" t="n">
        <v>86</v>
      </c>
      <c r="B532" s="11">
        <f>IF($B$421=1,_xlfn.POISSON.DIST(86,$B$419,FALSE),B531*(B423+86-1)*(1-B422)/86)</f>
        <v/>
      </c>
      <c r="C532" s="11">
        <f>C531+B532</f>
        <v/>
      </c>
      <c r="D532" s="11">
        <f>D531-(1-C531)</f>
        <v/>
      </c>
      <c r="E532" s="11">
        <f>E531-D532</f>
        <v/>
      </c>
      <c r="F532" s="11">
        <f>F531*($B$431+86-1)*(1-$B$430)/86</f>
        <v/>
      </c>
      <c r="G532" s="11">
        <f>G531+F532</f>
        <v/>
      </c>
      <c r="H532" s="11">
        <f>H531-(1-G531)</f>
        <v/>
      </c>
      <c r="I532" s="11">
        <f>I531-H532</f>
        <v/>
      </c>
    </row>
    <row r="533">
      <c r="A533" s="10" t="n">
        <v>87</v>
      </c>
      <c r="B533" s="11">
        <f>IF($B$421=1,_xlfn.POISSON.DIST(87,$B$419,FALSE),B532*(B423+87-1)*(1-B422)/87)</f>
        <v/>
      </c>
      <c r="C533" s="11">
        <f>C532+B533</f>
        <v/>
      </c>
      <c r="D533" s="11">
        <f>D532-(1-C532)</f>
        <v/>
      </c>
      <c r="E533" s="11">
        <f>E532-D533</f>
        <v/>
      </c>
      <c r="F533" s="11">
        <f>F532*($B$431+87-1)*(1-$B$430)/87</f>
        <v/>
      </c>
      <c r="G533" s="11">
        <f>G532+F533</f>
        <v/>
      </c>
      <c r="H533" s="11">
        <f>H532-(1-G532)</f>
        <v/>
      </c>
      <c r="I533" s="11">
        <f>I532-H533</f>
        <v/>
      </c>
    </row>
    <row r="534">
      <c r="A534" s="10" t="n">
        <v>88</v>
      </c>
      <c r="B534" s="11">
        <f>IF($B$421=1,_xlfn.POISSON.DIST(88,$B$419,FALSE),B533*(B423+88-1)*(1-B422)/88)</f>
        <v/>
      </c>
      <c r="C534" s="11">
        <f>C533+B534</f>
        <v/>
      </c>
      <c r="D534" s="11">
        <f>D533-(1-C533)</f>
        <v/>
      </c>
      <c r="E534" s="11">
        <f>E533-D534</f>
        <v/>
      </c>
      <c r="F534" s="11">
        <f>F533*($B$431+88-1)*(1-$B$430)/88</f>
        <v/>
      </c>
      <c r="G534" s="11">
        <f>G533+F534</f>
        <v/>
      </c>
      <c r="H534" s="11">
        <f>H533-(1-G533)</f>
        <v/>
      </c>
      <c r="I534" s="11">
        <f>I533-H534</f>
        <v/>
      </c>
    </row>
    <row r="535">
      <c r="A535" s="10" t="n">
        <v>89</v>
      </c>
      <c r="B535" s="11">
        <f>IF($B$421=1,_xlfn.POISSON.DIST(89,$B$419,FALSE),B534*(B423+89-1)*(1-B422)/89)</f>
        <v/>
      </c>
      <c r="C535" s="11">
        <f>C534+B535</f>
        <v/>
      </c>
      <c r="D535" s="11">
        <f>D534-(1-C534)</f>
        <v/>
      </c>
      <c r="E535" s="11">
        <f>E534-D535</f>
        <v/>
      </c>
      <c r="F535" s="11">
        <f>F534*($B$431+89-1)*(1-$B$430)/89</f>
        <v/>
      </c>
      <c r="G535" s="11">
        <f>G534+F535</f>
        <v/>
      </c>
      <c r="H535" s="11">
        <f>H534-(1-G534)</f>
        <v/>
      </c>
      <c r="I535" s="11">
        <f>I534-H535</f>
        <v/>
      </c>
    </row>
    <row r="536">
      <c r="A536" s="10" t="n">
        <v>90</v>
      </c>
      <c r="B536" s="11">
        <f>IF($B$421=1,_xlfn.POISSON.DIST(90,$B$419,FALSE),B535*(B423+90-1)*(1-B422)/90)</f>
        <v/>
      </c>
      <c r="C536" s="11">
        <f>C535+B536</f>
        <v/>
      </c>
      <c r="D536" s="11">
        <f>D535-(1-C535)</f>
        <v/>
      </c>
      <c r="E536" s="11">
        <f>E535-D536</f>
        <v/>
      </c>
      <c r="F536" s="11">
        <f>F535*($B$431+90-1)*(1-$B$430)/90</f>
        <v/>
      </c>
      <c r="G536" s="11">
        <f>G535+F536</f>
        <v/>
      </c>
      <c r="H536" s="11">
        <f>H535-(1-G535)</f>
        <v/>
      </c>
      <c r="I536" s="11">
        <f>I535-H536</f>
        <v/>
      </c>
    </row>
    <row r="537">
      <c r="A537" s="10" t="n">
        <v>91</v>
      </c>
      <c r="F537" s="11">
        <f>F536*($B$431+91-1)*(1-$B$430)/91</f>
        <v/>
      </c>
      <c r="G537" s="11">
        <f>G536+F537</f>
        <v/>
      </c>
      <c r="H537" s="11">
        <f>H536-(1-G536)</f>
        <v/>
      </c>
      <c r="I537" s="11">
        <f>I536-H537</f>
        <v/>
      </c>
    </row>
    <row r="538">
      <c r="A538" s="10" t="n">
        <v>92</v>
      </c>
      <c r="F538" s="11">
        <f>F537*($B$431+92-1)*(1-$B$430)/92</f>
        <v/>
      </c>
      <c r="G538" s="11">
        <f>G537+F538</f>
        <v/>
      </c>
      <c r="H538" s="11">
        <f>H537-(1-G537)</f>
        <v/>
      </c>
      <c r="I538" s="11">
        <f>I537-H538</f>
        <v/>
      </c>
    </row>
    <row r="539">
      <c r="A539" s="10" t="n">
        <v>93</v>
      </c>
      <c r="F539" s="11">
        <f>F538*($B$431+93-1)*(1-$B$430)/93</f>
        <v/>
      </c>
      <c r="G539" s="11">
        <f>G538+F539</f>
        <v/>
      </c>
      <c r="H539" s="11">
        <f>H538-(1-G538)</f>
        <v/>
      </c>
      <c r="I539" s="11">
        <f>I538-H539</f>
        <v/>
      </c>
    </row>
    <row r="540">
      <c r="A540" s="10" t="n">
        <v>94</v>
      </c>
      <c r="F540" s="11">
        <f>F539*($B$431+94-1)*(1-$B$430)/94</f>
        <v/>
      </c>
      <c r="G540" s="11">
        <f>G539+F540</f>
        <v/>
      </c>
      <c r="H540" s="11">
        <f>H539-(1-G539)</f>
        <v/>
      </c>
      <c r="I540" s="11">
        <f>I539-H540</f>
        <v/>
      </c>
    </row>
    <row r="541">
      <c r="A541" s="10" t="n">
        <v>95</v>
      </c>
      <c r="F541" s="11">
        <f>F540*($B$431+95-1)*(1-$B$430)/95</f>
        <v/>
      </c>
      <c r="G541" s="11">
        <f>G540+F541</f>
        <v/>
      </c>
      <c r="H541" s="11">
        <f>H540-(1-G540)</f>
        <v/>
      </c>
      <c r="I541" s="11">
        <f>I540-H541</f>
        <v/>
      </c>
    </row>
    <row r="542">
      <c r="A542" s="10" t="n">
        <v>96</v>
      </c>
      <c r="F542" s="11">
        <f>F541*($B$431+96-1)*(1-$B$430)/96</f>
        <v/>
      </c>
      <c r="G542" s="11">
        <f>G541+F542</f>
        <v/>
      </c>
      <c r="H542" s="11">
        <f>H541-(1-G541)</f>
        <v/>
      </c>
      <c r="I542" s="11">
        <f>I541-H542</f>
        <v/>
      </c>
    </row>
    <row r="543">
      <c r="A543" s="10" t="n">
        <v>97</v>
      </c>
      <c r="F543" s="11">
        <f>F542*($B$431+97-1)*(1-$B$430)/97</f>
        <v/>
      </c>
      <c r="G543" s="11">
        <f>G542+F543</f>
        <v/>
      </c>
      <c r="H543" s="11">
        <f>H542-(1-G542)</f>
        <v/>
      </c>
      <c r="I543" s="11">
        <f>I542-H543</f>
        <v/>
      </c>
    </row>
    <row r="544">
      <c r="A544" s="10" t="n">
        <v>98</v>
      </c>
      <c r="F544" s="11">
        <f>F543*($B$431+98-1)*(1-$B$430)/98</f>
        <v/>
      </c>
      <c r="G544" s="11">
        <f>G543+F544</f>
        <v/>
      </c>
      <c r="H544" s="11">
        <f>H543-(1-G543)</f>
        <v/>
      </c>
      <c r="I544" s="11">
        <f>I543-H544</f>
        <v/>
      </c>
    </row>
    <row r="545">
      <c r="A545" s="10" t="n">
        <v>99</v>
      </c>
      <c r="F545" s="11">
        <f>F544*($B$431+99-1)*(1-$B$430)/99</f>
        <v/>
      </c>
      <c r="G545" s="11">
        <f>G544+F545</f>
        <v/>
      </c>
      <c r="H545" s="11">
        <f>H544-(1-G544)</f>
        <v/>
      </c>
      <c r="I545" s="11">
        <f>I544-H545</f>
        <v/>
      </c>
    </row>
    <row r="546">
      <c r="A546" s="10" t="n">
        <v>100</v>
      </c>
      <c r="F546" s="11">
        <f>F545*($B$431+100-1)*(1-$B$430)/100</f>
        <v/>
      </c>
      <c r="G546" s="11">
        <f>G545+F546</f>
        <v/>
      </c>
      <c r="H546" s="11">
        <f>H545-(1-G545)</f>
        <v/>
      </c>
      <c r="I546" s="11">
        <f>I545-H546</f>
        <v/>
      </c>
    </row>
    <row r="547">
      <c r="A547" s="10" t="n">
        <v>101</v>
      </c>
      <c r="F547" s="11">
        <f>F546*($B$431+101-1)*(1-$B$430)/101</f>
        <v/>
      </c>
      <c r="G547" s="11">
        <f>G546+F547</f>
        <v/>
      </c>
      <c r="H547" s="11">
        <f>H546-(1-G546)</f>
        <v/>
      </c>
      <c r="I547" s="11">
        <f>I546-H547</f>
        <v/>
      </c>
    </row>
    <row r="548">
      <c r="A548" s="10" t="n">
        <v>102</v>
      </c>
      <c r="F548" s="11">
        <f>F547*($B$431+102-1)*(1-$B$430)/102</f>
        <v/>
      </c>
      <c r="G548" s="11">
        <f>G547+F548</f>
        <v/>
      </c>
      <c r="H548" s="11">
        <f>H547-(1-G547)</f>
        <v/>
      </c>
      <c r="I548" s="11">
        <f>I547-H548</f>
        <v/>
      </c>
    </row>
    <row r="549">
      <c r="A549" s="10" t="n">
        <v>103</v>
      </c>
      <c r="F549" s="11">
        <f>F548*($B$431+103-1)*(1-$B$430)/103</f>
        <v/>
      </c>
      <c r="G549" s="11">
        <f>G548+F549</f>
        <v/>
      </c>
      <c r="H549" s="11">
        <f>H548-(1-G548)</f>
        <v/>
      </c>
      <c r="I549" s="11">
        <f>I548-H549</f>
        <v/>
      </c>
    </row>
    <row r="550">
      <c r="A550" s="10" t="n">
        <v>104</v>
      </c>
      <c r="F550" s="11">
        <f>F549*($B$431+104-1)*(1-$B$430)/104</f>
        <v/>
      </c>
      <c r="G550" s="11">
        <f>G549+F550</f>
        <v/>
      </c>
      <c r="H550" s="11">
        <f>H549-(1-G549)</f>
        <v/>
      </c>
      <c r="I550" s="11">
        <f>I549-H550</f>
        <v/>
      </c>
    </row>
    <row r="551">
      <c r="A551" s="10" t="n">
        <v>105</v>
      </c>
      <c r="F551" s="11">
        <f>F550*($B$431+105-1)*(1-$B$430)/105</f>
        <v/>
      </c>
      <c r="G551" s="11">
        <f>G550+F551</f>
        <v/>
      </c>
      <c r="H551" s="11">
        <f>H550-(1-G550)</f>
        <v/>
      </c>
      <c r="I551" s="11">
        <f>I550-H551</f>
        <v/>
      </c>
    </row>
    <row r="552">
      <c r="A552" s="10" t="n">
        <v>106</v>
      </c>
      <c r="F552" s="11">
        <f>F551*($B$431+106-1)*(1-$B$430)/106</f>
        <v/>
      </c>
      <c r="G552" s="11">
        <f>G551+F552</f>
        <v/>
      </c>
      <c r="H552" s="11">
        <f>H551-(1-G551)</f>
        <v/>
      </c>
      <c r="I552" s="11">
        <f>I551-H552</f>
        <v/>
      </c>
    </row>
    <row r="553">
      <c r="A553" s="10" t="n">
        <v>107</v>
      </c>
      <c r="F553" s="11">
        <f>F552*($B$431+107-1)*(1-$B$430)/107</f>
        <v/>
      </c>
      <c r="G553" s="11">
        <f>G552+F553</f>
        <v/>
      </c>
      <c r="H553" s="11">
        <f>H552-(1-G552)</f>
        <v/>
      </c>
      <c r="I553" s="11">
        <f>I552-H553</f>
        <v/>
      </c>
    </row>
    <row r="554">
      <c r="A554" s="10" t="n">
        <v>108</v>
      </c>
      <c r="F554" s="11">
        <f>F553*($B$431+108-1)*(1-$B$430)/108</f>
        <v/>
      </c>
      <c r="G554" s="11">
        <f>G553+F554</f>
        <v/>
      </c>
      <c r="H554" s="11">
        <f>H553-(1-G553)</f>
        <v/>
      </c>
      <c r="I554" s="11">
        <f>I553-H554</f>
        <v/>
      </c>
    </row>
    <row r="555">
      <c r="A555" s="10" t="n">
        <v>109</v>
      </c>
      <c r="F555" s="11">
        <f>F554*($B$431+109-1)*(1-$B$430)/109</f>
        <v/>
      </c>
      <c r="G555" s="11">
        <f>G554+F555</f>
        <v/>
      </c>
      <c r="H555" s="11">
        <f>H554-(1-G554)</f>
        <v/>
      </c>
      <c r="I555" s="11">
        <f>I554-H555</f>
        <v/>
      </c>
    </row>
    <row r="556">
      <c r="A556" s="10" t="n">
        <v>110</v>
      </c>
      <c r="F556" s="11">
        <f>F555*($B$431+110-1)*(1-$B$430)/110</f>
        <v/>
      </c>
      <c r="G556" s="11">
        <f>G555+F556</f>
        <v/>
      </c>
      <c r="H556" s="11">
        <f>H555-(1-G555)</f>
        <v/>
      </c>
      <c r="I556" s="11">
        <f>I555-H556</f>
        <v/>
      </c>
    </row>
    <row r="557">
      <c r="A557" s="10" t="n">
        <v>111</v>
      </c>
      <c r="F557" s="11">
        <f>F556*($B$431+111-1)*(1-$B$430)/111</f>
        <v/>
      </c>
      <c r="G557" s="11">
        <f>G556+F557</f>
        <v/>
      </c>
      <c r="H557" s="11">
        <f>H556-(1-G556)</f>
        <v/>
      </c>
      <c r="I557" s="11">
        <f>I556-H557</f>
        <v/>
      </c>
    </row>
    <row r="558">
      <c r="A558" s="10" t="n">
        <v>112</v>
      </c>
      <c r="F558" s="11">
        <f>F557*($B$431+112-1)*(1-$B$430)/112</f>
        <v/>
      </c>
      <c r="G558" s="11">
        <f>G557+F558</f>
        <v/>
      </c>
      <c r="H558" s="11">
        <f>H557-(1-G557)</f>
        <v/>
      </c>
      <c r="I558" s="11">
        <f>I557-H558</f>
        <v/>
      </c>
    </row>
    <row r="559">
      <c r="A559" s="10" t="n">
        <v>113</v>
      </c>
      <c r="F559" s="11">
        <f>F558*($B$431+113-1)*(1-$B$430)/113</f>
        <v/>
      </c>
      <c r="G559" s="11">
        <f>G558+F559</f>
        <v/>
      </c>
      <c r="H559" s="11">
        <f>H558-(1-G558)</f>
        <v/>
      </c>
      <c r="I559" s="11">
        <f>I558-H559</f>
        <v/>
      </c>
    </row>
    <row r="560">
      <c r="A560" s="10" t="n">
        <v>114</v>
      </c>
      <c r="F560" s="11">
        <f>F559*($B$431+114-1)*(1-$B$430)/114</f>
        <v/>
      </c>
      <c r="G560" s="11">
        <f>G559+F560</f>
        <v/>
      </c>
      <c r="H560" s="11">
        <f>H559-(1-G559)</f>
        <v/>
      </c>
      <c r="I560" s="11">
        <f>I559-H560</f>
        <v/>
      </c>
    </row>
    <row r="561">
      <c r="A561" s="10" t="n">
        <v>115</v>
      </c>
      <c r="F561" s="11">
        <f>F560*($B$431+115-1)*(1-$B$430)/115</f>
        <v/>
      </c>
      <c r="G561" s="11">
        <f>G560+F561</f>
        <v/>
      </c>
      <c r="H561" s="11">
        <f>H560-(1-G560)</f>
        <v/>
      </c>
      <c r="I561" s="11">
        <f>I560-H561</f>
        <v/>
      </c>
    </row>
    <row r="562">
      <c r="A562" s="10" t="n">
        <v>116</v>
      </c>
      <c r="F562" s="11">
        <f>F561*($B$431+116-1)*(1-$B$430)/116</f>
        <v/>
      </c>
      <c r="G562" s="11">
        <f>G561+F562</f>
        <v/>
      </c>
      <c r="H562" s="11">
        <f>H561-(1-G561)</f>
        <v/>
      </c>
      <c r="I562" s="11">
        <f>I561-H562</f>
        <v/>
      </c>
    </row>
    <row r="563">
      <c r="A563" s="10" t="n">
        <v>117</v>
      </c>
      <c r="F563" s="11">
        <f>F562*($B$431+117-1)*(1-$B$430)/117</f>
        <v/>
      </c>
      <c r="G563" s="11">
        <f>G562+F563</f>
        <v/>
      </c>
      <c r="H563" s="11">
        <f>H562-(1-G562)</f>
        <v/>
      </c>
      <c r="I563" s="11">
        <f>I562-H563</f>
        <v/>
      </c>
    </row>
    <row r="564">
      <c r="A564" s="10" t="n">
        <v>118</v>
      </c>
      <c r="F564" s="11">
        <f>F563*($B$431+118-1)*(1-$B$430)/118</f>
        <v/>
      </c>
      <c r="G564" s="11">
        <f>G563+F564</f>
        <v/>
      </c>
      <c r="H564" s="11">
        <f>H563-(1-G563)</f>
        <v/>
      </c>
      <c r="I564" s="11">
        <f>I563-H564</f>
        <v/>
      </c>
    </row>
    <row r="565">
      <c r="A565" s="10" t="n">
        <v>119</v>
      </c>
      <c r="F565" s="11">
        <f>F564*($B$431+119-1)*(1-$B$430)/119</f>
        <v/>
      </c>
      <c r="G565" s="11">
        <f>G564+F565</f>
        <v/>
      </c>
      <c r="H565" s="11">
        <f>H564-(1-G564)</f>
        <v/>
      </c>
      <c r="I565" s="11">
        <f>I564-H565</f>
        <v/>
      </c>
    </row>
    <row r="566">
      <c r="A566" s="10" t="n">
        <v>120</v>
      </c>
      <c r="F566" s="11">
        <f>F565*($B$431+120-1)*(1-$B$430)/120</f>
        <v/>
      </c>
      <c r="G566" s="11">
        <f>G565+F566</f>
        <v/>
      </c>
      <c r="H566" s="11">
        <f>H565-(1-G565)</f>
        <v/>
      </c>
      <c r="I566" s="11">
        <f>I565-H566</f>
        <v/>
      </c>
    </row>
    <row r="567">
      <c r="A567" s="10" t="n">
        <v>121</v>
      </c>
      <c r="F567" s="11">
        <f>F566*($B$431+121-1)*(1-$B$430)/121</f>
        <v/>
      </c>
      <c r="G567" s="11">
        <f>G566+F567</f>
        <v/>
      </c>
      <c r="H567" s="11">
        <f>H566-(1-G566)</f>
        <v/>
      </c>
      <c r="I567" s="11">
        <f>I566-H567</f>
        <v/>
      </c>
    </row>
    <row r="568">
      <c r="A568" s="10" t="n">
        <v>122</v>
      </c>
      <c r="F568" s="11">
        <f>F567*($B$431+122-1)*(1-$B$430)/122</f>
        <v/>
      </c>
      <c r="G568" s="11">
        <f>G567+F568</f>
        <v/>
      </c>
      <c r="H568" s="11">
        <f>H567-(1-G567)</f>
        <v/>
      </c>
      <c r="I568" s="11">
        <f>I567-H568</f>
        <v/>
      </c>
    </row>
    <row r="569">
      <c r="A569" s="10" t="n">
        <v>123</v>
      </c>
      <c r="F569" s="11">
        <f>F568*($B$431+123-1)*(1-$B$430)/123</f>
        <v/>
      </c>
      <c r="G569" s="11">
        <f>G568+F569</f>
        <v/>
      </c>
      <c r="H569" s="11">
        <f>H568-(1-G568)</f>
        <v/>
      </c>
      <c r="I569" s="11">
        <f>I568-H569</f>
        <v/>
      </c>
    </row>
    <row r="570">
      <c r="A570" s="10" t="n">
        <v>124</v>
      </c>
      <c r="F570" s="11">
        <f>F569*($B$431+124-1)*(1-$B$430)/124</f>
        <v/>
      </c>
      <c r="G570" s="11">
        <f>G569+F570</f>
        <v/>
      </c>
      <c r="H570" s="11">
        <f>H569-(1-G569)</f>
        <v/>
      </c>
      <c r="I570" s="11">
        <f>I569-H570</f>
        <v/>
      </c>
    </row>
    <row r="571">
      <c r="A571" s="10" t="n">
        <v>125</v>
      </c>
      <c r="F571" s="11">
        <f>F570*($B$431+125-1)*(1-$B$430)/125</f>
        <v/>
      </c>
      <c r="G571" s="11">
        <f>G570+F571</f>
        <v/>
      </c>
      <c r="H571" s="11">
        <f>H570-(1-G570)</f>
        <v/>
      </c>
      <c r="I571" s="11">
        <f>I570-H571</f>
        <v/>
      </c>
    </row>
    <row r="572">
      <c r="A572" s="10" t="n">
        <v>126</v>
      </c>
      <c r="F572" s="11">
        <f>F571*($B$431+126-1)*(1-$B$430)/126</f>
        <v/>
      </c>
      <c r="G572" s="11">
        <f>G571+F572</f>
        <v/>
      </c>
      <c r="H572" s="11">
        <f>H571-(1-G571)</f>
        <v/>
      </c>
      <c r="I572" s="11">
        <f>I571-H572</f>
        <v/>
      </c>
    </row>
    <row r="573">
      <c r="A573" s="10" t="n">
        <v>127</v>
      </c>
      <c r="F573" s="11">
        <f>F572*($B$431+127-1)*(1-$B$430)/127</f>
        <v/>
      </c>
      <c r="G573" s="11">
        <f>G572+F573</f>
        <v/>
      </c>
      <c r="H573" s="11">
        <f>H572-(1-G572)</f>
        <v/>
      </c>
      <c r="I573" s="11">
        <f>I572-H573</f>
        <v/>
      </c>
    </row>
    <row r="574">
      <c r="A574" s="10" t="n">
        <v>128</v>
      </c>
      <c r="F574" s="11">
        <f>F573*($B$431+128-1)*(1-$B$430)/128</f>
        <v/>
      </c>
      <c r="G574" s="11">
        <f>G573+F574</f>
        <v/>
      </c>
      <c r="H574" s="11">
        <f>H573-(1-G573)</f>
        <v/>
      </c>
      <c r="I574" s="11">
        <f>I573-H574</f>
        <v/>
      </c>
    </row>
    <row r="575">
      <c r="A575" s="10" t="n">
        <v>129</v>
      </c>
      <c r="F575" s="11">
        <f>F574*($B$431+129-1)*(1-$B$430)/129</f>
        <v/>
      </c>
      <c r="G575" s="11">
        <f>G574+F575</f>
        <v/>
      </c>
      <c r="H575" s="11">
        <f>H574-(1-G574)</f>
        <v/>
      </c>
      <c r="I575" s="11">
        <f>I574-H575</f>
        <v/>
      </c>
    </row>
    <row r="576">
      <c r="A576" s="10" t="n">
        <v>130</v>
      </c>
      <c r="F576" s="11">
        <f>F575*($B$431+130-1)*(1-$B$430)/130</f>
        <v/>
      </c>
      <c r="G576" s="11">
        <f>G575+F576</f>
        <v/>
      </c>
      <c r="H576" s="11">
        <f>H575-(1-G575)</f>
        <v/>
      </c>
      <c r="I576" s="11">
        <f>I575-H576</f>
        <v/>
      </c>
    </row>
    <row r="577">
      <c r="A577" s="10" t="n">
        <v>131</v>
      </c>
      <c r="F577" s="11">
        <f>F576*($B$431+131-1)*(1-$B$430)/131</f>
        <v/>
      </c>
      <c r="G577" s="11">
        <f>G576+F577</f>
        <v/>
      </c>
      <c r="H577" s="11">
        <f>H576-(1-G576)</f>
        <v/>
      </c>
      <c r="I577" s="11">
        <f>I576-H577</f>
        <v/>
      </c>
    </row>
    <row r="578">
      <c r="A578" s="10" t="n">
        <v>132</v>
      </c>
      <c r="F578" s="11">
        <f>F577*($B$431+132-1)*(1-$B$430)/132</f>
        <v/>
      </c>
      <c r="G578" s="11">
        <f>G577+F578</f>
        <v/>
      </c>
      <c r="H578" s="11">
        <f>H577-(1-G577)</f>
        <v/>
      </c>
      <c r="I578" s="11">
        <f>I577-H578</f>
        <v/>
      </c>
    </row>
    <row r="579">
      <c r="A579" s="10" t="n">
        <v>133</v>
      </c>
      <c r="F579" s="11">
        <f>F578*($B$431+133-1)*(1-$B$430)/133</f>
        <v/>
      </c>
      <c r="G579" s="11">
        <f>G578+F579</f>
        <v/>
      </c>
      <c r="H579" s="11">
        <f>H578-(1-G578)</f>
        <v/>
      </c>
      <c r="I579" s="11">
        <f>I578-H579</f>
        <v/>
      </c>
    </row>
    <row r="580">
      <c r="A580" s="10" t="n">
        <v>134</v>
      </c>
      <c r="F580" s="11">
        <f>F579*($B$431+134-1)*(1-$B$430)/134</f>
        <v/>
      </c>
      <c r="G580" s="11">
        <f>G579+F580</f>
        <v/>
      </c>
      <c r="H580" s="11">
        <f>H579-(1-G579)</f>
        <v/>
      </c>
      <c r="I580" s="11">
        <f>I579-H580</f>
        <v/>
      </c>
    </row>
    <row r="581">
      <c r="A581" s="10" t="n">
        <v>135</v>
      </c>
      <c r="F581" s="11">
        <f>F580*($B$431+135-1)*(1-$B$430)/135</f>
        <v/>
      </c>
      <c r="G581" s="11">
        <f>G580+F581</f>
        <v/>
      </c>
      <c r="H581" s="11">
        <f>H580-(1-G580)</f>
        <v/>
      </c>
      <c r="I581" s="11">
        <f>I580-H581</f>
        <v/>
      </c>
    </row>
    <row r="582">
      <c r="A582" s="10" t="n">
        <v>136</v>
      </c>
      <c r="F582" s="11">
        <f>F581*($B$431+136-1)*(1-$B$430)/136</f>
        <v/>
      </c>
      <c r="G582" s="11">
        <f>G581+F582</f>
        <v/>
      </c>
      <c r="H582" s="11">
        <f>H581-(1-G581)</f>
        <v/>
      </c>
      <c r="I582" s="11">
        <f>I581-H582</f>
        <v/>
      </c>
    </row>
    <row r="583">
      <c r="A583" s="10" t="n">
        <v>137</v>
      </c>
      <c r="F583" s="11">
        <f>F582*($B$431+137-1)*(1-$B$430)/137</f>
        <v/>
      </c>
      <c r="G583" s="11">
        <f>G582+F583</f>
        <v/>
      </c>
      <c r="H583" s="11">
        <f>H582-(1-G582)</f>
        <v/>
      </c>
      <c r="I583" s="11">
        <f>I582-H583</f>
        <v/>
      </c>
    </row>
    <row r="584">
      <c r="A584" s="10" t="n">
        <v>138</v>
      </c>
      <c r="F584" s="11">
        <f>F583*($B$431+138-1)*(1-$B$430)/138</f>
        <v/>
      </c>
      <c r="G584" s="11">
        <f>G583+F584</f>
        <v/>
      </c>
      <c r="H584" s="11">
        <f>H583-(1-G583)</f>
        <v/>
      </c>
      <c r="I584" s="11">
        <f>I583-H584</f>
        <v/>
      </c>
    </row>
    <row r="585">
      <c r="A585" s="10" t="n">
        <v>139</v>
      </c>
      <c r="F585" s="11">
        <f>F584*($B$431+139-1)*(1-$B$430)/139</f>
        <v/>
      </c>
      <c r="G585" s="11">
        <f>G584+F585</f>
        <v/>
      </c>
      <c r="H585" s="11">
        <f>H584-(1-G584)</f>
        <v/>
      </c>
      <c r="I585" s="11">
        <f>I584-H585</f>
        <v/>
      </c>
    </row>
    <row r="586">
      <c r="A586" s="10" t="n">
        <v>140</v>
      </c>
      <c r="F586" s="11">
        <f>F585*($B$431+140-1)*(1-$B$430)/140</f>
        <v/>
      </c>
      <c r="G586" s="11">
        <f>G585+F586</f>
        <v/>
      </c>
      <c r="H586" s="11">
        <f>H585-(1-G585)</f>
        <v/>
      </c>
      <c r="I586" s="11">
        <f>I585-H586</f>
        <v/>
      </c>
    </row>
    <row r="587">
      <c r="A587" s="10" t="n">
        <v>141</v>
      </c>
      <c r="F587" s="11">
        <f>F586*($B$431+141-1)*(1-$B$430)/141</f>
        <v/>
      </c>
      <c r="G587" s="11">
        <f>G586+F587</f>
        <v/>
      </c>
      <c r="H587" s="11">
        <f>H586-(1-G586)</f>
        <v/>
      </c>
      <c r="I587" s="11">
        <f>I586-H587</f>
        <v/>
      </c>
    </row>
    <row r="588">
      <c r="A588" s="10" t="n">
        <v>142</v>
      </c>
      <c r="F588" s="11">
        <f>F587*($B$431+142-1)*(1-$B$430)/142</f>
        <v/>
      </c>
      <c r="G588" s="11">
        <f>G587+F588</f>
        <v/>
      </c>
      <c r="H588" s="11">
        <f>H587-(1-G587)</f>
        <v/>
      </c>
      <c r="I588" s="11">
        <f>I587-H588</f>
        <v/>
      </c>
    </row>
    <row r="589">
      <c r="A589" s="10" t="n">
        <v>143</v>
      </c>
      <c r="F589" s="11">
        <f>F588*($B$431+143-1)*(1-$B$430)/143</f>
        <v/>
      </c>
      <c r="G589" s="11">
        <f>G588+F589</f>
        <v/>
      </c>
      <c r="H589" s="11">
        <f>H588-(1-G588)</f>
        <v/>
      </c>
      <c r="I589" s="11">
        <f>I588-H589</f>
        <v/>
      </c>
    </row>
    <row r="590">
      <c r="A590" s="10" t="n">
        <v>144</v>
      </c>
      <c r="F590" s="11">
        <f>F589*($B$431+144-1)*(1-$B$430)/144</f>
        <v/>
      </c>
      <c r="G590" s="11">
        <f>G589+F590</f>
        <v/>
      </c>
      <c r="H590" s="11">
        <f>H589-(1-G589)</f>
        <v/>
      </c>
      <c r="I590" s="11">
        <f>I589-H590</f>
        <v/>
      </c>
    </row>
    <row r="591">
      <c r="A591" s="10" t="n">
        <v>145</v>
      </c>
      <c r="F591" s="11">
        <f>F590*($B$431+145-1)*(1-$B$430)/145</f>
        <v/>
      </c>
      <c r="G591" s="11">
        <f>G590+F591</f>
        <v/>
      </c>
      <c r="H591" s="11">
        <f>H590-(1-G590)</f>
        <v/>
      </c>
      <c r="I591" s="11">
        <f>I590-H591</f>
        <v/>
      </c>
    </row>
    <row r="592">
      <c r="A592" s="10" t="n">
        <v>146</v>
      </c>
      <c r="F592" s="11">
        <f>F591*($B$431+146-1)*(1-$B$430)/146</f>
        <v/>
      </c>
      <c r="G592" s="11">
        <f>G591+F592</f>
        <v/>
      </c>
      <c r="H592" s="11">
        <f>H591-(1-G591)</f>
        <v/>
      </c>
      <c r="I592" s="11">
        <f>I591-H592</f>
        <v/>
      </c>
    </row>
    <row r="593">
      <c r="A593" s="10" t="n">
        <v>147</v>
      </c>
      <c r="F593" s="11">
        <f>F592*($B$431+147-1)*(1-$B$430)/147</f>
        <v/>
      </c>
      <c r="G593" s="11">
        <f>G592+F593</f>
        <v/>
      </c>
      <c r="H593" s="11">
        <f>H592-(1-G592)</f>
        <v/>
      </c>
      <c r="I593" s="11">
        <f>I592-H593</f>
        <v/>
      </c>
    </row>
    <row r="594">
      <c r="A594" s="10" t="n">
        <v>148</v>
      </c>
      <c r="F594" s="11">
        <f>F593*($B$431+148-1)*(1-$B$430)/148</f>
        <v/>
      </c>
      <c r="G594" s="11">
        <f>G593+F594</f>
        <v/>
      </c>
      <c r="H594" s="11">
        <f>H593-(1-G593)</f>
        <v/>
      </c>
      <c r="I594" s="11">
        <f>I593-H594</f>
        <v/>
      </c>
    </row>
    <row r="595">
      <c r="A595" s="10" t="n">
        <v>149</v>
      </c>
      <c r="F595" s="11">
        <f>F594*($B$431+149-1)*(1-$B$430)/149</f>
        <v/>
      </c>
      <c r="G595" s="11">
        <f>G594+F595</f>
        <v/>
      </c>
      <c r="H595" s="11">
        <f>H594-(1-G594)</f>
        <v/>
      </c>
      <c r="I595" s="11">
        <f>I594-H595</f>
        <v/>
      </c>
    </row>
    <row r="596">
      <c r="A596" s="10" t="n">
        <v>150</v>
      </c>
      <c r="F596" s="11">
        <f>F595*($B$431+150-1)*(1-$B$430)/150</f>
        <v/>
      </c>
      <c r="G596" s="11">
        <f>G595+F596</f>
        <v/>
      </c>
      <c r="H596" s="11">
        <f>H595-(1-G595)</f>
        <v/>
      </c>
      <c r="I596" s="11">
        <f>I595-H596</f>
        <v/>
      </c>
    </row>
    <row r="597">
      <c r="A597" s="10" t="n">
        <v>151</v>
      </c>
      <c r="F597" s="11">
        <f>F596*($B$431+151-1)*(1-$B$430)/151</f>
        <v/>
      </c>
      <c r="G597" s="11">
        <f>G596+F597</f>
        <v/>
      </c>
      <c r="H597" s="11">
        <f>H596-(1-G596)</f>
        <v/>
      </c>
      <c r="I597" s="11">
        <f>I596-H597</f>
        <v/>
      </c>
    </row>
    <row r="598">
      <c r="A598" s="10" t="n">
        <v>152</v>
      </c>
      <c r="F598" s="11">
        <f>F597*($B$431+152-1)*(1-$B$430)/152</f>
        <v/>
      </c>
      <c r="G598" s="11">
        <f>G597+F598</f>
        <v/>
      </c>
      <c r="H598" s="11">
        <f>H597-(1-G597)</f>
        <v/>
      </c>
      <c r="I598" s="11">
        <f>I597-H598</f>
        <v/>
      </c>
    </row>
    <row r="599">
      <c r="A599" s="10" t="n">
        <v>153</v>
      </c>
      <c r="F599" s="11">
        <f>F598*($B$431+153-1)*(1-$B$430)/153</f>
        <v/>
      </c>
      <c r="G599" s="11">
        <f>G598+F599</f>
        <v/>
      </c>
      <c r="H599" s="11">
        <f>H598-(1-G598)</f>
        <v/>
      </c>
      <c r="I599" s="11">
        <f>I598-H599</f>
        <v/>
      </c>
    </row>
    <row r="600">
      <c r="A600" s="10" t="n">
        <v>154</v>
      </c>
      <c r="F600" s="11">
        <f>F599*($B$431+154-1)*(1-$B$430)/154</f>
        <v/>
      </c>
      <c r="G600" s="11">
        <f>G599+F600</f>
        <v/>
      </c>
      <c r="H600" s="11">
        <f>H599-(1-G599)</f>
        <v/>
      </c>
      <c r="I600" s="11">
        <f>I599-H600</f>
        <v/>
      </c>
    </row>
    <row r="601">
      <c r="A601" s="10" t="n">
        <v>155</v>
      </c>
      <c r="F601" s="11">
        <f>F600*($B$431+155-1)*(1-$B$430)/155</f>
        <v/>
      </c>
      <c r="G601" s="11">
        <f>G600+F601</f>
        <v/>
      </c>
      <c r="H601" s="11">
        <f>H600-(1-G600)</f>
        <v/>
      </c>
      <c r="I601" s="11">
        <f>I600-H601</f>
        <v/>
      </c>
    </row>
    <row r="602">
      <c r="A602" s="10" t="n">
        <v>156</v>
      </c>
      <c r="F602" s="11">
        <f>F601*($B$431+156-1)*(1-$B$430)/156</f>
        <v/>
      </c>
      <c r="G602" s="11">
        <f>G601+F602</f>
        <v/>
      </c>
      <c r="H602" s="11">
        <f>H601-(1-G601)</f>
        <v/>
      </c>
      <c r="I602" s="11">
        <f>I601-H602</f>
        <v/>
      </c>
    </row>
    <row r="603">
      <c r="A603" s="10" t="n">
        <v>157</v>
      </c>
      <c r="F603" s="11">
        <f>F602*($B$431+157-1)*(1-$B$430)/157</f>
        <v/>
      </c>
      <c r="G603" s="11">
        <f>G602+F603</f>
        <v/>
      </c>
      <c r="H603" s="11">
        <f>H602-(1-G602)</f>
        <v/>
      </c>
      <c r="I603" s="11">
        <f>I602-H603</f>
        <v/>
      </c>
    </row>
    <row r="604">
      <c r="A604" s="10" t="n">
        <v>158</v>
      </c>
      <c r="F604" s="11">
        <f>F603*($B$431+158-1)*(1-$B$430)/158</f>
        <v/>
      </c>
      <c r="G604" s="11">
        <f>G603+F604</f>
        <v/>
      </c>
      <c r="H604" s="11">
        <f>H603-(1-G603)</f>
        <v/>
      </c>
      <c r="I604" s="11">
        <f>I603-H604</f>
        <v/>
      </c>
    </row>
    <row r="605">
      <c r="A605" s="10" t="n">
        <v>159</v>
      </c>
      <c r="F605" s="11">
        <f>F604*($B$431+159-1)*(1-$B$430)/159</f>
        <v/>
      </c>
      <c r="G605" s="11">
        <f>G604+F605</f>
        <v/>
      </c>
      <c r="H605" s="11">
        <f>H604-(1-G604)</f>
        <v/>
      </c>
      <c r="I605" s="11">
        <f>I604-H605</f>
        <v/>
      </c>
    </row>
    <row r="606">
      <c r="A606" s="10" t="n">
        <v>160</v>
      </c>
      <c r="F606" s="11">
        <f>F605*($B$431+160-1)*(1-$B$430)/160</f>
        <v/>
      </c>
      <c r="G606" s="11">
        <f>G605+F606</f>
        <v/>
      </c>
      <c r="H606" s="11">
        <f>H605-(1-G605)</f>
        <v/>
      </c>
      <c r="I606" s="11">
        <f>I605-H606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6" customWidth="1" min="3" max="3"/>
    <col width="6" customWidth="1" min="4" max="4"/>
    <col width="6" customWidth="1" min="5" max="5"/>
    <col width="10" customWidth="1" min="6" max="6"/>
    <col width="6" customWidth="1" min="7" max="7"/>
    <col width="6" customWidth="1" min="8" max="8"/>
    <col width="9" customWidth="1" min="9" max="9"/>
    <col width="6" customWidth="1" min="10" max="10"/>
    <col width="16" customWidth="1" min="11" max="11"/>
    <col width="12" customWidth="1" min="12" max="12"/>
    <col width="11" customWidth="1" min="13" max="13"/>
  </cols>
  <sheetData>
    <row r="1">
      <c r="A1" s="1" t="inlineStr">
        <is>
          <t>The two ledgers, one row per event</t>
        </is>
      </c>
    </row>
    <row r="2">
      <c r="A2" s="2" t="inlineStr">
        <is>
          <t>@sec-batchedmultiechelon. Within a week: the hub's receipts, then the storeroom's, then demands. Blue columns are typed.</t>
        </is>
      </c>
    </row>
    <row r="4">
      <c r="A4" s="3" t="inlineStr">
        <is>
          <t>Ledger A: the hub batches, the storeroom runs base stock</t>
        </is>
      </c>
    </row>
    <row r="5">
      <c r="A5" s="9" t="inlineStr">
        <is>
          <t>week</t>
        </is>
      </c>
      <c r="B5" s="9" t="inlineStr">
        <is>
          <t>event</t>
        </is>
      </c>
      <c r="C5" s="9" t="inlineStr">
        <is>
          <t>I_j</t>
        </is>
      </c>
      <c r="D5" s="9" t="inlineStr">
        <is>
          <t>B_j</t>
        </is>
      </c>
      <c r="E5" s="9" t="inlineStr">
        <is>
          <t>IP_j</t>
        </is>
      </c>
      <c r="F5" s="9" t="inlineStr">
        <is>
          <t>in transit</t>
        </is>
      </c>
      <c r="G5" s="9" t="inlineStr">
        <is>
          <t>I_0</t>
        </is>
      </c>
      <c r="H5" s="9" t="inlineStr">
        <is>
          <t>B_0</t>
        </is>
      </c>
      <c r="I5" s="9" t="inlineStr">
        <is>
          <t>on order</t>
        </is>
      </c>
      <c r="J5" s="9" t="inlineStr">
        <is>
          <t>IP_0</t>
        </is>
      </c>
      <c r="K5" s="9" t="inlineStr">
        <is>
          <t>owed to storeroom</t>
        </is>
      </c>
      <c r="L5" s="9" t="inlineStr">
        <is>
          <t>hub residual</t>
        </is>
      </c>
      <c r="M5" s="9" t="inlineStr">
        <is>
          <t>weeks held</t>
        </is>
      </c>
    </row>
    <row r="6">
      <c r="A6" s="10" t="n">
        <v>1</v>
      </c>
      <c r="B6" t="inlineStr">
        <is>
          <t>failure, request to hub</t>
        </is>
      </c>
      <c r="C6" s="5" t="n">
        <v>1</v>
      </c>
      <c r="D6" s="5" t="n">
        <v>0</v>
      </c>
      <c r="E6" s="5" t="n">
        <v>2</v>
      </c>
      <c r="F6" s="5" t="n">
        <v>1</v>
      </c>
      <c r="G6" s="5" t="n">
        <v>4</v>
      </c>
      <c r="H6" s="5" t="n">
        <v>0</v>
      </c>
      <c r="I6" s="5" t="n">
        <v>0</v>
      </c>
      <c r="J6" s="5" t="n">
        <v>4</v>
      </c>
      <c r="K6" s="12">
        <f>E6-(C6-D6+F6)</f>
        <v/>
      </c>
      <c r="L6" s="20">
        <f>J6-(G6+I6-H6)</f>
        <v/>
      </c>
      <c r="M6" s="22">
        <f>A7-A6</f>
        <v/>
      </c>
    </row>
    <row r="7">
      <c r="A7" s="10" t="n">
        <v>2</v>
      </c>
      <c r="B7" t="inlineStr">
        <is>
          <t>storeroom receives 1</t>
        </is>
      </c>
      <c r="C7" s="5" t="n">
        <v>2</v>
      </c>
      <c r="D7" s="5" t="n">
        <v>0</v>
      </c>
      <c r="E7" s="5" t="n">
        <v>2</v>
      </c>
      <c r="F7" s="5" t="n">
        <v>0</v>
      </c>
      <c r="G7" s="5" t="n">
        <v>4</v>
      </c>
      <c r="H7" s="5" t="n">
        <v>0</v>
      </c>
      <c r="I7" s="5" t="n">
        <v>0</v>
      </c>
      <c r="J7" s="5" t="n">
        <v>4</v>
      </c>
      <c r="K7" s="12">
        <f>E7-(C7-D7+F7)</f>
        <v/>
      </c>
      <c r="L7" s="20">
        <f>J7-(G7+I7-H7)</f>
        <v/>
      </c>
      <c r="M7" s="22">
        <f>A8-A7</f>
        <v/>
      </c>
    </row>
    <row r="8">
      <c r="A8" s="10" t="n">
        <v>3</v>
      </c>
      <c r="B8" t="inlineStr">
        <is>
          <t>failure, request to hub</t>
        </is>
      </c>
      <c r="C8" s="5" t="n">
        <v>1</v>
      </c>
      <c r="D8" s="5" t="n">
        <v>0</v>
      </c>
      <c r="E8" s="5" t="n">
        <v>2</v>
      </c>
      <c r="F8" s="5" t="n">
        <v>1</v>
      </c>
      <c r="G8" s="5" t="n">
        <v>3</v>
      </c>
      <c r="H8" s="5" t="n">
        <v>0</v>
      </c>
      <c r="I8" s="5" t="n">
        <v>0</v>
      </c>
      <c r="J8" s="5" t="n">
        <v>3</v>
      </c>
      <c r="K8" s="12">
        <f>E8-(C8-D8+F8)</f>
        <v/>
      </c>
      <c r="L8" s="20">
        <f>J8-(G8+I8-H8)</f>
        <v/>
      </c>
      <c r="M8" s="22">
        <f>A9-A8</f>
        <v/>
      </c>
    </row>
    <row r="9">
      <c r="A9" s="10" t="n">
        <v>4</v>
      </c>
      <c r="B9" t="inlineStr">
        <is>
          <t>storeroom receives 1</t>
        </is>
      </c>
      <c r="C9" s="5" t="n">
        <v>2</v>
      </c>
      <c r="D9" s="5" t="n">
        <v>0</v>
      </c>
      <c r="E9" s="5" t="n">
        <v>2</v>
      </c>
      <c r="F9" s="5" t="n">
        <v>0</v>
      </c>
      <c r="G9" s="5" t="n">
        <v>3</v>
      </c>
      <c r="H9" s="5" t="n">
        <v>0</v>
      </c>
      <c r="I9" s="5" t="n">
        <v>0</v>
      </c>
      <c r="J9" s="5" t="n">
        <v>3</v>
      </c>
      <c r="K9" s="12">
        <f>E9-(C9-D9+F9)</f>
        <v/>
      </c>
      <c r="L9" s="20">
        <f>J9-(G9+I9-H9)</f>
        <v/>
      </c>
      <c r="M9" s="22">
        <f>A10-A9</f>
        <v/>
      </c>
    </row>
    <row r="10">
      <c r="A10" s="10" t="n">
        <v>6</v>
      </c>
      <c r="B10" t="inlineStr">
        <is>
          <t>failure, request to hub</t>
        </is>
      </c>
      <c r="C10" s="5" t="n">
        <v>1</v>
      </c>
      <c r="D10" s="5" t="n">
        <v>0</v>
      </c>
      <c r="E10" s="5" t="n">
        <v>2</v>
      </c>
      <c r="F10" s="5" t="n">
        <v>1</v>
      </c>
      <c r="G10" s="5" t="n">
        <v>2</v>
      </c>
      <c r="H10" s="5" t="n">
        <v>0</v>
      </c>
      <c r="I10" s="5" t="n">
        <v>0</v>
      </c>
      <c r="J10" s="5" t="n">
        <v>2</v>
      </c>
      <c r="K10" s="12">
        <f>E10-(C10-D10+F10)</f>
        <v/>
      </c>
      <c r="L10" s="20">
        <f>J10-(G10+I10-H10)</f>
        <v/>
      </c>
      <c r="M10" s="22">
        <f>A11-A10</f>
        <v/>
      </c>
    </row>
    <row r="11">
      <c r="A11" s="10" t="n">
        <v>7</v>
      </c>
      <c r="B11" t="inlineStr">
        <is>
          <t>storeroom receives 1</t>
        </is>
      </c>
      <c r="C11" s="5" t="n">
        <v>2</v>
      </c>
      <c r="D11" s="5" t="n">
        <v>0</v>
      </c>
      <c r="E11" s="5" t="n">
        <v>2</v>
      </c>
      <c r="F11" s="5" t="n">
        <v>0</v>
      </c>
      <c r="G11" s="5" t="n">
        <v>2</v>
      </c>
      <c r="H11" s="5" t="n">
        <v>0</v>
      </c>
      <c r="I11" s="5" t="n">
        <v>0</v>
      </c>
      <c r="J11" s="5" t="n">
        <v>2</v>
      </c>
      <c r="K11" s="12">
        <f>E11-(C11-D11+F11)</f>
        <v/>
      </c>
      <c r="L11" s="20">
        <f>J11-(G11+I11-H11)</f>
        <v/>
      </c>
      <c r="M11" s="22">
        <f>A12-A11</f>
        <v/>
      </c>
    </row>
    <row r="12">
      <c r="A12" s="10" t="n">
        <v>8</v>
      </c>
      <c r="B12" t="inlineStr">
        <is>
          <t>failure, request to hub, hub orders 4</t>
        </is>
      </c>
      <c r="C12" s="5" t="n">
        <v>1</v>
      </c>
      <c r="D12" s="5" t="n">
        <v>0</v>
      </c>
      <c r="E12" s="5" t="n">
        <v>2</v>
      </c>
      <c r="F12" s="5" t="n">
        <v>1</v>
      </c>
      <c r="G12" s="5" t="n">
        <v>1</v>
      </c>
      <c r="H12" s="5" t="n">
        <v>0</v>
      </c>
      <c r="I12" s="5" t="n">
        <v>4</v>
      </c>
      <c r="J12" s="5" t="n">
        <v>5</v>
      </c>
      <c r="K12" s="12">
        <f>E12-(C12-D12+F12)</f>
        <v/>
      </c>
      <c r="L12" s="20">
        <f>J12-(G12+I12-H12)</f>
        <v/>
      </c>
      <c r="M12" s="22">
        <f>A13-A12</f>
        <v/>
      </c>
    </row>
    <row r="13">
      <c r="A13" s="10" t="n">
        <v>8</v>
      </c>
      <c r="B13" t="inlineStr">
        <is>
          <t>failure, request to hub</t>
        </is>
      </c>
      <c r="C13" s="5" t="n">
        <v>0</v>
      </c>
      <c r="D13" s="5" t="n">
        <v>0</v>
      </c>
      <c r="E13" s="5" t="n">
        <v>2</v>
      </c>
      <c r="F13" s="5" t="n">
        <v>2</v>
      </c>
      <c r="G13" s="5" t="n">
        <v>0</v>
      </c>
      <c r="H13" s="5" t="n">
        <v>0</v>
      </c>
      <c r="I13" s="5" t="n">
        <v>4</v>
      </c>
      <c r="J13" s="5" t="n">
        <v>4</v>
      </c>
      <c r="K13" s="12">
        <f>E13-(C13-D13+F13)</f>
        <v/>
      </c>
      <c r="L13" s="20">
        <f>J13-(G13+I13-H13)</f>
        <v/>
      </c>
      <c r="M13" s="22">
        <f>A14-A13</f>
        <v/>
      </c>
    </row>
    <row r="14">
      <c r="A14" s="10" t="n">
        <v>8</v>
      </c>
      <c r="B14" t="inlineStr">
        <is>
          <t>failure, request to hub backordered</t>
        </is>
      </c>
      <c r="C14" s="5" t="n">
        <v>0</v>
      </c>
      <c r="D14" s="5" t="n">
        <v>1</v>
      </c>
      <c r="E14" s="5" t="n">
        <v>2</v>
      </c>
      <c r="F14" s="5" t="n">
        <v>2</v>
      </c>
      <c r="G14" s="5" t="n">
        <v>0</v>
      </c>
      <c r="H14" s="5" t="n">
        <v>1</v>
      </c>
      <c r="I14" s="5" t="n">
        <v>4</v>
      </c>
      <c r="J14" s="5" t="n">
        <v>3</v>
      </c>
      <c r="K14" s="12">
        <f>E14-(C14-D14+F14)</f>
        <v/>
      </c>
      <c r="L14" s="20">
        <f>J14-(G14+I14-H14)</f>
        <v/>
      </c>
      <c r="M14" s="22">
        <f>A15-A14</f>
        <v/>
      </c>
    </row>
    <row r="15">
      <c r="A15" s="10" t="n">
        <v>9</v>
      </c>
      <c r="B15" t="inlineStr">
        <is>
          <t>storeroom receives 2, serves 1 waiting crew</t>
        </is>
      </c>
      <c r="C15" s="5" t="n">
        <v>1</v>
      </c>
      <c r="D15" s="5" t="n">
        <v>0</v>
      </c>
      <c r="E15" s="5" t="n">
        <v>2</v>
      </c>
      <c r="F15" s="5" t="n">
        <v>0</v>
      </c>
      <c r="G15" s="5" t="n">
        <v>0</v>
      </c>
      <c r="H15" s="5" t="n">
        <v>1</v>
      </c>
      <c r="I15" s="5" t="n">
        <v>4</v>
      </c>
      <c r="J15" s="5" t="n">
        <v>3</v>
      </c>
      <c r="K15" s="12">
        <f>E15-(C15-D15+F15)</f>
        <v/>
      </c>
      <c r="L15" s="20">
        <f>J15-(G15+I15-H15)</f>
        <v/>
      </c>
      <c r="M15" s="22">
        <f>A16-A15</f>
        <v/>
      </c>
    </row>
    <row r="16">
      <c r="A16" s="10" t="n">
        <v>9</v>
      </c>
      <c r="B16" t="inlineStr">
        <is>
          <t>failure, request to hub backordered</t>
        </is>
      </c>
      <c r="C16" s="5" t="n">
        <v>0</v>
      </c>
      <c r="D16" s="5" t="n">
        <v>0</v>
      </c>
      <c r="E16" s="5" t="n">
        <v>2</v>
      </c>
      <c r="F16" s="5" t="n">
        <v>0</v>
      </c>
      <c r="G16" s="5" t="n">
        <v>0</v>
      </c>
      <c r="H16" s="5" t="n">
        <v>2</v>
      </c>
      <c r="I16" s="5" t="n">
        <v>4</v>
      </c>
      <c r="J16" s="5" t="n">
        <v>2</v>
      </c>
      <c r="K16" s="12">
        <f>E16-(C16-D16+F16)</f>
        <v/>
      </c>
      <c r="L16" s="20">
        <f>J16-(G16+I16-H16)</f>
        <v/>
      </c>
      <c r="M16" s="22">
        <f>A17-A16</f>
        <v/>
      </c>
    </row>
    <row r="17">
      <c r="A17" s="10" t="n">
        <v>10</v>
      </c>
      <c r="B17" t="inlineStr">
        <is>
          <t>failure, request backordered, hub orders 4</t>
        </is>
      </c>
      <c r="C17" s="5" t="n">
        <v>0</v>
      </c>
      <c r="D17" s="5" t="n">
        <v>1</v>
      </c>
      <c r="E17" s="5" t="n">
        <v>2</v>
      </c>
      <c r="F17" s="5" t="n">
        <v>0</v>
      </c>
      <c r="G17" s="5" t="n">
        <v>0</v>
      </c>
      <c r="H17" s="5" t="n">
        <v>3</v>
      </c>
      <c r="I17" s="5" t="n">
        <v>8</v>
      </c>
      <c r="J17" s="5" t="n">
        <v>5</v>
      </c>
      <c r="K17" s="12">
        <f>E17-(C17-D17+F17)</f>
        <v/>
      </c>
      <c r="L17" s="20">
        <f>J17-(G17+I17-H17)</f>
        <v/>
      </c>
      <c r="M17" s="22">
        <f>A18-A17</f>
        <v/>
      </c>
    </row>
    <row r="18">
      <c r="A18" s="10" t="n">
        <v>11</v>
      </c>
      <c r="B18" t="inlineStr">
        <is>
          <t>hub receives 4, fills 3 waiting requests</t>
        </is>
      </c>
      <c r="C18" s="5" t="n">
        <v>0</v>
      </c>
      <c r="D18" s="5" t="n">
        <v>1</v>
      </c>
      <c r="E18" s="5" t="n">
        <v>2</v>
      </c>
      <c r="F18" s="5" t="n">
        <v>3</v>
      </c>
      <c r="G18" s="5" t="n">
        <v>1</v>
      </c>
      <c r="H18" s="5" t="n">
        <v>0</v>
      </c>
      <c r="I18" s="5" t="n">
        <v>4</v>
      </c>
      <c r="J18" s="5" t="n">
        <v>5</v>
      </c>
      <c r="K18" s="12">
        <f>E18-(C18-D18+F18)</f>
        <v/>
      </c>
      <c r="L18" s="20">
        <f>J18-(G18+I18-H18)</f>
        <v/>
      </c>
      <c r="M18" s="22">
        <f>A19-A18</f>
        <v/>
      </c>
    </row>
    <row r="19">
      <c r="A19" s="10" t="n">
        <v>12</v>
      </c>
      <c r="B19" t="inlineStr">
        <is>
          <t>storeroom receives 3, serves 1 waiting crew</t>
        </is>
      </c>
      <c r="C19" s="5" t="n">
        <v>2</v>
      </c>
      <c r="D19" s="5" t="n">
        <v>0</v>
      </c>
      <c r="E19" s="5" t="n">
        <v>2</v>
      </c>
      <c r="F19" s="5" t="n">
        <v>0</v>
      </c>
      <c r="G19" s="5" t="n">
        <v>1</v>
      </c>
      <c r="H19" s="5" t="n">
        <v>0</v>
      </c>
      <c r="I19" s="5" t="n">
        <v>4</v>
      </c>
      <c r="J19" s="5" t="n">
        <v>5</v>
      </c>
      <c r="K19" s="12">
        <f>E19-(C19-D19+F19)</f>
        <v/>
      </c>
      <c r="L19" s="20">
        <f>J19-(G19+I19-H19)</f>
        <v/>
      </c>
      <c r="M19" s="22">
        <f>A20-A19</f>
        <v/>
      </c>
    </row>
    <row r="20">
      <c r="A20" s="10" t="n">
        <v>13</v>
      </c>
      <c r="B20" t="inlineStr">
        <is>
          <t>hub receives 4</t>
        </is>
      </c>
      <c r="C20" s="5" t="n">
        <v>2</v>
      </c>
      <c r="D20" s="5" t="n">
        <v>0</v>
      </c>
      <c r="E20" s="5" t="n">
        <v>2</v>
      </c>
      <c r="F20" s="5" t="n">
        <v>0</v>
      </c>
      <c r="G20" s="5" t="n">
        <v>5</v>
      </c>
      <c r="H20" s="5" t="n">
        <v>0</v>
      </c>
      <c r="I20" s="5" t="n">
        <v>0</v>
      </c>
      <c r="J20" s="5" t="n">
        <v>5</v>
      </c>
      <c r="K20" s="12">
        <f>E20-(C20-D20+F20)</f>
        <v/>
      </c>
      <c r="L20" s="20">
        <f>J20-(G20+I20-H20)</f>
        <v/>
      </c>
      <c r="M20" s="22">
        <f>A21-A20</f>
        <v/>
      </c>
    </row>
    <row r="21">
      <c r="A21" s="10" t="n">
        <v>14</v>
      </c>
      <c r="B21" t="inlineStr">
        <is>
          <t>failure, request to hub</t>
        </is>
      </c>
      <c r="C21" s="5" t="n">
        <v>1</v>
      </c>
      <c r="D21" s="5" t="n">
        <v>0</v>
      </c>
      <c r="E21" s="5" t="n">
        <v>2</v>
      </c>
      <c r="F21" s="5" t="n">
        <v>1</v>
      </c>
      <c r="G21" s="5" t="n">
        <v>4</v>
      </c>
      <c r="H21" s="5" t="n">
        <v>0</v>
      </c>
      <c r="I21" s="5" t="n">
        <v>0</v>
      </c>
      <c r="J21" s="5" t="n">
        <v>4</v>
      </c>
      <c r="K21" s="12">
        <f>E21-(C21-D21+F21)</f>
        <v/>
      </c>
      <c r="L21" s="20">
        <f>J21-(G21+I21-H21)</f>
        <v/>
      </c>
      <c r="M21" s="22">
        <f>A22-A21</f>
        <v/>
      </c>
    </row>
    <row r="22">
      <c r="A22" s="10" t="n">
        <v>15</v>
      </c>
      <c r="B22" t="inlineStr">
        <is>
          <t>storeroom receives 1</t>
        </is>
      </c>
      <c r="C22" s="5" t="n">
        <v>2</v>
      </c>
      <c r="D22" s="5" t="n">
        <v>0</v>
      </c>
      <c r="E22" s="5" t="n">
        <v>2</v>
      </c>
      <c r="F22" s="5" t="n">
        <v>0</v>
      </c>
      <c r="G22" s="5" t="n">
        <v>4</v>
      </c>
      <c r="H22" s="5" t="n">
        <v>0</v>
      </c>
      <c r="I22" s="5" t="n">
        <v>0</v>
      </c>
      <c r="J22" s="5" t="n">
        <v>4</v>
      </c>
      <c r="K22" s="12">
        <f>E22-(C22-D22+F22)</f>
        <v/>
      </c>
      <c r="L22" s="20">
        <f>J22-(G22+I22-H22)</f>
        <v/>
      </c>
    </row>
    <row r="24">
      <c r="A24" s="3" t="inlineStr">
        <is>
          <t>What ledger A measures</t>
        </is>
      </c>
    </row>
    <row r="25">
      <c r="A25" t="inlineStr">
        <is>
          <t>hub backorder-weeks</t>
        </is>
      </c>
      <c r="B25" s="12">
        <f>SUMPRODUCT(H6:H21,M6:M21)</f>
        <v/>
      </c>
    </row>
    <row r="26">
      <c r="A26" t="inlineStr">
        <is>
          <t>requests to the hub</t>
        </is>
      </c>
      <c r="B26" s="12" t="n">
        <v>9</v>
      </c>
    </row>
    <row r="27">
      <c r="A27" t="inlineStr">
        <is>
          <t>mean wait, weeks</t>
        </is>
      </c>
      <c r="B27" s="7">
        <f>B25/B26</f>
        <v/>
      </c>
      <c r="C27" s="2" t="inlineStr">
        <is>
          <t>Little's law; following the nine requests gives 6/9 as well</t>
        </is>
      </c>
    </row>
    <row r="29">
      <c r="A29" s="3" t="inlineStr">
        <is>
          <t>Ledger B: the storeroom orders three at a time</t>
        </is>
      </c>
    </row>
    <row r="30">
      <c r="A30" s="9" t="inlineStr">
        <is>
          <t>week</t>
        </is>
      </c>
      <c r="B30" s="9" t="inlineStr">
        <is>
          <t>event</t>
        </is>
      </c>
      <c r="C30" s="9" t="inlineStr">
        <is>
          <t>I_j</t>
        </is>
      </c>
      <c r="D30" s="9" t="inlineStr">
        <is>
          <t>B_j</t>
        </is>
      </c>
      <c r="E30" s="9" t="inlineStr">
        <is>
          <t>IP_j</t>
        </is>
      </c>
      <c r="F30" s="9" t="inlineStr">
        <is>
          <t>in transit</t>
        </is>
      </c>
      <c r="G30" s="9" t="inlineStr">
        <is>
          <t>I_0</t>
        </is>
      </c>
      <c r="H30" s="9" t="inlineStr">
        <is>
          <t>B_0</t>
        </is>
      </c>
      <c r="I30" s="9" t="inlineStr">
        <is>
          <t>on order</t>
        </is>
      </c>
      <c r="J30" s="9" t="inlineStr">
        <is>
          <t>IP_0</t>
        </is>
      </c>
      <c r="K30" s="9" t="inlineStr">
        <is>
          <t>owed to storeroom</t>
        </is>
      </c>
      <c r="L30" s="9" t="inlineStr">
        <is>
          <t>hub residual</t>
        </is>
      </c>
      <c r="M30" s="9" t="inlineStr">
        <is>
          <t>weeks held</t>
        </is>
      </c>
    </row>
    <row r="31">
      <c r="A31" s="10" t="n">
        <v>1</v>
      </c>
      <c r="B31" t="inlineStr">
        <is>
          <t>failure</t>
        </is>
      </c>
      <c r="C31" s="5" t="n">
        <v>3</v>
      </c>
      <c r="D31" s="5" t="n">
        <v>0</v>
      </c>
      <c r="E31" s="5" t="n">
        <v>3</v>
      </c>
      <c r="F31" s="5" t="n">
        <v>0</v>
      </c>
      <c r="G31" s="5" t="n">
        <v>7</v>
      </c>
      <c r="H31" s="5" t="n">
        <v>0</v>
      </c>
      <c r="I31" s="5" t="n">
        <v>0</v>
      </c>
      <c r="J31" s="5" t="n">
        <v>7</v>
      </c>
      <c r="K31" s="12">
        <f>E31-(C31-D31+F31)</f>
        <v/>
      </c>
      <c r="L31" s="20">
        <f>J31-(G31+I31-H31)</f>
        <v/>
      </c>
      <c r="M31" s="22">
        <f>A32-A31</f>
        <v/>
      </c>
    </row>
    <row r="32">
      <c r="A32" s="10" t="n">
        <v>2</v>
      </c>
      <c r="B32" t="inlineStr">
        <is>
          <t>other demand at hub</t>
        </is>
      </c>
      <c r="C32" s="5" t="n">
        <v>3</v>
      </c>
      <c r="D32" s="5" t="n">
        <v>0</v>
      </c>
      <c r="E32" s="5" t="n">
        <v>3</v>
      </c>
      <c r="F32" s="5" t="n">
        <v>0</v>
      </c>
      <c r="G32" s="5" t="n">
        <v>6</v>
      </c>
      <c r="H32" s="5" t="n">
        <v>0</v>
      </c>
      <c r="I32" s="5" t="n">
        <v>0</v>
      </c>
      <c r="J32" s="5" t="n">
        <v>6</v>
      </c>
      <c r="K32" s="12">
        <f>E32-(C32-D32+F32)</f>
        <v/>
      </c>
      <c r="L32" s="20">
        <f>J32-(G32+I32-H32)</f>
        <v/>
      </c>
      <c r="M32" s="22">
        <f>A33-A32</f>
        <v/>
      </c>
    </row>
    <row r="33">
      <c r="A33" s="10" t="n">
        <v>3</v>
      </c>
      <c r="B33" t="inlineStr">
        <is>
          <t>failure</t>
        </is>
      </c>
      <c r="C33" s="5" t="n">
        <v>2</v>
      </c>
      <c r="D33" s="5" t="n">
        <v>0</v>
      </c>
      <c r="E33" s="5" t="n">
        <v>2</v>
      </c>
      <c r="F33" s="5" t="n">
        <v>0</v>
      </c>
      <c r="G33" s="5" t="n">
        <v>6</v>
      </c>
      <c r="H33" s="5" t="n">
        <v>0</v>
      </c>
      <c r="I33" s="5" t="n">
        <v>0</v>
      </c>
      <c r="J33" s="5" t="n">
        <v>6</v>
      </c>
      <c r="K33" s="12">
        <f>E33-(C33-D33+F33)</f>
        <v/>
      </c>
      <c r="L33" s="20">
        <f>J33-(G33+I33-H33)</f>
        <v/>
      </c>
      <c r="M33" s="22">
        <f>A34-A33</f>
        <v/>
      </c>
    </row>
    <row r="34">
      <c r="A34" s="10" t="n">
        <v>4</v>
      </c>
      <c r="B34" t="inlineStr">
        <is>
          <t>other demand at hub</t>
        </is>
      </c>
      <c r="C34" s="5" t="n">
        <v>2</v>
      </c>
      <c r="D34" s="5" t="n">
        <v>0</v>
      </c>
      <c r="E34" s="5" t="n">
        <v>2</v>
      </c>
      <c r="F34" s="5" t="n">
        <v>0</v>
      </c>
      <c r="G34" s="5" t="n">
        <v>5</v>
      </c>
      <c r="H34" s="5" t="n">
        <v>0</v>
      </c>
      <c r="I34" s="5" t="n">
        <v>0</v>
      </c>
      <c r="J34" s="5" t="n">
        <v>5</v>
      </c>
      <c r="K34" s="12">
        <f>E34-(C34-D34+F34)</f>
        <v/>
      </c>
      <c r="L34" s="20">
        <f>J34-(G34+I34-H34)</f>
        <v/>
      </c>
      <c r="M34" s="22">
        <f>A35-A34</f>
        <v/>
      </c>
    </row>
    <row r="35">
      <c r="A35" s="10" t="n">
        <v>5</v>
      </c>
      <c r="B35" t="inlineStr">
        <is>
          <t>failure, order of 3 to hub, shipped</t>
        </is>
      </c>
      <c r="C35" s="5" t="n">
        <v>1</v>
      </c>
      <c r="D35" s="5" t="n">
        <v>0</v>
      </c>
      <c r="E35" s="5" t="n">
        <v>4</v>
      </c>
      <c r="F35" s="5" t="n">
        <v>3</v>
      </c>
      <c r="G35" s="5" t="n">
        <v>2</v>
      </c>
      <c r="H35" s="5" t="n">
        <v>0</v>
      </c>
      <c r="I35" s="5" t="n">
        <v>0</v>
      </c>
      <c r="J35" s="5" t="n">
        <v>2</v>
      </c>
      <c r="K35" s="12">
        <f>E35-(C35-D35+F35)</f>
        <v/>
      </c>
      <c r="L35" s="20">
        <f>J35-(G35+I35-H35)</f>
        <v/>
      </c>
      <c r="M35" s="22">
        <f>A36-A35</f>
        <v/>
      </c>
    </row>
    <row r="36">
      <c r="A36" s="10" t="n">
        <v>6</v>
      </c>
      <c r="B36" t="inlineStr">
        <is>
          <t>storeroom receives 3</t>
        </is>
      </c>
      <c r="C36" s="5" t="n">
        <v>4</v>
      </c>
      <c r="D36" s="5" t="n">
        <v>0</v>
      </c>
      <c r="E36" s="5" t="n">
        <v>4</v>
      </c>
      <c r="F36" s="5" t="n">
        <v>0</v>
      </c>
      <c r="G36" s="5" t="n">
        <v>2</v>
      </c>
      <c r="H36" s="5" t="n">
        <v>0</v>
      </c>
      <c r="I36" s="5" t="n">
        <v>0</v>
      </c>
      <c r="J36" s="5" t="n">
        <v>2</v>
      </c>
      <c r="K36" s="12">
        <f>E36-(C36-D36+F36)</f>
        <v/>
      </c>
      <c r="L36" s="20">
        <f>J36-(G36+I36-H36)</f>
        <v/>
      </c>
      <c r="M36" s="22">
        <f>A37-A36</f>
        <v/>
      </c>
    </row>
    <row r="37">
      <c r="A37" s="10" t="n">
        <v>7</v>
      </c>
      <c r="B37" t="inlineStr">
        <is>
          <t>failure</t>
        </is>
      </c>
      <c r="C37" s="5" t="n">
        <v>3</v>
      </c>
      <c r="D37" s="5" t="n">
        <v>0</v>
      </c>
      <c r="E37" s="5" t="n">
        <v>3</v>
      </c>
      <c r="F37" s="5" t="n">
        <v>0</v>
      </c>
      <c r="G37" s="5" t="n">
        <v>2</v>
      </c>
      <c r="H37" s="5" t="n">
        <v>0</v>
      </c>
      <c r="I37" s="5" t="n">
        <v>0</v>
      </c>
      <c r="J37" s="5" t="n">
        <v>2</v>
      </c>
      <c r="K37" s="12">
        <f>E37-(C37-D37+F37)</f>
        <v/>
      </c>
      <c r="L37" s="20">
        <f>J37-(G37+I37-H37)</f>
        <v/>
      </c>
      <c r="M37" s="22">
        <f>A38-A37</f>
        <v/>
      </c>
    </row>
    <row r="38">
      <c r="A38" s="10" t="n">
        <v>8</v>
      </c>
      <c r="B38" t="inlineStr">
        <is>
          <t>failure</t>
        </is>
      </c>
      <c r="C38" s="5" t="n">
        <v>2</v>
      </c>
      <c r="D38" s="5" t="n">
        <v>0</v>
      </c>
      <c r="E38" s="5" t="n">
        <v>2</v>
      </c>
      <c r="F38" s="5" t="n">
        <v>0</v>
      </c>
      <c r="G38" s="5" t="n">
        <v>2</v>
      </c>
      <c r="H38" s="5" t="n">
        <v>0</v>
      </c>
      <c r="I38" s="5" t="n">
        <v>0</v>
      </c>
      <c r="J38" s="5" t="n">
        <v>2</v>
      </c>
      <c r="K38" s="12">
        <f>E38-(C38-D38+F38)</f>
        <v/>
      </c>
      <c r="L38" s="20">
        <f>J38-(G38+I38-H38)</f>
        <v/>
      </c>
      <c r="M38" s="22">
        <f>A39-A38</f>
        <v/>
      </c>
    </row>
    <row r="39">
      <c r="A39" s="10" t="n">
        <v>9</v>
      </c>
      <c r="B39" t="inlineStr">
        <is>
          <t>failure, order of 3: 2 shipped, 1 backordered; hub orders 6</t>
        </is>
      </c>
      <c r="C39" s="5" t="n">
        <v>1</v>
      </c>
      <c r="D39" s="5" t="n">
        <v>0</v>
      </c>
      <c r="E39" s="5" t="n">
        <v>4</v>
      </c>
      <c r="F39" s="5" t="n">
        <v>2</v>
      </c>
      <c r="G39" s="5" t="n">
        <v>0</v>
      </c>
      <c r="H39" s="5" t="n">
        <v>1</v>
      </c>
      <c r="I39" s="5" t="n">
        <v>6</v>
      </c>
      <c r="J39" s="5" t="n">
        <v>5</v>
      </c>
      <c r="K39" s="12">
        <f>E39-(C39-D39+F39)</f>
        <v/>
      </c>
      <c r="L39" s="20">
        <f>J39-(G39+I39-H39)</f>
        <v/>
      </c>
      <c r="M39" s="22">
        <f>A40-A39</f>
        <v/>
      </c>
    </row>
    <row r="40">
      <c r="A40" s="10" t="n">
        <v>9</v>
      </c>
      <c r="B40" t="inlineStr">
        <is>
          <t>failure</t>
        </is>
      </c>
      <c r="C40" s="5" t="n">
        <v>0</v>
      </c>
      <c r="D40" s="5" t="n">
        <v>0</v>
      </c>
      <c r="E40" s="5" t="n">
        <v>3</v>
      </c>
      <c r="F40" s="5" t="n">
        <v>2</v>
      </c>
      <c r="G40" s="5" t="n">
        <v>0</v>
      </c>
      <c r="H40" s="5" t="n">
        <v>1</v>
      </c>
      <c r="I40" s="5" t="n">
        <v>6</v>
      </c>
      <c r="J40" s="5" t="n">
        <v>5</v>
      </c>
      <c r="K40" s="12">
        <f>E40-(C40-D40+F40)</f>
        <v/>
      </c>
      <c r="L40" s="20">
        <f>J40-(G40+I40-H40)</f>
        <v/>
      </c>
      <c r="M40" s="22">
        <f>A41-A40</f>
        <v/>
      </c>
    </row>
    <row r="41">
      <c r="A41" s="10" t="n">
        <v>10</v>
      </c>
      <c r="B41" t="inlineStr">
        <is>
          <t>storeroom receives 2</t>
        </is>
      </c>
      <c r="C41" s="5" t="n">
        <v>2</v>
      </c>
      <c r="D41" s="5" t="n">
        <v>0</v>
      </c>
      <c r="E41" s="5" t="n">
        <v>3</v>
      </c>
      <c r="F41" s="5" t="n">
        <v>0</v>
      </c>
      <c r="G41" s="5" t="n">
        <v>0</v>
      </c>
      <c r="H41" s="5" t="n">
        <v>1</v>
      </c>
      <c r="I41" s="5" t="n">
        <v>6</v>
      </c>
      <c r="J41" s="5" t="n">
        <v>5</v>
      </c>
      <c r="K41" s="12">
        <f>E41-(C41-D41+F41)</f>
        <v/>
      </c>
      <c r="L41" s="20">
        <f>J41-(G41+I41-H41)</f>
        <v/>
      </c>
      <c r="M41" s="22">
        <f>A42-A41</f>
        <v/>
      </c>
    </row>
    <row r="42">
      <c r="A42" s="10" t="n">
        <v>10</v>
      </c>
      <c r="B42" t="inlineStr">
        <is>
          <t>failure</t>
        </is>
      </c>
      <c r="C42" s="5" t="n">
        <v>1</v>
      </c>
      <c r="D42" s="5" t="n">
        <v>0</v>
      </c>
      <c r="E42" s="5" t="n">
        <v>2</v>
      </c>
      <c r="F42" s="5" t="n">
        <v>0</v>
      </c>
      <c r="G42" s="5" t="n">
        <v>0</v>
      </c>
      <c r="H42" s="5" t="n">
        <v>1</v>
      </c>
      <c r="I42" s="5" t="n">
        <v>6</v>
      </c>
      <c r="J42" s="5" t="n">
        <v>5</v>
      </c>
      <c r="K42" s="12">
        <f>E42-(C42-D42+F42)</f>
        <v/>
      </c>
      <c r="L42" s="20">
        <f>J42-(G42+I42-H42)</f>
        <v/>
      </c>
      <c r="M42" s="22">
        <f>A43-A42</f>
        <v/>
      </c>
    </row>
    <row r="43">
      <c r="A43" s="10" t="n">
        <v>11</v>
      </c>
      <c r="B43" t="inlineStr">
        <is>
          <t>failure, order of 3 to hub, backordered</t>
        </is>
      </c>
      <c r="C43" s="5" t="n">
        <v>0</v>
      </c>
      <c r="D43" s="5" t="n">
        <v>0</v>
      </c>
      <c r="E43" s="5" t="n">
        <v>4</v>
      </c>
      <c r="F43" s="5" t="n">
        <v>0</v>
      </c>
      <c r="G43" s="5" t="n">
        <v>0</v>
      </c>
      <c r="H43" s="5" t="n">
        <v>4</v>
      </c>
      <c r="I43" s="5" t="n">
        <v>6</v>
      </c>
      <c r="J43" s="5" t="n">
        <v>2</v>
      </c>
      <c r="K43" s="12">
        <f>E43-(C43-D43+F43)</f>
        <v/>
      </c>
      <c r="L43" s="20">
        <f>J43-(G43+I43-H43)</f>
        <v/>
      </c>
      <c r="M43" s="22">
        <f>A44-A43</f>
        <v/>
      </c>
    </row>
    <row r="44">
      <c r="A44" s="10" t="n">
        <v>12</v>
      </c>
      <c r="B44" t="inlineStr">
        <is>
          <t>hub receives 6, completes the week-9 order, fills the week-11 order</t>
        </is>
      </c>
      <c r="C44" s="5" t="n">
        <v>0</v>
      </c>
      <c r="D44" s="5" t="n">
        <v>0</v>
      </c>
      <c r="E44" s="5" t="n">
        <v>4</v>
      </c>
      <c r="F44" s="5" t="n">
        <v>4</v>
      </c>
      <c r="G44" s="5" t="n">
        <v>2</v>
      </c>
      <c r="H44" s="5" t="n">
        <v>0</v>
      </c>
      <c r="I44" s="5" t="n">
        <v>0</v>
      </c>
      <c r="J44" s="5" t="n">
        <v>2</v>
      </c>
      <c r="K44" s="12">
        <f>E44-(C44-D44+F44)</f>
        <v/>
      </c>
      <c r="L44" s="20">
        <f>J44-(G44+I44-H44)</f>
        <v/>
      </c>
      <c r="M44" s="22">
        <f>A45-A44</f>
        <v/>
      </c>
    </row>
    <row r="45">
      <c r="A45" s="10" t="n">
        <v>13</v>
      </c>
      <c r="B45" t="inlineStr">
        <is>
          <t>storeroom receives 4</t>
        </is>
      </c>
      <c r="C45" s="5" t="n">
        <v>4</v>
      </c>
      <c r="D45" s="5" t="n">
        <v>0</v>
      </c>
      <c r="E45" s="5" t="n">
        <v>4</v>
      </c>
      <c r="F45" s="5" t="n">
        <v>0</v>
      </c>
      <c r="G45" s="5" t="n">
        <v>2</v>
      </c>
      <c r="H45" s="5" t="n">
        <v>0</v>
      </c>
      <c r="I45" s="5" t="n">
        <v>0</v>
      </c>
      <c r="J45" s="5" t="n">
        <v>2</v>
      </c>
      <c r="K45" s="12">
        <f>E45-(C45-D45+F45)</f>
        <v/>
      </c>
      <c r="L45" s="20">
        <f>J45-(G45+I45-H45)</f>
        <v/>
      </c>
    </row>
    <row r="47">
      <c r="A47" s="2" t="inlineStr">
        <is>
          <t>The hub residual is its position less on-hand, on order and backorders, and must be zero on every row.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104" customWidth="1" min="2" max="2"/>
  </cols>
  <sheetData>
    <row r="1">
      <c r="A1" s="1" t="inlineStr">
        <is>
          <t>Chapter 10 models</t>
        </is>
      </c>
    </row>
    <row r="2">
      <c r="A2" s="2" t="inlineStr">
        <is>
          <t>A hub that orders in batches, and the storerooms behind it. @sec-batchedmultiechelon.</t>
        </is>
      </c>
    </row>
    <row r="4">
      <c r="A4" s="9" t="inlineStr">
        <is>
          <t>sheet</t>
        </is>
      </c>
      <c r="B4" s="9" t="inlineStr">
        <is>
          <t>what it is</t>
        </is>
      </c>
    </row>
    <row r="5">
      <c r="A5" s="17" t="inlineStr">
        <is>
          <t>Hub</t>
        </is>
      </c>
      <c r="B5" t="inlineStr">
        <is>
          <t>Part I. The hub as chapter 8's location on a Poisson lead time demand; the mean wait by Little's law.</t>
        </is>
      </c>
    </row>
    <row r="6">
      <c r="A6" s="17" t="inlineStr">
        <is>
          <t>Delay</t>
        </is>
      </c>
      <c r="B6" t="inlineStr">
        <is>
          <t>Part I. The wait's distribution, a row a day. Each row is a ready rate at a shortened lead time.</t>
        </is>
      </c>
    </row>
    <row r="7">
      <c r="A7" s="17" t="inlineStr">
        <is>
          <t>Exact</t>
        </is>
      </c>
      <c r="B7" t="inlineStr">
        <is>
          <t>Part I. Axsater's one-for-one recursion and his equation (1): the exact cost and backorders.</t>
        </is>
      </c>
    </row>
    <row r="8">
      <c r="A8" s="17" t="inlineStr">
        <is>
          <t>Storeroom</t>
        </is>
      </c>
      <c r="B8" t="inlineStr">
        <is>
          <t>Part I. The storeroom's backorders by the mean wait, two moments, and conditioned on the wait.</t>
        </is>
      </c>
    </row>
    <row r="9">
      <c r="A9" s="17" t="inlineStr">
        <is>
          <t>Orders</t>
        </is>
      </c>
      <c r="B9" t="inlineStr">
        <is>
          <t>Part II. The order-count law from the Poisson table, at a random moment and seen from an order.</t>
        </is>
      </c>
    </row>
    <row r="10">
      <c r="A10" s="17" t="inlineStr">
        <is>
          <t>HubGeneral</t>
        </is>
      </c>
      <c r="B10" t="inlineStr">
        <is>
          <t>Part II. The hub's exact lead time demand, against the recipe and the shortcut.</t>
        </is>
      </c>
    </row>
    <row r="11">
      <c r="A11" s="17" t="inlineStr">
        <is>
          <t>OrderDelay</t>
        </is>
      </c>
      <c r="B11" t="inlineStr">
        <is>
          <t>Part II. A lone customer's wait and a storeroom order's wait, at whole weeks.</t>
        </is>
      </c>
    </row>
    <row r="12">
      <c r="A12" s="17" t="inlineStr">
        <is>
          <t>RandomLead</t>
        </is>
      </c>
      <c r="B12" t="inlineStr">
        <is>
          <t>Part II. The variance a shared random lead time adds, and what averaging streams alone loses.</t>
        </is>
      </c>
    </row>
    <row r="13">
      <c r="A13" s="17" t="inlineStr">
        <is>
          <t>Iterate</t>
        </is>
      </c>
      <c r="B13" t="inlineStr">
        <is>
          <t>Part III. The two-level iteration: type each pass's policies, read the prices and the wait.</t>
        </is>
      </c>
    </row>
    <row r="14">
      <c r="A14" s="17" t="inlineStr">
        <is>
          <t>Ledger</t>
        </is>
      </c>
      <c r="B14" t="inlineStr">
        <is>
          <t>Both ledgers, with the hub's position identity checked on every row.</t>
        </is>
      </c>
    </row>
    <row r="16">
      <c r="A16" s="3" t="inlineStr">
        <is>
          <t>Conventions</t>
        </is>
      </c>
    </row>
    <row r="17">
      <c r="A17" s="2" t="inlineStr">
        <is>
          <t>Time is in weeks inside the sheets and costs are converted from dollars a year on the Hub sheet.</t>
        </is>
      </c>
    </row>
    <row r="18">
      <c r="A18" s="2" t="inlineStr">
        <is>
          <t>The Delay grid is a day wide and places each day's probability at its midpoint.</t>
        </is>
      </c>
    </row>
    <row r="19">
      <c r="A19" s="2" t="inlineStr">
        <is>
          <t>Part II's storeroom in the chapter conditions on its order's wait on a finer grid, which the code computes; the OrderDelay sheet gives that wait at whole weeks.</t>
        </is>
      </c>
    </row>
    <row r="20">
      <c r="A20" s="2" t="inlineStr">
        <is>
          <t>No macros. Every number can be traced by clicking the cell that made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2026-09-26T15:08:49Z</dcterms:created>
  <dcterms:modified xsi:type="dcterms:W3CDTF">2026-09-26T15:08:49Z</dcterms:modified>
</cp:coreProperties>
</file>