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Evaluate" sheetId="2" state="visible" r:id="rId2"/>
    <sheet name="Optimize" sheetId="3" state="visible" r:id="rId3"/>
    <sheet name="Approximate" sheetId="4" state="visible" r:id="rId4"/>
    <sheet name="Service" sheetId="5" state="visible" r:id="rId5"/>
    <sheet name="Periodic" sheetId="6" state="visible" r:id="rId6"/>
    <sheet name="Lumpy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&quot;$&quot;#,##0.00"/>
    <numFmt numFmtId="166" formatCode="0.000000"/>
    <numFmt numFmtId="167" formatCode="0.00000000"/>
    <numFmt numFmtId="168" formatCode="0.0000000000"/>
  </numFmts>
  <fonts count="6">
    <font>
      <name val="Calibri"/>
      <family val="2"/>
      <color theme="1"/>
      <sz val="11"/>
      <scheme val="minor"/>
    </font>
    <font>
      <b val="1"/>
      <color rgb="00274060"/>
      <sz val="14"/>
    </font>
    <font>
      <i val="1"/>
      <color rgb="00666666"/>
      <sz val="9"/>
    </font>
    <font>
      <b val="1"/>
      <color rgb="00274060"/>
      <sz val="11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2" borderId="0" pivotButton="0" quotePrefix="0" xfId="0"/>
    <xf numFmtId="0" fontId="4" fillId="0" borderId="1" pivotButton="0" quotePrefix="0" xfId="0"/>
    <xf numFmtId="3" fontId="0" fillId="0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2" borderId="0" pivotButton="0" quotePrefix="0" xfId="0"/>
    <xf numFmtId="164" fontId="0" fillId="2" borderId="0" pivotButton="0" quotePrefix="0" xfId="0"/>
    <xf numFmtId="165" fontId="0" fillId="3" borderId="0" pivotButton="0" quotePrefix="0" xfId="0"/>
    <xf numFmtId="164" fontId="4" fillId="3" borderId="1" pivotButton="0" quotePrefix="0" xfId="0"/>
    <xf numFmtId="0" fontId="2" fillId="0" borderId="1" pivotButton="0" quotePrefix="0" xfId="0"/>
    <xf numFmtId="0" fontId="5" fillId="0" borderId="0" pivotButton="0" quotePrefix="0" xfId="0"/>
    <xf numFmtId="165" fontId="0" fillId="4" borderId="0" pivotButton="0" quotePrefix="0" xfId="0"/>
    <xf numFmtId="166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10" fontId="0" fillId="2" borderId="0" pivotButton="0" quotePrefix="0" xfId="0"/>
    <xf numFmtId="3" fontId="0" fillId="4" borderId="0" pivotButton="0" quotePrefix="0" xfId="0"/>
    <xf numFmtId="167" fontId="0" fillId="3" borderId="0" pivotButton="0" quotePrefix="0" xfId="0"/>
    <xf numFmtId="168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4" customWidth="1" min="9" max="9"/>
  </cols>
  <sheetData>
    <row r="1">
      <c r="A1" s="1" t="inlineStr">
        <is>
          <t>The (r, Q) policy, event by event</t>
        </is>
      </c>
    </row>
    <row r="2">
      <c r="A2" s="2" t="inlineStr">
        <is>
          <t>@sec-continuousreview-policy. Reorder point 4 and order quantity 5, set low so every state appears.</t>
        </is>
      </c>
    </row>
    <row r="3"/>
    <row r="4">
      <c r="A4" s="3" t="inlineStr">
        <is>
          <t>Policy</t>
        </is>
      </c>
    </row>
    <row r="5">
      <c r="A5" t="inlineStr">
        <is>
          <t>reorder point r</t>
        </is>
      </c>
      <c r="B5" s="4" t="n">
        <v>4</v>
      </c>
      <c r="C5" s="2" t="inlineStr">
        <is>
          <t>units</t>
        </is>
      </c>
    </row>
    <row r="6">
      <c r="A6" t="inlineStr">
        <is>
          <t>order quantity Q</t>
        </is>
      </c>
      <c r="B6" s="4" t="n">
        <v>5</v>
      </c>
      <c r="C6" s="2" t="inlineStr">
        <is>
          <t>units</t>
        </is>
      </c>
    </row>
    <row r="7"/>
    <row r="8">
      <c r="A8" s="5" t="inlineStr">
        <is>
          <t>week</t>
        </is>
      </c>
      <c r="B8" s="5" t="inlineStr">
        <is>
          <t>event</t>
        </is>
      </c>
      <c r="C8" s="5" t="inlineStr">
        <is>
          <t>I(t)</t>
        </is>
      </c>
      <c r="D8" s="5" t="inlineStr">
        <is>
          <t>IO(t)</t>
        </is>
      </c>
      <c r="E8" s="5" t="inlineStr">
        <is>
          <t>B(t)</t>
        </is>
      </c>
      <c r="F8" s="5" t="inlineStr">
        <is>
          <t>IN(t)</t>
        </is>
      </c>
      <c r="G8" s="5" t="inlineStr">
        <is>
          <t>IP(t)</t>
        </is>
      </c>
      <c r="H8" s="5" t="inlineStr">
        <is>
          <t>residual</t>
        </is>
      </c>
      <c r="I8" s="5" t="inlineStr">
        <is>
          <t>order placed</t>
        </is>
      </c>
    </row>
    <row r="9">
      <c r="A9" s="6" t="n">
        <v>0</v>
      </c>
      <c r="B9" t="inlineStr">
        <is>
          <t>start</t>
        </is>
      </c>
      <c r="C9" s="4" t="n">
        <v>6</v>
      </c>
      <c r="D9" s="4" t="n">
        <v>0</v>
      </c>
      <c r="E9" s="4" t="n">
        <v>0</v>
      </c>
      <c r="F9" s="7">
        <f>C9-E9</f>
        <v/>
      </c>
      <c r="G9" s="7">
        <f>C9+D9-E9</f>
        <v/>
      </c>
      <c r="H9" s="8">
        <f>G9-(C9+D9-E9)</f>
        <v/>
      </c>
      <c r="I9" s="7">
        <f>0</f>
        <v/>
      </c>
    </row>
    <row r="10">
      <c r="A10" s="6" t="n">
        <v>1</v>
      </c>
      <c r="B10" t="inlineStr">
        <is>
          <t>demand</t>
        </is>
      </c>
      <c r="C10" s="4" t="n">
        <v>5</v>
      </c>
      <c r="D10" s="4" t="n">
        <v>0</v>
      </c>
      <c r="E10" s="4" t="n">
        <v>0</v>
      </c>
      <c r="F10" s="7">
        <f>C10-E10</f>
        <v/>
      </c>
      <c r="G10" s="7">
        <f>C10+D10-E10</f>
        <v/>
      </c>
      <c r="H10" s="8">
        <f>G10-(C10+D10-E10)</f>
        <v/>
      </c>
      <c r="I10" s="7">
        <f>IF(D10&gt;D9,1,0)</f>
        <v/>
      </c>
    </row>
    <row r="11">
      <c r="A11" s="6" t="n">
        <v>2</v>
      </c>
      <c r="B11" t="inlineStr">
        <is>
          <t>demand, order 5</t>
        </is>
      </c>
      <c r="C11" s="4" t="n">
        <v>4</v>
      </c>
      <c r="D11" s="4" t="n">
        <v>5</v>
      </c>
      <c r="E11" s="4" t="n">
        <v>0</v>
      </c>
      <c r="F11" s="7">
        <f>C11-E11</f>
        <v/>
      </c>
      <c r="G11" s="7">
        <f>C11+D11-E11</f>
        <v/>
      </c>
      <c r="H11" s="8">
        <f>G11-(C11+D11-E11)</f>
        <v/>
      </c>
      <c r="I11" s="7">
        <f>IF(D11&gt;D10,1,0)</f>
        <v/>
      </c>
    </row>
    <row r="12">
      <c r="A12" s="6" t="n">
        <v>3</v>
      </c>
      <c r="B12" t="inlineStr">
        <is>
          <t>demand</t>
        </is>
      </c>
      <c r="C12" s="4" t="n">
        <v>3</v>
      </c>
      <c r="D12" s="4" t="n">
        <v>5</v>
      </c>
      <c r="E12" s="4" t="n">
        <v>0</v>
      </c>
      <c r="F12" s="7">
        <f>C12-E12</f>
        <v/>
      </c>
      <c r="G12" s="7">
        <f>C12+D12-E12</f>
        <v/>
      </c>
      <c r="H12" s="8">
        <f>G12-(C12+D12-E12)</f>
        <v/>
      </c>
      <c r="I12" s="7">
        <f>IF(D12&gt;D11,1,0)</f>
        <v/>
      </c>
    </row>
    <row r="13">
      <c r="A13" s="6" t="n">
        <v>5</v>
      </c>
      <c r="B13" t="inlineStr">
        <is>
          <t>demand</t>
        </is>
      </c>
      <c r="C13" s="4" t="n">
        <v>2</v>
      </c>
      <c r="D13" s="4" t="n">
        <v>5</v>
      </c>
      <c r="E13" s="4" t="n">
        <v>0</v>
      </c>
      <c r="F13" s="7">
        <f>C13-E13</f>
        <v/>
      </c>
      <c r="G13" s="7">
        <f>C13+D13-E13</f>
        <v/>
      </c>
      <c r="H13" s="8">
        <f>G13-(C13+D13-E13)</f>
        <v/>
      </c>
      <c r="I13" s="7">
        <f>IF(D13&gt;D12,1,0)</f>
        <v/>
      </c>
    </row>
    <row r="14">
      <c r="A14" s="6" t="n">
        <v>6</v>
      </c>
      <c r="B14" t="inlineStr">
        <is>
          <t>demand</t>
        </is>
      </c>
      <c r="C14" s="4" t="n">
        <v>1</v>
      </c>
      <c r="D14" s="4" t="n">
        <v>5</v>
      </c>
      <c r="E14" s="4" t="n">
        <v>0</v>
      </c>
      <c r="F14" s="7">
        <f>C14-E14</f>
        <v/>
      </c>
      <c r="G14" s="7">
        <f>C14+D14-E14</f>
        <v/>
      </c>
      <c r="H14" s="8">
        <f>G14-(C14+D14-E14)</f>
        <v/>
      </c>
      <c r="I14" s="7">
        <f>IF(D14&gt;D13,1,0)</f>
        <v/>
      </c>
    </row>
    <row r="15">
      <c r="A15" s="6" t="n">
        <v>7</v>
      </c>
      <c r="B15" t="inlineStr">
        <is>
          <t>demand</t>
        </is>
      </c>
      <c r="C15" s="4" t="n">
        <v>0</v>
      </c>
      <c r="D15" s="4" t="n">
        <v>5</v>
      </c>
      <c r="E15" s="4" t="n">
        <v>0</v>
      </c>
      <c r="F15" s="7">
        <f>C15-E15</f>
        <v/>
      </c>
      <c r="G15" s="7">
        <f>C15+D15-E15</f>
        <v/>
      </c>
      <c r="H15" s="8">
        <f>G15-(C15+D15-E15)</f>
        <v/>
      </c>
      <c r="I15" s="7">
        <f>IF(D15&gt;D14,1,0)</f>
        <v/>
      </c>
    </row>
    <row r="16">
      <c r="A16" s="6" t="n">
        <v>8</v>
      </c>
      <c r="B16" t="inlineStr">
        <is>
          <t>demand backordered, order 5</t>
        </is>
      </c>
      <c r="C16" s="4" t="n">
        <v>0</v>
      </c>
      <c r="D16" s="4" t="n">
        <v>10</v>
      </c>
      <c r="E16" s="4" t="n">
        <v>1</v>
      </c>
      <c r="F16" s="7">
        <f>C16-E16</f>
        <v/>
      </c>
      <c r="G16" s="7">
        <f>C16+D16-E16</f>
        <v/>
      </c>
      <c r="H16" s="8">
        <f>G16-(C16+D16-E16)</f>
        <v/>
      </c>
      <c r="I16" s="7">
        <f>IF(D16&gt;D15,1,0)</f>
        <v/>
      </c>
    </row>
    <row r="17">
      <c r="A17" s="6" t="n">
        <v>9</v>
      </c>
      <c r="B17" t="inlineStr">
        <is>
          <t>demand backordered</t>
        </is>
      </c>
      <c r="C17" s="4" t="n">
        <v>0</v>
      </c>
      <c r="D17" s="4" t="n">
        <v>10</v>
      </c>
      <c r="E17" s="4" t="n">
        <v>2</v>
      </c>
      <c r="F17" s="7">
        <f>C17-E17</f>
        <v/>
      </c>
      <c r="G17" s="7">
        <f>C17+D17-E17</f>
        <v/>
      </c>
      <c r="H17" s="8">
        <f>G17-(C17+D17-E17)</f>
        <v/>
      </c>
      <c r="I17" s="7">
        <f>IF(D17&gt;D16,1,0)</f>
        <v/>
      </c>
    </row>
    <row r="18">
      <c r="A18" s="6" t="n">
        <v>10</v>
      </c>
      <c r="B18" t="inlineStr">
        <is>
          <t>receipt of 5</t>
        </is>
      </c>
      <c r="C18" s="4" t="n">
        <v>3</v>
      </c>
      <c r="D18" s="4" t="n">
        <v>5</v>
      </c>
      <c r="E18" s="4" t="n">
        <v>0</v>
      </c>
      <c r="F18" s="7">
        <f>C18-E18</f>
        <v/>
      </c>
      <c r="G18" s="7">
        <f>C18+D18-E18</f>
        <v/>
      </c>
      <c r="H18" s="8">
        <f>G18-(C18+D18-E18)</f>
        <v/>
      </c>
      <c r="I18" s="7">
        <f>IF(D18&gt;D17,1,0)</f>
        <v/>
      </c>
    </row>
    <row r="19">
      <c r="A19" s="6" t="n">
        <v>11</v>
      </c>
      <c r="B19" t="inlineStr">
        <is>
          <t>demand</t>
        </is>
      </c>
      <c r="C19" s="4" t="n">
        <v>2</v>
      </c>
      <c r="D19" s="4" t="n">
        <v>5</v>
      </c>
      <c r="E19" s="4" t="n">
        <v>0</v>
      </c>
      <c r="F19" s="7">
        <f>C19-E19</f>
        <v/>
      </c>
      <c r="G19" s="7">
        <f>C19+D19-E19</f>
        <v/>
      </c>
      <c r="H19" s="8">
        <f>G19-(C19+D19-E19)</f>
        <v/>
      </c>
      <c r="I19" s="7">
        <f>IF(D19&gt;D18,1,0)</f>
        <v/>
      </c>
    </row>
    <row r="20">
      <c r="A20" s="6" t="n">
        <v>13</v>
      </c>
      <c r="B20" t="inlineStr">
        <is>
          <t>demand</t>
        </is>
      </c>
      <c r="C20" s="4" t="n">
        <v>1</v>
      </c>
      <c r="D20" s="4" t="n">
        <v>5</v>
      </c>
      <c r="E20" s="4" t="n">
        <v>0</v>
      </c>
      <c r="F20" s="7">
        <f>C20-E20</f>
        <v/>
      </c>
      <c r="G20" s="7">
        <f>C20+D20-E20</f>
        <v/>
      </c>
      <c r="H20" s="8">
        <f>G20-(C20+D20-E20)</f>
        <v/>
      </c>
      <c r="I20" s="7">
        <f>IF(D20&gt;D19,1,0)</f>
        <v/>
      </c>
    </row>
    <row r="21"/>
    <row r="22">
      <c r="A22" s="3" t="inlineStr">
        <is>
          <t>Checks</t>
        </is>
      </c>
    </row>
    <row r="23">
      <c r="A23" t="inlineStr">
        <is>
          <t>largest identity residual</t>
        </is>
      </c>
      <c r="B23" s="8">
        <f>MAX(H9:H20)</f>
        <v/>
      </c>
    </row>
    <row r="24">
      <c r="A24" t="inlineStr">
        <is>
          <t>orders placed</t>
        </is>
      </c>
      <c r="B24" s="7">
        <f>SUM(I9:I20)</f>
        <v/>
      </c>
    </row>
    <row r="25"/>
    <row r="26">
      <c r="A26" s="2" t="inlineStr">
        <is>
          <t>The residual is IP less I + IO - B and reads zero on every row.</t>
        </is>
      </c>
    </row>
    <row r="27">
      <c r="A27" s="2" t="inlineStr">
        <is>
          <t>Week 7 is the row to read: the shelf is empty and the position is 5, so no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40" customWidth="1" min="3" max="3"/>
    <col width="11" customWidth="1" min="4" max="4"/>
    <col width="11" customWidth="1" min="5" max="5"/>
    <col width="11" customWidth="1" min="6" max="6"/>
    <col width="17" customWidth="1" min="7" max="7"/>
    <col width="13" customWidth="1" min="8" max="8"/>
  </cols>
  <sheetData>
    <row r="1">
      <c r="A1" s="1" t="inlineStr">
        <is>
          <t>Evaluating a policy, exactly</t>
        </is>
      </c>
    </row>
    <row r="2">
      <c r="A2" s="2" t="inlineStr">
        <is>
          <t>@sec-continuousreview-batch. None of assumptions (h) to (l) of @sec-continuousreview-approx is used here.</t>
        </is>
      </c>
    </row>
    <row r="3"/>
    <row r="4">
      <c r="A4" s="3" t="inlineStr">
        <is>
          <t>Item</t>
        </is>
      </c>
    </row>
    <row r="5">
      <c r="A5" t="inlineStr">
        <is>
          <t>demand rate lambda</t>
        </is>
      </c>
      <c r="B5" s="4" t="n">
        <v>45</v>
      </c>
      <c r="C5" s="2" t="inlineStr">
        <is>
          <t>units per year</t>
        </is>
      </c>
    </row>
    <row r="6">
      <c r="A6" t="inlineStr">
        <is>
          <t>order cost k</t>
        </is>
      </c>
      <c r="B6" s="9" t="n">
        <v>220</v>
      </c>
      <c r="C6" s="2" t="inlineStr">
        <is>
          <t>dollars per order</t>
        </is>
      </c>
    </row>
    <row r="7">
      <c r="A7" t="inlineStr">
        <is>
          <t>holding cost h</t>
        </is>
      </c>
      <c r="B7" s="9" t="n">
        <v>950</v>
      </c>
      <c r="C7" s="2" t="inlineStr">
        <is>
          <t>dollars per unit per year</t>
        </is>
      </c>
    </row>
    <row r="8">
      <c r="A8" t="inlineStr">
        <is>
          <t>backorder cost b</t>
        </is>
      </c>
      <c r="B8" s="9" t="n">
        <v>8550</v>
      </c>
      <c r="C8" s="2" t="inlineStr">
        <is>
          <t>dollars per unit per year</t>
        </is>
      </c>
    </row>
    <row r="9">
      <c r="A9" t="inlineStr">
        <is>
          <t>lead time L</t>
        </is>
      </c>
      <c r="B9" s="10" t="n">
        <v>0.1666666666666667</v>
      </c>
      <c r="C9" s="2" t="inlineStr">
        <is>
          <t>years</t>
        </is>
      </c>
    </row>
    <row r="10">
      <c r="A10" t="inlineStr">
        <is>
          <t>theta = lambda L</t>
        </is>
      </c>
      <c r="B10" s="8">
        <f>B5*B9</f>
        <v/>
      </c>
    </row>
    <row r="11"/>
    <row r="12">
      <c r="A12" s="3" t="inlineStr">
        <is>
          <t>Policy</t>
        </is>
      </c>
      <c r="G12" s="5" t="inlineStr">
        <is>
          <t>Cost</t>
        </is>
      </c>
    </row>
    <row r="13">
      <c r="A13" t="inlineStr">
        <is>
          <t>reorder point r</t>
        </is>
      </c>
      <c r="B13" s="4" t="n">
        <v>8</v>
      </c>
      <c r="C13" s="2" t="inlineStr">
        <is>
          <t>units</t>
        </is>
      </c>
      <c r="G13" t="inlineStr">
        <is>
          <t>order frequency</t>
        </is>
      </c>
      <c r="H13" s="8">
        <f>B5/B14</f>
        <v/>
      </c>
    </row>
    <row r="14">
      <c r="A14" t="inlineStr">
        <is>
          <t>order quantity Q</t>
        </is>
      </c>
      <c r="B14" s="4" t="n">
        <v>7</v>
      </c>
      <c r="C14" s="2" t="inlineStr">
        <is>
          <t>units</t>
        </is>
      </c>
      <c r="G14" t="inlineStr">
        <is>
          <t>ordering</t>
        </is>
      </c>
      <c r="H14" s="11">
        <f>B6*H13</f>
        <v/>
      </c>
    </row>
    <row r="15">
      <c r="A15" t="inlineStr">
        <is>
          <t>Bbar</t>
        </is>
      </c>
      <c r="B15" s="8">
        <f>(INDEX($F$18:$F$58,$B$13+1)-INDEX($F$18:$F$58,$B$13+$B$14+1))/B14</f>
        <v/>
      </c>
      <c r="C15" s="2" t="inlineStr">
        <is>
          <t>units owed on average</t>
        </is>
      </c>
      <c r="G15" t="inlineStr">
        <is>
          <t>holding</t>
        </is>
      </c>
      <c r="H15" s="11">
        <f>B7*B17</f>
        <v/>
      </c>
    </row>
    <row r="16">
      <c r="A16" t="inlineStr">
        <is>
          <t>fill rate</t>
        </is>
      </c>
      <c r="B16" s="8">
        <f>1-(INDEX($E$18:$E$58,$B$13+1)-INDEX($E$18:$E$58,$B$13+$B$14+1))/B14</f>
        <v/>
      </c>
      <c r="C16" s="2" t="inlineStr">
        <is>
          <t>of demand; the ready rate too, under PASTA</t>
        </is>
      </c>
      <c r="G16" t="inlineStr">
        <is>
          <t>backorder</t>
        </is>
      </c>
      <c r="H16" s="11">
        <f>B8*B15</f>
        <v/>
      </c>
    </row>
    <row r="17">
      <c r="A17" s="5" t="inlineStr">
        <is>
          <t>Ibar</t>
        </is>
      </c>
      <c r="B17" s="12">
        <f>(B14+1)/2+B13-B10+B15</f>
        <v/>
      </c>
      <c r="C17" s="13" t="inlineStr">
        <is>
          <t>units on hand on average</t>
        </is>
      </c>
      <c r="D17" s="5" t="inlineStr">
        <is>
          <t>G0(s)</t>
        </is>
      </c>
      <c r="E17" s="5" t="inlineStr">
        <is>
          <t>G1(s)</t>
        </is>
      </c>
      <c r="F17" s="5" t="inlineStr">
        <is>
          <t>G2(s)</t>
        </is>
      </c>
      <c r="G17" s="14" t="inlineStr">
        <is>
          <t>total C(r,Q)</t>
        </is>
      </c>
      <c r="H17" s="15">
        <f>SUM(H14:H16)</f>
        <v/>
      </c>
    </row>
    <row r="18">
      <c r="A18" s="6" t="n">
        <v>0</v>
      </c>
      <c r="B18" s="16">
        <f>_xlfn.POISSON.DIST(A18,$B$10,FALSE)</f>
        <v/>
      </c>
      <c r="C18" s="16">
        <f>_xlfn.POISSON.DIST(A18,$B$10,TRUE)</f>
        <v/>
      </c>
      <c r="D18" s="16">
        <f>1-C18</f>
        <v/>
      </c>
      <c r="E18" s="8">
        <f>$B$10</f>
        <v/>
      </c>
      <c r="F18" s="8">
        <f>$B$10^2/2</f>
        <v/>
      </c>
    </row>
    <row r="19">
      <c r="A19" s="6" t="n">
        <v>1</v>
      </c>
      <c r="B19" s="16">
        <f>_xlfn.POISSON.DIST(A19,$B$10,FALSE)</f>
        <v/>
      </c>
      <c r="C19" s="16">
        <f>_xlfn.POISSON.DIST(A19,$B$10,TRUE)</f>
        <v/>
      </c>
      <c r="D19" s="16">
        <f>1-C19</f>
        <v/>
      </c>
      <c r="E19" s="8">
        <f>E18-D18</f>
        <v/>
      </c>
      <c r="F19" s="8">
        <f>F18-E19</f>
        <v/>
      </c>
    </row>
    <row r="20">
      <c r="A20" s="6" t="n">
        <v>2</v>
      </c>
      <c r="B20" s="16">
        <f>_xlfn.POISSON.DIST(A20,$B$10,FALSE)</f>
        <v/>
      </c>
      <c r="C20" s="16">
        <f>_xlfn.POISSON.DIST(A20,$B$10,TRUE)</f>
        <v/>
      </c>
      <c r="D20" s="16">
        <f>1-C20</f>
        <v/>
      </c>
      <c r="E20" s="8">
        <f>E19-D19</f>
        <v/>
      </c>
      <c r="F20" s="8">
        <f>F19-E20</f>
        <v/>
      </c>
    </row>
    <row r="21">
      <c r="A21" s="6" t="n">
        <v>3</v>
      </c>
      <c r="B21" s="16">
        <f>_xlfn.POISSON.DIST(A21,$B$10,FALSE)</f>
        <v/>
      </c>
      <c r="C21" s="16">
        <f>_xlfn.POISSON.DIST(A21,$B$10,TRUE)</f>
        <v/>
      </c>
      <c r="D21" s="16">
        <f>1-C21</f>
        <v/>
      </c>
      <c r="E21" s="8">
        <f>E20-D20</f>
        <v/>
      </c>
      <c r="F21" s="8">
        <f>F20-E21</f>
        <v/>
      </c>
    </row>
    <row r="22">
      <c r="A22" s="6" t="n">
        <v>4</v>
      </c>
      <c r="B22" s="16">
        <f>_xlfn.POISSON.DIST(A22,$B$10,FALSE)</f>
        <v/>
      </c>
      <c r="C22" s="16">
        <f>_xlfn.POISSON.DIST(A22,$B$10,TRUE)</f>
        <v/>
      </c>
      <c r="D22" s="16">
        <f>1-C22</f>
        <v/>
      </c>
      <c r="E22" s="8">
        <f>E21-D21</f>
        <v/>
      </c>
      <c r="F22" s="8">
        <f>F21-E22</f>
        <v/>
      </c>
    </row>
    <row r="23">
      <c r="A23" s="6" t="n">
        <v>5</v>
      </c>
      <c r="B23" s="16">
        <f>_xlfn.POISSON.DIST(A23,$B$10,FALSE)</f>
        <v/>
      </c>
      <c r="C23" s="16">
        <f>_xlfn.POISSON.DIST(A23,$B$10,TRUE)</f>
        <v/>
      </c>
      <c r="D23" s="16">
        <f>1-C23</f>
        <v/>
      </c>
      <c r="E23" s="8">
        <f>E22-D22</f>
        <v/>
      </c>
      <c r="F23" s="8">
        <f>F22-E23</f>
        <v/>
      </c>
    </row>
    <row r="24">
      <c r="A24" s="6" t="n">
        <v>6</v>
      </c>
      <c r="B24" s="16">
        <f>_xlfn.POISSON.DIST(A24,$B$10,FALSE)</f>
        <v/>
      </c>
      <c r="C24" s="16">
        <f>_xlfn.POISSON.DIST(A24,$B$10,TRUE)</f>
        <v/>
      </c>
      <c r="D24" s="16">
        <f>1-C24</f>
        <v/>
      </c>
      <c r="E24" s="8">
        <f>E23-D23</f>
        <v/>
      </c>
      <c r="F24" s="8">
        <f>F23-E24</f>
        <v/>
      </c>
    </row>
    <row r="25">
      <c r="A25" s="6" t="n">
        <v>7</v>
      </c>
      <c r="B25" s="16">
        <f>_xlfn.POISSON.DIST(A25,$B$10,FALSE)</f>
        <v/>
      </c>
      <c r="C25" s="16">
        <f>_xlfn.POISSON.DIST(A25,$B$10,TRUE)</f>
        <v/>
      </c>
      <c r="D25" s="16">
        <f>1-C25</f>
        <v/>
      </c>
      <c r="E25" s="8">
        <f>E24-D24</f>
        <v/>
      </c>
      <c r="F25" s="8">
        <f>F24-E25</f>
        <v/>
      </c>
    </row>
    <row r="26">
      <c r="A26" s="6" t="n">
        <v>8</v>
      </c>
      <c r="B26" s="16">
        <f>_xlfn.POISSON.DIST(A26,$B$10,FALSE)</f>
        <v/>
      </c>
      <c r="C26" s="16">
        <f>_xlfn.POISSON.DIST(A26,$B$10,TRUE)</f>
        <v/>
      </c>
      <c r="D26" s="16">
        <f>1-C26</f>
        <v/>
      </c>
      <c r="E26" s="8">
        <f>E25-D25</f>
        <v/>
      </c>
      <c r="F26" s="8">
        <f>F25-E26</f>
        <v/>
      </c>
    </row>
    <row r="27">
      <c r="A27" s="6" t="n">
        <v>9</v>
      </c>
      <c r="B27" s="16">
        <f>_xlfn.POISSON.DIST(A27,$B$10,FALSE)</f>
        <v/>
      </c>
      <c r="C27" s="16">
        <f>_xlfn.POISSON.DIST(A27,$B$10,TRUE)</f>
        <v/>
      </c>
      <c r="D27" s="16">
        <f>1-C27</f>
        <v/>
      </c>
      <c r="E27" s="8">
        <f>E26-D26</f>
        <v/>
      </c>
      <c r="F27" s="8">
        <f>F26-E27</f>
        <v/>
      </c>
    </row>
    <row r="28">
      <c r="A28" s="6" t="n">
        <v>10</v>
      </c>
      <c r="B28" s="16">
        <f>_xlfn.POISSON.DIST(A28,$B$10,FALSE)</f>
        <v/>
      </c>
      <c r="C28" s="16">
        <f>_xlfn.POISSON.DIST(A28,$B$10,TRUE)</f>
        <v/>
      </c>
      <c r="D28" s="16">
        <f>1-C28</f>
        <v/>
      </c>
      <c r="E28" s="8">
        <f>E27-D27</f>
        <v/>
      </c>
      <c r="F28" s="8">
        <f>F27-E28</f>
        <v/>
      </c>
    </row>
    <row r="29">
      <c r="A29" s="6" t="n">
        <v>11</v>
      </c>
      <c r="B29" s="16">
        <f>_xlfn.POISSON.DIST(A29,$B$10,FALSE)</f>
        <v/>
      </c>
      <c r="C29" s="16">
        <f>_xlfn.POISSON.DIST(A29,$B$10,TRUE)</f>
        <v/>
      </c>
      <c r="D29" s="16">
        <f>1-C29</f>
        <v/>
      </c>
      <c r="E29" s="8">
        <f>E28-D28</f>
        <v/>
      </c>
      <c r="F29" s="8">
        <f>F28-E29</f>
        <v/>
      </c>
    </row>
    <row r="30">
      <c r="A30" s="6" t="n">
        <v>12</v>
      </c>
      <c r="B30" s="16">
        <f>_xlfn.POISSON.DIST(A30,$B$10,FALSE)</f>
        <v/>
      </c>
      <c r="C30" s="16">
        <f>_xlfn.POISSON.DIST(A30,$B$10,TRUE)</f>
        <v/>
      </c>
      <c r="D30" s="16">
        <f>1-C30</f>
        <v/>
      </c>
      <c r="E30" s="8">
        <f>E29-D29</f>
        <v/>
      </c>
      <c r="F30" s="8">
        <f>F29-E30</f>
        <v/>
      </c>
    </row>
    <row r="31">
      <c r="A31" s="6" t="n">
        <v>13</v>
      </c>
      <c r="B31" s="16">
        <f>_xlfn.POISSON.DIST(A31,$B$10,FALSE)</f>
        <v/>
      </c>
      <c r="C31" s="16">
        <f>_xlfn.POISSON.DIST(A31,$B$10,TRUE)</f>
        <v/>
      </c>
      <c r="D31" s="16">
        <f>1-C31</f>
        <v/>
      </c>
      <c r="E31" s="8">
        <f>E30-D30</f>
        <v/>
      </c>
      <c r="F31" s="8">
        <f>F30-E31</f>
        <v/>
      </c>
    </row>
    <row r="32">
      <c r="A32" s="6" t="n">
        <v>14</v>
      </c>
      <c r="B32" s="16">
        <f>_xlfn.POISSON.DIST(A32,$B$10,FALSE)</f>
        <v/>
      </c>
      <c r="C32" s="16">
        <f>_xlfn.POISSON.DIST(A32,$B$10,TRUE)</f>
        <v/>
      </c>
      <c r="D32" s="16">
        <f>1-C32</f>
        <v/>
      </c>
      <c r="E32" s="8">
        <f>E31-D31</f>
        <v/>
      </c>
      <c r="F32" s="8">
        <f>F31-E32</f>
        <v/>
      </c>
    </row>
    <row r="33">
      <c r="A33" s="6" t="n">
        <v>15</v>
      </c>
      <c r="B33" s="16">
        <f>_xlfn.POISSON.DIST(A33,$B$10,FALSE)</f>
        <v/>
      </c>
      <c r="C33" s="16">
        <f>_xlfn.POISSON.DIST(A33,$B$10,TRUE)</f>
        <v/>
      </c>
      <c r="D33" s="16">
        <f>1-C33</f>
        <v/>
      </c>
      <c r="E33" s="8">
        <f>E32-D32</f>
        <v/>
      </c>
      <c r="F33" s="8">
        <f>F32-E33</f>
        <v/>
      </c>
    </row>
    <row r="34">
      <c r="A34" s="6" t="n">
        <v>16</v>
      </c>
      <c r="B34" s="16">
        <f>_xlfn.POISSON.DIST(A34,$B$10,FALSE)</f>
        <v/>
      </c>
      <c r="C34" s="16">
        <f>_xlfn.POISSON.DIST(A34,$B$10,TRUE)</f>
        <v/>
      </c>
      <c r="D34" s="16">
        <f>1-C34</f>
        <v/>
      </c>
      <c r="E34" s="8">
        <f>E33-D33</f>
        <v/>
      </c>
      <c r="F34" s="8">
        <f>F33-E34</f>
        <v/>
      </c>
    </row>
    <row r="35">
      <c r="A35" s="6" t="n">
        <v>17</v>
      </c>
      <c r="B35" s="16">
        <f>_xlfn.POISSON.DIST(A35,$B$10,FALSE)</f>
        <v/>
      </c>
      <c r="C35" s="16">
        <f>_xlfn.POISSON.DIST(A35,$B$10,TRUE)</f>
        <v/>
      </c>
      <c r="D35" s="16">
        <f>1-C35</f>
        <v/>
      </c>
      <c r="E35" s="8">
        <f>E34-D34</f>
        <v/>
      </c>
      <c r="F35" s="8">
        <f>F34-E35</f>
        <v/>
      </c>
    </row>
    <row r="36">
      <c r="A36" s="6" t="n">
        <v>18</v>
      </c>
      <c r="B36" s="16">
        <f>_xlfn.POISSON.DIST(A36,$B$10,FALSE)</f>
        <v/>
      </c>
      <c r="C36" s="16">
        <f>_xlfn.POISSON.DIST(A36,$B$10,TRUE)</f>
        <v/>
      </c>
      <c r="D36" s="16">
        <f>1-C36</f>
        <v/>
      </c>
      <c r="E36" s="8">
        <f>E35-D35</f>
        <v/>
      </c>
      <c r="F36" s="8">
        <f>F35-E36</f>
        <v/>
      </c>
    </row>
    <row r="37">
      <c r="A37" s="6" t="n">
        <v>19</v>
      </c>
      <c r="B37" s="16">
        <f>_xlfn.POISSON.DIST(A37,$B$10,FALSE)</f>
        <v/>
      </c>
      <c r="C37" s="16">
        <f>_xlfn.POISSON.DIST(A37,$B$10,TRUE)</f>
        <v/>
      </c>
      <c r="D37" s="16">
        <f>1-C37</f>
        <v/>
      </c>
      <c r="E37" s="8">
        <f>E36-D36</f>
        <v/>
      </c>
      <c r="F37" s="8">
        <f>F36-E37</f>
        <v/>
      </c>
    </row>
    <row r="38">
      <c r="A38" s="6" t="n">
        <v>20</v>
      </c>
      <c r="B38" s="16">
        <f>_xlfn.POISSON.DIST(A38,$B$10,FALSE)</f>
        <v/>
      </c>
      <c r="C38" s="16">
        <f>_xlfn.POISSON.DIST(A38,$B$10,TRUE)</f>
        <v/>
      </c>
      <c r="D38" s="16">
        <f>1-C38</f>
        <v/>
      </c>
      <c r="E38" s="8">
        <f>E37-D37</f>
        <v/>
      </c>
      <c r="F38" s="8">
        <f>F37-E38</f>
        <v/>
      </c>
    </row>
    <row r="39">
      <c r="A39" s="6" t="n">
        <v>21</v>
      </c>
      <c r="B39" s="16">
        <f>_xlfn.POISSON.DIST(A39,$B$10,FALSE)</f>
        <v/>
      </c>
      <c r="C39" s="16">
        <f>_xlfn.POISSON.DIST(A39,$B$10,TRUE)</f>
        <v/>
      </c>
      <c r="D39" s="16">
        <f>1-C39</f>
        <v/>
      </c>
      <c r="E39" s="8">
        <f>E38-D38</f>
        <v/>
      </c>
      <c r="F39" s="8">
        <f>F38-E39</f>
        <v/>
      </c>
    </row>
    <row r="40">
      <c r="A40" s="6" t="n">
        <v>22</v>
      </c>
      <c r="B40" s="16">
        <f>_xlfn.POISSON.DIST(A40,$B$10,FALSE)</f>
        <v/>
      </c>
      <c r="C40" s="16">
        <f>_xlfn.POISSON.DIST(A40,$B$10,TRUE)</f>
        <v/>
      </c>
      <c r="D40" s="16">
        <f>1-C40</f>
        <v/>
      </c>
      <c r="E40" s="8">
        <f>E39-D39</f>
        <v/>
      </c>
      <c r="F40" s="8">
        <f>F39-E40</f>
        <v/>
      </c>
    </row>
    <row r="41">
      <c r="A41" s="6" t="n">
        <v>23</v>
      </c>
      <c r="B41" s="16">
        <f>_xlfn.POISSON.DIST(A41,$B$10,FALSE)</f>
        <v/>
      </c>
      <c r="C41" s="16">
        <f>_xlfn.POISSON.DIST(A41,$B$10,TRUE)</f>
        <v/>
      </c>
      <c r="D41" s="16">
        <f>1-C41</f>
        <v/>
      </c>
      <c r="E41" s="8">
        <f>E40-D40</f>
        <v/>
      </c>
      <c r="F41" s="8">
        <f>F40-E41</f>
        <v/>
      </c>
    </row>
    <row r="42">
      <c r="A42" s="6" t="n">
        <v>24</v>
      </c>
      <c r="B42" s="16">
        <f>_xlfn.POISSON.DIST(A42,$B$10,FALSE)</f>
        <v/>
      </c>
      <c r="C42" s="16">
        <f>_xlfn.POISSON.DIST(A42,$B$10,TRUE)</f>
        <v/>
      </c>
      <c r="D42" s="16">
        <f>1-C42</f>
        <v/>
      </c>
      <c r="E42" s="8">
        <f>E41-D41</f>
        <v/>
      </c>
      <c r="F42" s="8">
        <f>F41-E42</f>
        <v/>
      </c>
    </row>
    <row r="43">
      <c r="A43" s="6" t="n">
        <v>25</v>
      </c>
      <c r="B43" s="16">
        <f>_xlfn.POISSON.DIST(A43,$B$10,FALSE)</f>
        <v/>
      </c>
      <c r="C43" s="16">
        <f>_xlfn.POISSON.DIST(A43,$B$10,TRUE)</f>
        <v/>
      </c>
      <c r="D43" s="16">
        <f>1-C43</f>
        <v/>
      </c>
      <c r="E43" s="8">
        <f>E42-D42</f>
        <v/>
      </c>
      <c r="F43" s="8">
        <f>F42-E43</f>
        <v/>
      </c>
    </row>
    <row r="44">
      <c r="A44" s="6" t="n">
        <v>26</v>
      </c>
      <c r="B44" s="16">
        <f>_xlfn.POISSON.DIST(A44,$B$10,FALSE)</f>
        <v/>
      </c>
      <c r="C44" s="16">
        <f>_xlfn.POISSON.DIST(A44,$B$10,TRUE)</f>
        <v/>
      </c>
      <c r="D44" s="16">
        <f>1-C44</f>
        <v/>
      </c>
      <c r="E44" s="8">
        <f>E43-D43</f>
        <v/>
      </c>
      <c r="F44" s="8">
        <f>F43-E44</f>
        <v/>
      </c>
    </row>
    <row r="45">
      <c r="A45" s="6" t="n">
        <v>27</v>
      </c>
      <c r="B45" s="16">
        <f>_xlfn.POISSON.DIST(A45,$B$10,FALSE)</f>
        <v/>
      </c>
      <c r="C45" s="16">
        <f>_xlfn.POISSON.DIST(A45,$B$10,TRUE)</f>
        <v/>
      </c>
      <c r="D45" s="16">
        <f>1-C45</f>
        <v/>
      </c>
      <c r="E45" s="8">
        <f>E44-D44</f>
        <v/>
      </c>
      <c r="F45" s="8">
        <f>F44-E45</f>
        <v/>
      </c>
    </row>
    <row r="46">
      <c r="A46" s="6" t="n">
        <v>28</v>
      </c>
      <c r="B46" s="16">
        <f>_xlfn.POISSON.DIST(A46,$B$10,FALSE)</f>
        <v/>
      </c>
      <c r="C46" s="16">
        <f>_xlfn.POISSON.DIST(A46,$B$10,TRUE)</f>
        <v/>
      </c>
      <c r="D46" s="16">
        <f>1-C46</f>
        <v/>
      </c>
      <c r="E46" s="8">
        <f>E45-D45</f>
        <v/>
      </c>
      <c r="F46" s="8">
        <f>F45-E46</f>
        <v/>
      </c>
    </row>
    <row r="47">
      <c r="A47" s="6" t="n">
        <v>29</v>
      </c>
      <c r="B47" s="16">
        <f>_xlfn.POISSON.DIST(A47,$B$10,FALSE)</f>
        <v/>
      </c>
      <c r="C47" s="16">
        <f>_xlfn.POISSON.DIST(A47,$B$10,TRUE)</f>
        <v/>
      </c>
      <c r="D47" s="16">
        <f>1-C47</f>
        <v/>
      </c>
      <c r="E47" s="8">
        <f>E46-D46</f>
        <v/>
      </c>
      <c r="F47" s="8">
        <f>F46-E47</f>
        <v/>
      </c>
    </row>
    <row r="48">
      <c r="A48" s="6" t="n">
        <v>30</v>
      </c>
      <c r="B48" s="16">
        <f>_xlfn.POISSON.DIST(A48,$B$10,FALSE)</f>
        <v/>
      </c>
      <c r="C48" s="16">
        <f>_xlfn.POISSON.DIST(A48,$B$10,TRUE)</f>
        <v/>
      </c>
      <c r="D48" s="16">
        <f>1-C48</f>
        <v/>
      </c>
      <c r="E48" s="8">
        <f>E47-D47</f>
        <v/>
      </c>
      <c r="F48" s="8">
        <f>F47-E48</f>
        <v/>
      </c>
    </row>
    <row r="49">
      <c r="A49" s="6" t="n">
        <v>31</v>
      </c>
      <c r="B49" s="16">
        <f>_xlfn.POISSON.DIST(A49,$B$10,FALSE)</f>
        <v/>
      </c>
      <c r="C49" s="16">
        <f>_xlfn.POISSON.DIST(A49,$B$10,TRUE)</f>
        <v/>
      </c>
      <c r="D49" s="16">
        <f>1-C49</f>
        <v/>
      </c>
      <c r="E49" s="8">
        <f>E48-D48</f>
        <v/>
      </c>
      <c r="F49" s="8">
        <f>F48-E49</f>
        <v/>
      </c>
    </row>
    <row r="50">
      <c r="A50" s="6" t="n">
        <v>32</v>
      </c>
      <c r="B50" s="16">
        <f>_xlfn.POISSON.DIST(A50,$B$10,FALSE)</f>
        <v/>
      </c>
      <c r="C50" s="16">
        <f>_xlfn.POISSON.DIST(A50,$B$10,TRUE)</f>
        <v/>
      </c>
      <c r="D50" s="16">
        <f>1-C50</f>
        <v/>
      </c>
      <c r="E50" s="8">
        <f>E49-D49</f>
        <v/>
      </c>
      <c r="F50" s="8">
        <f>F49-E50</f>
        <v/>
      </c>
    </row>
    <row r="51">
      <c r="A51" s="6" t="n">
        <v>33</v>
      </c>
      <c r="B51" s="16">
        <f>_xlfn.POISSON.DIST(A51,$B$10,FALSE)</f>
        <v/>
      </c>
      <c r="C51" s="16">
        <f>_xlfn.POISSON.DIST(A51,$B$10,TRUE)</f>
        <v/>
      </c>
      <c r="D51" s="16">
        <f>1-C51</f>
        <v/>
      </c>
      <c r="E51" s="8">
        <f>E50-D50</f>
        <v/>
      </c>
      <c r="F51" s="8">
        <f>F50-E51</f>
        <v/>
      </c>
    </row>
    <row r="52">
      <c r="A52" s="6" t="n">
        <v>34</v>
      </c>
      <c r="B52" s="16">
        <f>_xlfn.POISSON.DIST(A52,$B$10,FALSE)</f>
        <v/>
      </c>
      <c r="C52" s="16">
        <f>_xlfn.POISSON.DIST(A52,$B$10,TRUE)</f>
        <v/>
      </c>
      <c r="D52" s="16">
        <f>1-C52</f>
        <v/>
      </c>
      <c r="E52" s="8">
        <f>E51-D51</f>
        <v/>
      </c>
      <c r="F52" s="8">
        <f>F51-E52</f>
        <v/>
      </c>
    </row>
    <row r="53">
      <c r="A53" s="6" t="n">
        <v>35</v>
      </c>
      <c r="B53" s="16">
        <f>_xlfn.POISSON.DIST(A53,$B$10,FALSE)</f>
        <v/>
      </c>
      <c r="C53" s="16">
        <f>_xlfn.POISSON.DIST(A53,$B$10,TRUE)</f>
        <v/>
      </c>
      <c r="D53" s="16">
        <f>1-C53</f>
        <v/>
      </c>
      <c r="E53" s="8">
        <f>E52-D52</f>
        <v/>
      </c>
      <c r="F53" s="8">
        <f>F52-E53</f>
        <v/>
      </c>
    </row>
    <row r="54">
      <c r="A54" s="6" t="n">
        <v>36</v>
      </c>
      <c r="B54" s="16">
        <f>_xlfn.POISSON.DIST(A54,$B$10,FALSE)</f>
        <v/>
      </c>
      <c r="C54" s="16">
        <f>_xlfn.POISSON.DIST(A54,$B$10,TRUE)</f>
        <v/>
      </c>
      <c r="D54" s="16">
        <f>1-C54</f>
        <v/>
      </c>
      <c r="E54" s="8">
        <f>E53-D53</f>
        <v/>
      </c>
      <c r="F54" s="8">
        <f>F53-E54</f>
        <v/>
      </c>
    </row>
    <row r="55">
      <c r="A55" s="6" t="n">
        <v>37</v>
      </c>
      <c r="B55" s="16">
        <f>_xlfn.POISSON.DIST(A55,$B$10,FALSE)</f>
        <v/>
      </c>
      <c r="C55" s="16">
        <f>_xlfn.POISSON.DIST(A55,$B$10,TRUE)</f>
        <v/>
      </c>
      <c r="D55" s="16">
        <f>1-C55</f>
        <v/>
      </c>
      <c r="E55" s="8">
        <f>E54-D54</f>
        <v/>
      </c>
      <c r="F55" s="8">
        <f>F54-E55</f>
        <v/>
      </c>
    </row>
    <row r="56">
      <c r="A56" s="6" t="n">
        <v>38</v>
      </c>
      <c r="B56" s="16">
        <f>_xlfn.POISSON.DIST(A56,$B$10,FALSE)</f>
        <v/>
      </c>
      <c r="C56" s="16">
        <f>_xlfn.POISSON.DIST(A56,$B$10,TRUE)</f>
        <v/>
      </c>
      <c r="D56" s="16">
        <f>1-C56</f>
        <v/>
      </c>
      <c r="E56" s="8">
        <f>E55-D55</f>
        <v/>
      </c>
      <c r="F56" s="8">
        <f>F55-E56</f>
        <v/>
      </c>
    </row>
    <row r="57">
      <c r="A57" s="6" t="n">
        <v>39</v>
      </c>
      <c r="B57" s="16">
        <f>_xlfn.POISSON.DIST(A57,$B$10,FALSE)</f>
        <v/>
      </c>
      <c r="C57" s="16">
        <f>_xlfn.POISSON.DIST(A57,$B$10,TRUE)</f>
        <v/>
      </c>
      <c r="D57" s="16">
        <f>1-C57</f>
        <v/>
      </c>
      <c r="E57" s="8">
        <f>E56-D56</f>
        <v/>
      </c>
      <c r="F57" s="8">
        <f>F56-E57</f>
        <v/>
      </c>
    </row>
    <row r="58">
      <c r="A58" s="6" t="n">
        <v>40</v>
      </c>
      <c r="B58" s="16">
        <f>_xlfn.POISSON.DIST(A58,$B$10,FALSE)</f>
        <v/>
      </c>
      <c r="C58" s="16">
        <f>_xlfn.POISSON.DIST(A58,$B$10,TRUE)</f>
        <v/>
      </c>
      <c r="D58" s="16">
        <f>1-C58</f>
        <v/>
      </c>
      <c r="E58" s="8">
        <f>E57-D57</f>
        <v/>
      </c>
      <c r="F58" s="8">
        <f>F57-E58</f>
        <v/>
      </c>
    </row>
    <row r="59"/>
    <row r="60">
      <c r="A60" s="2" t="inlineStr">
        <is>
          <t>Change r or Q above and every figure moves. The block below never does.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1" customWidth="1" min="7" max="7"/>
  </cols>
  <sheetData>
    <row r="1">
      <c r="A1" s="1" t="inlineStr">
        <is>
          <t>Finding the best policy</t>
        </is>
      </c>
    </row>
    <row r="2">
      <c r="A2" s="2" t="inlineStr">
        <is>
          <t>@sec-continuousreview-algorithm. One row per step of the algorithm. No macros and no iteration setting.</t>
        </is>
      </c>
    </row>
    <row r="3"/>
    <row r="4">
      <c r="A4" s="3" t="inlineStr">
        <is>
          <t>Item</t>
        </is>
      </c>
    </row>
    <row r="5">
      <c r="A5" t="inlineStr">
        <is>
          <t>demand rate lambda</t>
        </is>
      </c>
      <c r="B5" s="4" t="n">
        <v>45</v>
      </c>
      <c r="C5" s="2" t="inlineStr">
        <is>
          <t>units per year</t>
        </is>
      </c>
    </row>
    <row r="6">
      <c r="A6" t="inlineStr">
        <is>
          <t>order cost k</t>
        </is>
      </c>
      <c r="B6" s="9" t="n">
        <v>220</v>
      </c>
      <c r="C6" s="2" t="inlineStr">
        <is>
          <t>dollars per order</t>
        </is>
      </c>
    </row>
    <row r="7">
      <c r="A7" t="inlineStr">
        <is>
          <t>holding cost h</t>
        </is>
      </c>
      <c r="B7" s="9" t="n">
        <v>950</v>
      </c>
      <c r="C7" s="2" t="inlineStr">
        <is>
          <t>dollars per unit per year</t>
        </is>
      </c>
    </row>
    <row r="8">
      <c r="A8" t="inlineStr">
        <is>
          <t>backorder cost b</t>
        </is>
      </c>
      <c r="B8" s="9" t="n">
        <v>8550</v>
      </c>
      <c r="C8" s="2" t="inlineStr">
        <is>
          <t>dollars per unit per year</t>
        </is>
      </c>
    </row>
    <row r="9">
      <c r="A9" t="inlineStr">
        <is>
          <t>lead time L</t>
        </is>
      </c>
      <c r="B9" s="10" t="n">
        <v>0.1666666666666667</v>
      </c>
      <c r="C9" s="2" t="inlineStr">
        <is>
          <t>years</t>
        </is>
      </c>
    </row>
    <row r="10">
      <c r="A10" t="inlineStr">
        <is>
          <t>theta = lambda L</t>
        </is>
      </c>
      <c r="B10" s="8">
        <f>B5*B9</f>
        <v/>
      </c>
    </row>
    <row r="11"/>
    <row r="12">
      <c r="A12" t="inlineStr">
        <is>
          <t>cost ratio w = b/(b+h)</t>
        </is>
      </c>
      <c r="B12" s="8">
        <f>B8/(B8+B7)</f>
        <v/>
      </c>
    </row>
    <row r="13">
      <c r="A13" t="inlineStr">
        <is>
          <t>S*, the best base-stock level</t>
        </is>
      </c>
      <c r="B13" s="7">
        <f>MATCH($B$12,B16:B56,1)</f>
        <v/>
      </c>
    </row>
    <row r="14">
      <c r="A14" s="2" t="inlineStr">
        <is>
          <t>The smallest S whose distribution function reaches the cost ratio.</t>
        </is>
      </c>
    </row>
    <row r="15">
      <c r="A15" s="5" t="inlineStr">
        <is>
          <t>s</t>
        </is>
      </c>
      <c r="B15" s="5" t="inlineStr">
        <is>
          <t>G(s)</t>
        </is>
      </c>
      <c r="C15" s="5" t="inlineStr">
        <is>
          <t>G1(s)</t>
        </is>
      </c>
      <c r="D15" s="5" t="inlineStr">
        <is>
          <t>C(s) = h*Ibar(s) + b*Bbar(s)</t>
        </is>
      </c>
    </row>
    <row r="16">
      <c r="A16" s="6" t="n">
        <v>0</v>
      </c>
      <c r="B16" s="16">
        <f>_xlfn.POISSON.DIST(A16,$B$10,TRUE)</f>
        <v/>
      </c>
      <c r="C16" s="8">
        <f>$B$10</f>
        <v/>
      </c>
      <c r="D16" s="11">
        <f>$B$7*(A16-$B$10+C16)+$B$8*C16</f>
        <v/>
      </c>
    </row>
    <row r="17">
      <c r="A17" s="6" t="n">
        <v>1</v>
      </c>
      <c r="B17" s="16">
        <f>_xlfn.POISSON.DIST(A17,$B$10,TRUE)</f>
        <v/>
      </c>
      <c r="C17" s="8">
        <f>C16-(1-B16)</f>
        <v/>
      </c>
      <c r="D17" s="11">
        <f>$B$7*(A17-$B$10+C17)+$B$8*C17</f>
        <v/>
      </c>
    </row>
    <row r="18">
      <c r="A18" s="6" t="n">
        <v>2</v>
      </c>
      <c r="B18" s="16">
        <f>_xlfn.POISSON.DIST(A18,$B$10,TRUE)</f>
        <v/>
      </c>
      <c r="C18" s="8">
        <f>C17-(1-B17)</f>
        <v/>
      </c>
      <c r="D18" s="11">
        <f>$B$7*(A18-$B$10+C18)+$B$8*C18</f>
        <v/>
      </c>
    </row>
    <row r="19">
      <c r="A19" s="6" t="n">
        <v>3</v>
      </c>
      <c r="B19" s="16">
        <f>_xlfn.POISSON.DIST(A19,$B$10,TRUE)</f>
        <v/>
      </c>
      <c r="C19" s="8">
        <f>C18-(1-B18)</f>
        <v/>
      </c>
      <c r="D19" s="11">
        <f>$B$7*(A19-$B$10+C19)+$B$8*C19</f>
        <v/>
      </c>
    </row>
    <row r="20">
      <c r="A20" s="6" t="n">
        <v>4</v>
      </c>
      <c r="B20" s="16">
        <f>_xlfn.POISSON.DIST(A20,$B$10,TRUE)</f>
        <v/>
      </c>
      <c r="C20" s="8">
        <f>C19-(1-B19)</f>
        <v/>
      </c>
      <c r="D20" s="11">
        <f>$B$7*(A20-$B$10+C20)+$B$8*C20</f>
        <v/>
      </c>
    </row>
    <row r="21">
      <c r="A21" s="6" t="n">
        <v>5</v>
      </c>
      <c r="B21" s="16">
        <f>_xlfn.POISSON.DIST(A21,$B$10,TRUE)</f>
        <v/>
      </c>
      <c r="C21" s="8">
        <f>C20-(1-B20)</f>
        <v/>
      </c>
      <c r="D21" s="11">
        <f>$B$7*(A21-$B$10+C21)+$B$8*C21</f>
        <v/>
      </c>
    </row>
    <row r="22">
      <c r="A22" s="6" t="n">
        <v>6</v>
      </c>
      <c r="B22" s="16">
        <f>_xlfn.POISSON.DIST(A22,$B$10,TRUE)</f>
        <v/>
      </c>
      <c r="C22" s="8">
        <f>C21-(1-B21)</f>
        <v/>
      </c>
      <c r="D22" s="11">
        <f>$B$7*(A22-$B$10+C22)+$B$8*C22</f>
        <v/>
      </c>
    </row>
    <row r="23">
      <c r="A23" s="6" t="n">
        <v>7</v>
      </c>
      <c r="B23" s="16">
        <f>_xlfn.POISSON.DIST(A23,$B$10,TRUE)</f>
        <v/>
      </c>
      <c r="C23" s="8">
        <f>C22-(1-B22)</f>
        <v/>
      </c>
      <c r="D23" s="11">
        <f>$B$7*(A23-$B$10+C23)+$B$8*C23</f>
        <v/>
      </c>
    </row>
    <row r="24">
      <c r="A24" s="6" t="n">
        <v>8</v>
      </c>
      <c r="B24" s="16">
        <f>_xlfn.POISSON.DIST(A24,$B$10,TRUE)</f>
        <v/>
      </c>
      <c r="C24" s="8">
        <f>C23-(1-B23)</f>
        <v/>
      </c>
      <c r="D24" s="11">
        <f>$B$7*(A24-$B$10+C24)+$B$8*C24</f>
        <v/>
      </c>
    </row>
    <row r="25">
      <c r="A25" s="6" t="n">
        <v>9</v>
      </c>
      <c r="B25" s="16">
        <f>_xlfn.POISSON.DIST(A25,$B$10,TRUE)</f>
        <v/>
      </c>
      <c r="C25" s="8">
        <f>C24-(1-B24)</f>
        <v/>
      </c>
      <c r="D25" s="11">
        <f>$B$7*(A25-$B$10+C25)+$B$8*C25</f>
        <v/>
      </c>
    </row>
    <row r="26">
      <c r="A26" s="6" t="n">
        <v>10</v>
      </c>
      <c r="B26" s="16">
        <f>_xlfn.POISSON.DIST(A26,$B$10,TRUE)</f>
        <v/>
      </c>
      <c r="C26" s="8">
        <f>C25-(1-B25)</f>
        <v/>
      </c>
      <c r="D26" s="11">
        <f>$B$7*(A26-$B$10+C26)+$B$8*C26</f>
        <v/>
      </c>
    </row>
    <row r="27">
      <c r="A27" s="6" t="n">
        <v>11</v>
      </c>
      <c r="B27" s="16">
        <f>_xlfn.POISSON.DIST(A27,$B$10,TRUE)</f>
        <v/>
      </c>
      <c r="C27" s="8">
        <f>C26-(1-B26)</f>
        <v/>
      </c>
      <c r="D27" s="11">
        <f>$B$7*(A27-$B$10+C27)+$B$8*C27</f>
        <v/>
      </c>
    </row>
    <row r="28">
      <c r="A28" s="6" t="n">
        <v>12</v>
      </c>
      <c r="B28" s="16">
        <f>_xlfn.POISSON.DIST(A28,$B$10,TRUE)</f>
        <v/>
      </c>
      <c r="C28" s="8">
        <f>C27-(1-B27)</f>
        <v/>
      </c>
      <c r="D28" s="11">
        <f>$B$7*(A28-$B$10+C28)+$B$8*C28</f>
        <v/>
      </c>
    </row>
    <row r="29">
      <c r="A29" s="6" t="n">
        <v>13</v>
      </c>
      <c r="B29" s="16">
        <f>_xlfn.POISSON.DIST(A29,$B$10,TRUE)</f>
        <v/>
      </c>
      <c r="C29" s="8">
        <f>C28-(1-B28)</f>
        <v/>
      </c>
      <c r="D29" s="11">
        <f>$B$7*(A29-$B$10+C29)+$B$8*C29</f>
        <v/>
      </c>
    </row>
    <row r="30">
      <c r="A30" s="6" t="n">
        <v>14</v>
      </c>
      <c r="B30" s="16">
        <f>_xlfn.POISSON.DIST(A30,$B$10,TRUE)</f>
        <v/>
      </c>
      <c r="C30" s="8">
        <f>C29-(1-B29)</f>
        <v/>
      </c>
      <c r="D30" s="11">
        <f>$B$7*(A30-$B$10+C30)+$B$8*C30</f>
        <v/>
      </c>
    </row>
    <row r="31">
      <c r="A31" s="6" t="n">
        <v>15</v>
      </c>
      <c r="B31" s="16">
        <f>_xlfn.POISSON.DIST(A31,$B$10,TRUE)</f>
        <v/>
      </c>
      <c r="C31" s="8">
        <f>C30-(1-B30)</f>
        <v/>
      </c>
      <c r="D31" s="11">
        <f>$B$7*(A31-$B$10+C31)+$B$8*C31</f>
        <v/>
      </c>
    </row>
    <row r="32">
      <c r="A32" s="6" t="n">
        <v>16</v>
      </c>
      <c r="B32" s="16">
        <f>_xlfn.POISSON.DIST(A32,$B$10,TRUE)</f>
        <v/>
      </c>
      <c r="C32" s="8">
        <f>C31-(1-B31)</f>
        <v/>
      </c>
      <c r="D32" s="11">
        <f>$B$7*(A32-$B$10+C32)+$B$8*C32</f>
        <v/>
      </c>
    </row>
    <row r="33">
      <c r="A33" s="6" t="n">
        <v>17</v>
      </c>
      <c r="B33" s="16">
        <f>_xlfn.POISSON.DIST(A33,$B$10,TRUE)</f>
        <v/>
      </c>
      <c r="C33" s="8">
        <f>C32-(1-B32)</f>
        <v/>
      </c>
      <c r="D33" s="11">
        <f>$B$7*(A33-$B$10+C33)+$B$8*C33</f>
        <v/>
      </c>
    </row>
    <row r="34">
      <c r="A34" s="6" t="n">
        <v>18</v>
      </c>
      <c r="B34" s="16">
        <f>_xlfn.POISSON.DIST(A34,$B$10,TRUE)</f>
        <v/>
      </c>
      <c r="C34" s="8">
        <f>C33-(1-B33)</f>
        <v/>
      </c>
      <c r="D34" s="11">
        <f>$B$7*(A34-$B$10+C34)+$B$8*C34</f>
        <v/>
      </c>
    </row>
    <row r="35">
      <c r="A35" s="6" t="n">
        <v>19</v>
      </c>
      <c r="B35" s="16">
        <f>_xlfn.POISSON.DIST(A35,$B$10,TRUE)</f>
        <v/>
      </c>
      <c r="C35" s="8">
        <f>C34-(1-B34)</f>
        <v/>
      </c>
      <c r="D35" s="11">
        <f>$B$7*(A35-$B$10+C35)+$B$8*C35</f>
        <v/>
      </c>
    </row>
    <row r="36">
      <c r="A36" s="6" t="n">
        <v>20</v>
      </c>
      <c r="B36" s="16">
        <f>_xlfn.POISSON.DIST(A36,$B$10,TRUE)</f>
        <v/>
      </c>
      <c r="C36" s="8">
        <f>C35-(1-B35)</f>
        <v/>
      </c>
      <c r="D36" s="11">
        <f>$B$7*(A36-$B$10+C36)+$B$8*C36</f>
        <v/>
      </c>
    </row>
    <row r="37">
      <c r="A37" s="6" t="n">
        <v>21</v>
      </c>
      <c r="B37" s="16">
        <f>_xlfn.POISSON.DIST(A37,$B$10,TRUE)</f>
        <v/>
      </c>
      <c r="C37" s="8">
        <f>C36-(1-B36)</f>
        <v/>
      </c>
      <c r="D37" s="11">
        <f>$B$7*(A37-$B$10+C37)+$B$8*C37</f>
        <v/>
      </c>
    </row>
    <row r="38">
      <c r="A38" s="6" t="n">
        <v>22</v>
      </c>
      <c r="B38" s="16">
        <f>_xlfn.POISSON.DIST(A38,$B$10,TRUE)</f>
        <v/>
      </c>
      <c r="C38" s="8">
        <f>C37-(1-B37)</f>
        <v/>
      </c>
      <c r="D38" s="11">
        <f>$B$7*(A38-$B$10+C38)+$B$8*C38</f>
        <v/>
      </c>
    </row>
    <row r="39">
      <c r="A39" s="6" t="n">
        <v>23</v>
      </c>
      <c r="B39" s="16">
        <f>_xlfn.POISSON.DIST(A39,$B$10,TRUE)</f>
        <v/>
      </c>
      <c r="C39" s="8">
        <f>C38-(1-B38)</f>
        <v/>
      </c>
      <c r="D39" s="11">
        <f>$B$7*(A39-$B$10+C39)+$B$8*C39</f>
        <v/>
      </c>
    </row>
    <row r="40">
      <c r="A40" s="6" t="n">
        <v>24</v>
      </c>
      <c r="B40" s="16">
        <f>_xlfn.POISSON.DIST(A40,$B$10,TRUE)</f>
        <v/>
      </c>
      <c r="C40" s="8">
        <f>C39-(1-B39)</f>
        <v/>
      </c>
      <c r="D40" s="11">
        <f>$B$7*(A40-$B$10+C40)+$B$8*C40</f>
        <v/>
      </c>
    </row>
    <row r="41">
      <c r="A41" s="6" t="n">
        <v>25</v>
      </c>
      <c r="B41" s="16">
        <f>_xlfn.POISSON.DIST(A41,$B$10,TRUE)</f>
        <v/>
      </c>
      <c r="C41" s="8">
        <f>C40-(1-B40)</f>
        <v/>
      </c>
      <c r="D41" s="11">
        <f>$B$7*(A41-$B$10+C41)+$B$8*C41</f>
        <v/>
      </c>
    </row>
    <row r="42">
      <c r="A42" s="6" t="n">
        <v>26</v>
      </c>
      <c r="B42" s="16">
        <f>_xlfn.POISSON.DIST(A42,$B$10,TRUE)</f>
        <v/>
      </c>
      <c r="C42" s="8">
        <f>C41-(1-B41)</f>
        <v/>
      </c>
      <c r="D42" s="11">
        <f>$B$7*(A42-$B$10+C42)+$B$8*C42</f>
        <v/>
      </c>
    </row>
    <row r="43">
      <c r="A43" s="6" t="n">
        <v>27</v>
      </c>
      <c r="B43" s="16">
        <f>_xlfn.POISSON.DIST(A43,$B$10,TRUE)</f>
        <v/>
      </c>
      <c r="C43" s="8">
        <f>C42-(1-B42)</f>
        <v/>
      </c>
      <c r="D43" s="11">
        <f>$B$7*(A43-$B$10+C43)+$B$8*C43</f>
        <v/>
      </c>
    </row>
    <row r="44">
      <c r="A44" s="6" t="n">
        <v>28</v>
      </c>
      <c r="B44" s="16">
        <f>_xlfn.POISSON.DIST(A44,$B$10,TRUE)</f>
        <v/>
      </c>
      <c r="C44" s="8">
        <f>C43-(1-B43)</f>
        <v/>
      </c>
      <c r="D44" s="11">
        <f>$B$7*(A44-$B$10+C44)+$B$8*C44</f>
        <v/>
      </c>
    </row>
    <row r="45">
      <c r="A45" s="6" t="n">
        <v>29</v>
      </c>
      <c r="B45" s="16">
        <f>_xlfn.POISSON.DIST(A45,$B$10,TRUE)</f>
        <v/>
      </c>
      <c r="C45" s="8">
        <f>C44-(1-B44)</f>
        <v/>
      </c>
      <c r="D45" s="11">
        <f>$B$7*(A45-$B$10+C45)+$B$8*C45</f>
        <v/>
      </c>
    </row>
    <row r="46">
      <c r="A46" s="6" t="n">
        <v>30</v>
      </c>
      <c r="B46" s="16">
        <f>_xlfn.POISSON.DIST(A46,$B$10,TRUE)</f>
        <v/>
      </c>
      <c r="C46" s="8">
        <f>C45-(1-B45)</f>
        <v/>
      </c>
      <c r="D46" s="11">
        <f>$B$7*(A46-$B$10+C46)+$B$8*C46</f>
        <v/>
      </c>
    </row>
    <row r="47">
      <c r="A47" s="6" t="n">
        <v>31</v>
      </c>
      <c r="B47" s="16">
        <f>_xlfn.POISSON.DIST(A47,$B$10,TRUE)</f>
        <v/>
      </c>
      <c r="C47" s="8">
        <f>C46-(1-B46)</f>
        <v/>
      </c>
      <c r="D47" s="11">
        <f>$B$7*(A47-$B$10+C47)+$B$8*C47</f>
        <v/>
      </c>
    </row>
    <row r="48">
      <c r="A48" s="6" t="n">
        <v>32</v>
      </c>
      <c r="B48" s="16">
        <f>_xlfn.POISSON.DIST(A48,$B$10,TRUE)</f>
        <v/>
      </c>
      <c r="C48" s="8">
        <f>C47-(1-B47)</f>
        <v/>
      </c>
      <c r="D48" s="11">
        <f>$B$7*(A48-$B$10+C48)+$B$8*C48</f>
        <v/>
      </c>
    </row>
    <row r="49">
      <c r="A49" s="6" t="n">
        <v>33</v>
      </c>
      <c r="B49" s="16">
        <f>_xlfn.POISSON.DIST(A49,$B$10,TRUE)</f>
        <v/>
      </c>
      <c r="C49" s="8">
        <f>C48-(1-B48)</f>
        <v/>
      </c>
      <c r="D49" s="11">
        <f>$B$7*(A49-$B$10+C49)+$B$8*C49</f>
        <v/>
      </c>
    </row>
    <row r="50">
      <c r="A50" s="6" t="n">
        <v>34</v>
      </c>
      <c r="B50" s="16">
        <f>_xlfn.POISSON.DIST(A50,$B$10,TRUE)</f>
        <v/>
      </c>
      <c r="C50" s="8">
        <f>C49-(1-B49)</f>
        <v/>
      </c>
      <c r="D50" s="11">
        <f>$B$7*(A50-$B$10+C50)+$B$8*C50</f>
        <v/>
      </c>
    </row>
    <row r="51">
      <c r="A51" s="6" t="n">
        <v>35</v>
      </c>
      <c r="B51" s="16">
        <f>_xlfn.POISSON.DIST(A51,$B$10,TRUE)</f>
        <v/>
      </c>
      <c r="C51" s="8">
        <f>C50-(1-B50)</f>
        <v/>
      </c>
      <c r="D51" s="11">
        <f>$B$7*(A51-$B$10+C51)+$B$8*C51</f>
        <v/>
      </c>
    </row>
    <row r="52">
      <c r="A52" s="6" t="n">
        <v>36</v>
      </c>
      <c r="B52" s="16">
        <f>_xlfn.POISSON.DIST(A52,$B$10,TRUE)</f>
        <v/>
      </c>
      <c r="C52" s="8">
        <f>C51-(1-B51)</f>
        <v/>
      </c>
      <c r="D52" s="11">
        <f>$B$7*(A52-$B$10+C52)+$B$8*C52</f>
        <v/>
      </c>
    </row>
    <row r="53">
      <c r="A53" s="6" t="n">
        <v>37</v>
      </c>
      <c r="B53" s="16">
        <f>_xlfn.POISSON.DIST(A53,$B$10,TRUE)</f>
        <v/>
      </c>
      <c r="C53" s="8">
        <f>C52-(1-B52)</f>
        <v/>
      </c>
      <c r="D53" s="11">
        <f>$B$7*(A53-$B$10+C53)+$B$8*C53</f>
        <v/>
      </c>
    </row>
    <row r="54">
      <c r="A54" s="6" t="n">
        <v>38</v>
      </c>
      <c r="B54" s="16">
        <f>_xlfn.POISSON.DIST(A54,$B$10,TRUE)</f>
        <v/>
      </c>
      <c r="C54" s="8">
        <f>C53-(1-B53)</f>
        <v/>
      </c>
      <c r="D54" s="11">
        <f>$B$7*(A54-$B$10+C54)+$B$8*C54</f>
        <v/>
      </c>
    </row>
    <row r="55">
      <c r="A55" s="6" t="n">
        <v>39</v>
      </c>
      <c r="B55" s="16">
        <f>_xlfn.POISSON.DIST(A55,$B$10,TRUE)</f>
        <v/>
      </c>
      <c r="C55" s="8">
        <f>C54-(1-B54)</f>
        <v/>
      </c>
      <c r="D55" s="11">
        <f>$B$7*(A55-$B$10+C55)+$B$8*C55</f>
        <v/>
      </c>
    </row>
    <row r="56">
      <c r="A56" s="6" t="n">
        <v>40</v>
      </c>
      <c r="B56" s="16">
        <f>_xlfn.POISSON.DIST(A56,$B$10,TRUE)</f>
        <v/>
      </c>
      <c r="C56" s="8">
        <f>C55-(1-B55)</f>
        <v/>
      </c>
      <c r="D56" s="11">
        <f>$B$7*(A56-$B$10+C56)+$B$8*C56</f>
        <v/>
      </c>
    </row>
    <row r="57"/>
    <row r="58"/>
    <row r="59">
      <c r="A59" s="3" t="inlineStr">
        <is>
          <t>Algorithm Optimize_rq</t>
        </is>
      </c>
    </row>
    <row r="60">
      <c r="A60" s="5" t="inlineStr">
        <is>
          <t>step</t>
        </is>
      </c>
      <c r="B60" s="5" t="inlineStr">
        <is>
          <t>Q</t>
        </is>
      </c>
      <c r="C60" s="5" t="inlineStr">
        <is>
          <t>r</t>
        </is>
      </c>
      <c r="D60" s="5" t="inlineStr">
        <is>
          <t>C*</t>
        </is>
      </c>
      <c r="E60" s="5" t="inlineStr">
        <is>
          <t>C(r)</t>
        </is>
      </c>
      <c r="F60" s="5" t="inlineStr">
        <is>
          <t>C(r+Q+1)</t>
        </is>
      </c>
      <c r="G60" s="5" t="inlineStr">
        <is>
          <t>stopped</t>
        </is>
      </c>
    </row>
    <row r="61">
      <c r="A61" s="6" t="n">
        <v>0</v>
      </c>
      <c r="B61" s="7">
        <f>1</f>
        <v/>
      </c>
      <c r="C61" s="7">
        <f>$B$13-1</f>
        <v/>
      </c>
      <c r="D61" s="11">
        <f>$B$6*$B$5+INDEX($D$16:$D$56,$B$13+1)</f>
        <v/>
      </c>
      <c r="E61" s="11">
        <f>INDEX($D$16:$D$56,C61+1)</f>
        <v/>
      </c>
      <c r="F61" s="11">
        <f>INDEX($D$16:$D$56,C61+B61+2)</f>
        <v/>
      </c>
      <c r="G61" s="17">
        <f>FALSE</f>
        <v/>
      </c>
    </row>
    <row r="62">
      <c r="A62" s="6" t="n">
        <v>1</v>
      </c>
      <c r="B62" s="7">
        <f>IF(G62,B61,B61+1)</f>
        <v/>
      </c>
      <c r="C62" s="7">
        <f>IF(G62,C61,IF(E61&lt;=F61,C61-1,C61))</f>
        <v/>
      </c>
      <c r="D62" s="11">
        <f>IF(G62,D61,D61-(D61-MIN(E61,F61))/B62)</f>
        <v/>
      </c>
      <c r="E62" s="11">
        <f>INDEX($D$16:$D$56,C62+1)</f>
        <v/>
      </c>
      <c r="F62" s="11">
        <f>INDEX($D$16:$D$56,C62+B62+2)</f>
        <v/>
      </c>
      <c r="G62" s="17">
        <f>OR(G61,MIN(E61,F61)&gt;=D61)</f>
        <v/>
      </c>
    </row>
    <row r="63">
      <c r="A63" s="6" t="n">
        <v>2</v>
      </c>
      <c r="B63" s="7">
        <f>IF(G63,B62,B62+1)</f>
        <v/>
      </c>
      <c r="C63" s="7">
        <f>IF(G63,C62,IF(E62&lt;=F62,C62-1,C62))</f>
        <v/>
      </c>
      <c r="D63" s="11">
        <f>IF(G63,D62,D62-(D62-MIN(E62,F62))/B63)</f>
        <v/>
      </c>
      <c r="E63" s="11">
        <f>INDEX($D$16:$D$56,C63+1)</f>
        <v/>
      </c>
      <c r="F63" s="11">
        <f>INDEX($D$16:$D$56,C63+B63+2)</f>
        <v/>
      </c>
      <c r="G63" s="17">
        <f>OR(G62,MIN(E62,F62)&gt;=D62)</f>
        <v/>
      </c>
    </row>
    <row r="64">
      <c r="A64" s="6" t="n">
        <v>3</v>
      </c>
      <c r="B64" s="7">
        <f>IF(G64,B63,B63+1)</f>
        <v/>
      </c>
      <c r="C64" s="7">
        <f>IF(G64,C63,IF(E63&lt;=F63,C63-1,C63))</f>
        <v/>
      </c>
      <c r="D64" s="11">
        <f>IF(G64,D63,D63-(D63-MIN(E63,F63))/B64)</f>
        <v/>
      </c>
      <c r="E64" s="11">
        <f>INDEX($D$16:$D$56,C64+1)</f>
        <v/>
      </c>
      <c r="F64" s="11">
        <f>INDEX($D$16:$D$56,C64+B64+2)</f>
        <v/>
      </c>
      <c r="G64" s="17">
        <f>OR(G63,MIN(E63,F63)&gt;=D63)</f>
        <v/>
      </c>
    </row>
    <row r="65">
      <c r="A65" s="6" t="n">
        <v>4</v>
      </c>
      <c r="B65" s="7">
        <f>IF(G65,B64,B64+1)</f>
        <v/>
      </c>
      <c r="C65" s="7">
        <f>IF(G65,C64,IF(E64&lt;=F64,C64-1,C64))</f>
        <v/>
      </c>
      <c r="D65" s="11">
        <f>IF(G65,D64,D64-(D64-MIN(E64,F64))/B65)</f>
        <v/>
      </c>
      <c r="E65" s="11">
        <f>INDEX($D$16:$D$56,C65+1)</f>
        <v/>
      </c>
      <c r="F65" s="11">
        <f>INDEX($D$16:$D$56,C65+B65+2)</f>
        <v/>
      </c>
      <c r="G65" s="17">
        <f>OR(G64,MIN(E64,F64)&gt;=D64)</f>
        <v/>
      </c>
    </row>
    <row r="66">
      <c r="A66" s="6" t="n">
        <v>5</v>
      </c>
      <c r="B66" s="7">
        <f>IF(G66,B65,B65+1)</f>
        <v/>
      </c>
      <c r="C66" s="7">
        <f>IF(G66,C65,IF(E65&lt;=F65,C65-1,C65))</f>
        <v/>
      </c>
      <c r="D66" s="11">
        <f>IF(G66,D65,D65-(D65-MIN(E65,F65))/B66)</f>
        <v/>
      </c>
      <c r="E66" s="11">
        <f>INDEX($D$16:$D$56,C66+1)</f>
        <v/>
      </c>
      <c r="F66" s="11">
        <f>INDEX($D$16:$D$56,C66+B66+2)</f>
        <v/>
      </c>
      <c r="G66" s="17">
        <f>OR(G65,MIN(E65,F65)&gt;=D65)</f>
        <v/>
      </c>
    </row>
    <row r="67">
      <c r="A67" s="6" t="n">
        <v>6</v>
      </c>
      <c r="B67" s="7">
        <f>IF(G67,B66,B66+1)</f>
        <v/>
      </c>
      <c r="C67" s="7">
        <f>IF(G67,C66,IF(E66&lt;=F66,C66-1,C66))</f>
        <v/>
      </c>
      <c r="D67" s="11">
        <f>IF(G67,D66,D66-(D66-MIN(E66,F66))/B67)</f>
        <v/>
      </c>
      <c r="E67" s="11">
        <f>INDEX($D$16:$D$56,C67+1)</f>
        <v/>
      </c>
      <c r="F67" s="11">
        <f>INDEX($D$16:$D$56,C67+B67+2)</f>
        <v/>
      </c>
      <c r="G67" s="17">
        <f>OR(G66,MIN(E66,F66)&gt;=D66)</f>
        <v/>
      </c>
    </row>
    <row r="68">
      <c r="A68" s="6" t="n">
        <v>7</v>
      </c>
      <c r="B68" s="7">
        <f>IF(G68,B67,B67+1)</f>
        <v/>
      </c>
      <c r="C68" s="7">
        <f>IF(G68,C67,IF(E67&lt;=F67,C67-1,C67))</f>
        <v/>
      </c>
      <c r="D68" s="11">
        <f>IF(G68,D67,D67-(D67-MIN(E67,F67))/B68)</f>
        <v/>
      </c>
      <c r="E68" s="11">
        <f>INDEX($D$16:$D$56,C68+1)</f>
        <v/>
      </c>
      <c r="F68" s="11">
        <f>INDEX($D$16:$D$56,C68+B68+2)</f>
        <v/>
      </c>
      <c r="G68" s="17">
        <f>OR(G67,MIN(E67,F67)&gt;=D67)</f>
        <v/>
      </c>
    </row>
    <row r="69">
      <c r="A69" s="6" t="n">
        <v>8</v>
      </c>
      <c r="B69" s="7">
        <f>IF(G69,B68,B68+1)</f>
        <v/>
      </c>
      <c r="C69" s="7">
        <f>IF(G69,C68,IF(E68&lt;=F68,C68-1,C68))</f>
        <v/>
      </c>
      <c r="D69" s="11">
        <f>IF(G69,D68,D68-(D68-MIN(E68,F68))/B69)</f>
        <v/>
      </c>
      <c r="E69" s="11">
        <f>INDEX($D$16:$D$56,C69+1)</f>
        <v/>
      </c>
      <c r="F69" s="11">
        <f>INDEX($D$16:$D$56,C69+B69+2)</f>
        <v/>
      </c>
      <c r="G69" s="17">
        <f>OR(G68,MIN(E68,F68)&gt;=D68)</f>
        <v/>
      </c>
    </row>
    <row r="70">
      <c r="A70" s="6" t="n">
        <v>9</v>
      </c>
      <c r="B70" s="7">
        <f>IF(G70,B69,B69+1)</f>
        <v/>
      </c>
      <c r="C70" s="7">
        <f>IF(G70,C69,IF(E69&lt;=F69,C69-1,C69))</f>
        <v/>
      </c>
      <c r="D70" s="11">
        <f>IF(G70,D69,D69-(D69-MIN(E69,F69))/B70)</f>
        <v/>
      </c>
      <c r="E70" s="11">
        <f>INDEX($D$16:$D$56,C70+1)</f>
        <v/>
      </c>
      <c r="F70" s="11">
        <f>INDEX($D$16:$D$56,C70+B70+2)</f>
        <v/>
      </c>
      <c r="G70" s="17">
        <f>OR(G69,MIN(E69,F69)&gt;=D69)</f>
        <v/>
      </c>
    </row>
    <row r="71">
      <c r="A71" s="6" t="n">
        <v>10</v>
      </c>
      <c r="B71" s="7">
        <f>IF(G71,B70,B70+1)</f>
        <v/>
      </c>
      <c r="C71" s="7">
        <f>IF(G71,C70,IF(E70&lt;=F70,C70-1,C70))</f>
        <v/>
      </c>
      <c r="D71" s="11">
        <f>IF(G71,D70,D70-(D70-MIN(E70,F70))/B71)</f>
        <v/>
      </c>
      <c r="E71" s="11">
        <f>INDEX($D$16:$D$56,C71+1)</f>
        <v/>
      </c>
      <c r="F71" s="11">
        <f>INDEX($D$16:$D$56,C71+B71+2)</f>
        <v/>
      </c>
      <c r="G71" s="17">
        <f>OR(G70,MIN(E70,F70)&gt;=D70)</f>
        <v/>
      </c>
    </row>
    <row r="72">
      <c r="A72" s="6" t="n">
        <v>11</v>
      </c>
      <c r="B72" s="7">
        <f>IF(G72,B71,B71+1)</f>
        <v/>
      </c>
      <c r="C72" s="7">
        <f>IF(G72,C71,IF(E71&lt;=F71,C71-1,C71))</f>
        <v/>
      </c>
      <c r="D72" s="11">
        <f>IF(G72,D71,D71-(D71-MIN(E71,F71))/B72)</f>
        <v/>
      </c>
      <c r="E72" s="11">
        <f>INDEX($D$16:$D$56,C72+1)</f>
        <v/>
      </c>
      <c r="F72" s="11">
        <f>INDEX($D$16:$D$56,C72+B72+2)</f>
        <v/>
      </c>
      <c r="G72" s="17">
        <f>OR(G71,MIN(E71,F71)&gt;=D71)</f>
        <v/>
      </c>
    </row>
    <row r="73">
      <c r="A73" s="6" t="n">
        <v>12</v>
      </c>
      <c r="B73" s="7">
        <f>IF(G73,B72,B72+1)</f>
        <v/>
      </c>
      <c r="C73" s="7">
        <f>IF(G73,C72,IF(E72&lt;=F72,C72-1,C72))</f>
        <v/>
      </c>
      <c r="D73" s="11">
        <f>IF(G73,D72,D72-(D72-MIN(E72,F72))/B73)</f>
        <v/>
      </c>
      <c r="E73" s="11">
        <f>INDEX($D$16:$D$56,C73+1)</f>
        <v/>
      </c>
      <c r="F73" s="11">
        <f>INDEX($D$16:$D$56,C73+B73+2)</f>
        <v/>
      </c>
      <c r="G73" s="17">
        <f>OR(G72,MIN(E72,F72)&gt;=D72)</f>
        <v/>
      </c>
    </row>
    <row r="74">
      <c r="A74" s="6" t="n">
        <v>13</v>
      </c>
      <c r="B74" s="7">
        <f>IF(G74,B73,B73+1)</f>
        <v/>
      </c>
      <c r="C74" s="7">
        <f>IF(G74,C73,IF(E73&lt;=F73,C73-1,C73))</f>
        <v/>
      </c>
      <c r="D74" s="11">
        <f>IF(G74,D73,D73-(D73-MIN(E73,F73))/B74)</f>
        <v/>
      </c>
      <c r="E74" s="11">
        <f>INDEX($D$16:$D$56,C74+1)</f>
        <v/>
      </c>
      <c r="F74" s="11">
        <f>INDEX($D$16:$D$56,C74+B74+2)</f>
        <v/>
      </c>
      <c r="G74" s="17">
        <f>OR(G73,MIN(E73,F73)&gt;=D73)</f>
        <v/>
      </c>
    </row>
    <row r="75">
      <c r="A75" s="6" t="n">
        <v>14</v>
      </c>
      <c r="B75" s="7">
        <f>IF(G75,B74,B74+1)</f>
        <v/>
      </c>
      <c r="C75" s="7">
        <f>IF(G75,C74,IF(E74&lt;=F74,C74-1,C74))</f>
        <v/>
      </c>
      <c r="D75" s="11">
        <f>IF(G75,D74,D74-(D74-MIN(E74,F74))/B75)</f>
        <v/>
      </c>
      <c r="E75" s="11">
        <f>INDEX($D$16:$D$56,C75+1)</f>
        <v/>
      </c>
      <c r="F75" s="11">
        <f>INDEX($D$16:$D$56,C75+B75+2)</f>
        <v/>
      </c>
      <c r="G75" s="17">
        <f>OR(G74,MIN(E74,F74)&gt;=D74)</f>
        <v/>
      </c>
    </row>
    <row r="76">
      <c r="A76" s="6" t="n">
        <v>15</v>
      </c>
      <c r="B76" s="7">
        <f>IF(G76,B75,B75+1)</f>
        <v/>
      </c>
      <c r="C76" s="7">
        <f>IF(G76,C75,IF(E75&lt;=F75,C75-1,C75))</f>
        <v/>
      </c>
      <c r="D76" s="11">
        <f>IF(G76,D75,D75-(D75-MIN(E75,F75))/B76)</f>
        <v/>
      </c>
      <c r="E76" s="11">
        <f>INDEX($D$16:$D$56,C76+1)</f>
        <v/>
      </c>
      <c r="F76" s="11">
        <f>INDEX($D$16:$D$56,C76+B76+2)</f>
        <v/>
      </c>
      <c r="G76" s="17">
        <f>OR(G75,MIN(E75,F75)&gt;=D75)</f>
        <v/>
      </c>
    </row>
    <row r="77">
      <c r="A77" s="6" t="n">
        <v>16</v>
      </c>
      <c r="B77" s="7">
        <f>IF(G77,B76,B76+1)</f>
        <v/>
      </c>
      <c r="C77" s="7">
        <f>IF(G77,C76,IF(E76&lt;=F76,C76-1,C76))</f>
        <v/>
      </c>
      <c r="D77" s="11">
        <f>IF(G77,D76,D76-(D76-MIN(E76,F76))/B77)</f>
        <v/>
      </c>
      <c r="E77" s="11">
        <f>INDEX($D$16:$D$56,C77+1)</f>
        <v/>
      </c>
      <c r="F77" s="11">
        <f>INDEX($D$16:$D$56,C77+B77+2)</f>
        <v/>
      </c>
      <c r="G77" s="17">
        <f>OR(G76,MIN(E76,F76)&gt;=D76)</f>
        <v/>
      </c>
    </row>
    <row r="78">
      <c r="A78" s="6" t="n">
        <v>17</v>
      </c>
      <c r="B78" s="7">
        <f>IF(G78,B77,B77+1)</f>
        <v/>
      </c>
      <c r="C78" s="7">
        <f>IF(G78,C77,IF(E77&lt;=F77,C77-1,C77))</f>
        <v/>
      </c>
      <c r="D78" s="11">
        <f>IF(G78,D77,D77-(D77-MIN(E77,F77))/B78)</f>
        <v/>
      </c>
      <c r="E78" s="11">
        <f>INDEX($D$16:$D$56,C78+1)</f>
        <v/>
      </c>
      <c r="F78" s="11">
        <f>INDEX($D$16:$D$56,C78+B78+2)</f>
        <v/>
      </c>
      <c r="G78" s="17">
        <f>OR(G77,MIN(E77,F77)&gt;=D77)</f>
        <v/>
      </c>
    </row>
    <row r="79">
      <c r="A79" s="6" t="n">
        <v>18</v>
      </c>
      <c r="B79" s="7">
        <f>IF(G79,B78,B78+1)</f>
        <v/>
      </c>
      <c r="C79" s="7">
        <f>IF(G79,C78,IF(E78&lt;=F78,C78-1,C78))</f>
        <v/>
      </c>
      <c r="D79" s="11">
        <f>IF(G79,D78,D78-(D78-MIN(E78,F78))/B79)</f>
        <v/>
      </c>
      <c r="E79" s="11">
        <f>INDEX($D$16:$D$56,C79+1)</f>
        <v/>
      </c>
      <c r="F79" s="11">
        <f>INDEX($D$16:$D$56,C79+B79+2)</f>
        <v/>
      </c>
      <c r="G79" s="17">
        <f>OR(G78,MIN(E78,F78)&gt;=D78)</f>
        <v/>
      </c>
    </row>
    <row r="80">
      <c r="A80" s="6" t="n">
        <v>19</v>
      </c>
      <c r="B80" s="7">
        <f>IF(G80,B79,B79+1)</f>
        <v/>
      </c>
      <c r="C80" s="7">
        <f>IF(G80,C79,IF(E79&lt;=F79,C79-1,C79))</f>
        <v/>
      </c>
      <c r="D80" s="11">
        <f>IF(G80,D79,D79-(D79-MIN(E79,F79))/B80)</f>
        <v/>
      </c>
      <c r="E80" s="11">
        <f>INDEX($D$16:$D$56,C80+1)</f>
        <v/>
      </c>
      <c r="F80" s="11">
        <f>INDEX($D$16:$D$56,C80+B80+2)</f>
        <v/>
      </c>
      <c r="G80" s="17">
        <f>OR(G79,MIN(E79,F79)&gt;=D79)</f>
        <v/>
      </c>
    </row>
    <row r="81">
      <c r="A81" s="6" t="n">
        <v>20</v>
      </c>
      <c r="B81" s="7">
        <f>IF(G81,B80,B80+1)</f>
        <v/>
      </c>
      <c r="C81" s="7">
        <f>IF(G81,C80,IF(E80&lt;=F80,C80-1,C80))</f>
        <v/>
      </c>
      <c r="D81" s="11">
        <f>IF(G81,D80,D80-(D80-MIN(E80,F80))/B81)</f>
        <v/>
      </c>
      <c r="E81" s="11">
        <f>INDEX($D$16:$D$56,C81+1)</f>
        <v/>
      </c>
      <c r="F81" s="11">
        <f>INDEX($D$16:$D$56,C81+B81+2)</f>
        <v/>
      </c>
      <c r="G81" s="17">
        <f>OR(G80,MIN(E80,F80)&gt;=D80)</f>
        <v/>
      </c>
    </row>
    <row r="82">
      <c r="A82" s="6" t="n">
        <v>21</v>
      </c>
      <c r="B82" s="7">
        <f>IF(G82,B81,B81+1)</f>
        <v/>
      </c>
      <c r="C82" s="7">
        <f>IF(G82,C81,IF(E81&lt;=F81,C81-1,C81))</f>
        <v/>
      </c>
      <c r="D82" s="11">
        <f>IF(G82,D81,D81-(D81-MIN(E81,F81))/B82)</f>
        <v/>
      </c>
      <c r="E82" s="11">
        <f>INDEX($D$16:$D$56,C82+1)</f>
        <v/>
      </c>
      <c r="F82" s="11">
        <f>INDEX($D$16:$D$56,C82+B82+2)</f>
        <v/>
      </c>
      <c r="G82" s="17">
        <f>OR(G81,MIN(E81,F81)&gt;=D81)</f>
        <v/>
      </c>
    </row>
    <row r="83">
      <c r="A83" s="6" t="n">
        <v>22</v>
      </c>
      <c r="B83" s="7">
        <f>IF(G83,B82,B82+1)</f>
        <v/>
      </c>
      <c r="C83" s="7">
        <f>IF(G83,C82,IF(E82&lt;=F82,C82-1,C82))</f>
        <v/>
      </c>
      <c r="D83" s="11">
        <f>IF(G83,D82,D82-(D82-MIN(E82,F82))/B83)</f>
        <v/>
      </c>
      <c r="E83" s="11">
        <f>INDEX($D$16:$D$56,C83+1)</f>
        <v/>
      </c>
      <c r="F83" s="11">
        <f>INDEX($D$16:$D$56,C83+B83+2)</f>
        <v/>
      </c>
      <c r="G83" s="17">
        <f>OR(G82,MIN(E82,F82)&gt;=D82)</f>
        <v/>
      </c>
    </row>
    <row r="84">
      <c r="A84" s="6" t="n">
        <v>23</v>
      </c>
      <c r="B84" s="7">
        <f>IF(G84,B83,B83+1)</f>
        <v/>
      </c>
      <c r="C84" s="7">
        <f>IF(G84,C83,IF(E83&lt;=F83,C83-1,C83))</f>
        <v/>
      </c>
      <c r="D84" s="11">
        <f>IF(G84,D83,D83-(D83-MIN(E83,F83))/B84)</f>
        <v/>
      </c>
      <c r="E84" s="11">
        <f>INDEX($D$16:$D$56,C84+1)</f>
        <v/>
      </c>
      <c r="F84" s="11">
        <f>INDEX($D$16:$D$56,C84+B84+2)</f>
        <v/>
      </c>
      <c r="G84" s="17">
        <f>OR(G83,MIN(E83,F83)&gt;=D83)</f>
        <v/>
      </c>
    </row>
    <row r="85">
      <c r="A85" s="6" t="n">
        <v>24</v>
      </c>
      <c r="B85" s="7">
        <f>IF(G85,B84,B84+1)</f>
        <v/>
      </c>
      <c r="C85" s="7">
        <f>IF(G85,C84,IF(E84&lt;=F84,C84-1,C84))</f>
        <v/>
      </c>
      <c r="D85" s="11">
        <f>IF(G85,D84,D84-(D84-MIN(E84,F84))/B85)</f>
        <v/>
      </c>
      <c r="E85" s="11">
        <f>INDEX($D$16:$D$56,C85+1)</f>
        <v/>
      </c>
      <c r="F85" s="11">
        <f>INDEX($D$16:$D$56,C85+B85+2)</f>
        <v/>
      </c>
      <c r="G85" s="17">
        <f>OR(G84,MIN(E84,F84)&gt;=D84)</f>
        <v/>
      </c>
    </row>
    <row r="86">
      <c r="A86" s="6" t="n">
        <v>25</v>
      </c>
      <c r="B86" s="7">
        <f>IF(G86,B85,B85+1)</f>
        <v/>
      </c>
      <c r="C86" s="7">
        <f>IF(G86,C85,IF(E85&lt;=F85,C85-1,C85))</f>
        <v/>
      </c>
      <c r="D86" s="11">
        <f>IF(G86,D85,D85-(D85-MIN(E85,F85))/B86)</f>
        <v/>
      </c>
      <c r="E86" s="11">
        <f>INDEX($D$16:$D$56,C86+1)</f>
        <v/>
      </c>
      <c r="F86" s="11">
        <f>INDEX($D$16:$D$56,C86+B86+2)</f>
        <v/>
      </c>
      <c r="G86" s="17">
        <f>OR(G85,MIN(E85,F85)&gt;=D85)</f>
        <v/>
      </c>
    </row>
    <row r="87">
      <c r="A87" s="6" t="n">
        <v>26</v>
      </c>
      <c r="B87" s="7">
        <f>IF(G87,B86,B86+1)</f>
        <v/>
      </c>
      <c r="C87" s="7">
        <f>IF(G87,C86,IF(E86&lt;=F86,C86-1,C86))</f>
        <v/>
      </c>
      <c r="D87" s="11">
        <f>IF(G87,D86,D86-(D86-MIN(E86,F86))/B87)</f>
        <v/>
      </c>
      <c r="E87" s="11">
        <f>INDEX($D$16:$D$56,C87+1)</f>
        <v/>
      </c>
      <c r="F87" s="11">
        <f>INDEX($D$16:$D$56,C87+B87+2)</f>
        <v/>
      </c>
      <c r="G87" s="17">
        <f>OR(G86,MIN(E86,F86)&gt;=D86)</f>
        <v/>
      </c>
    </row>
    <row r="88">
      <c r="A88" s="6" t="n">
        <v>27</v>
      </c>
      <c r="B88" s="7">
        <f>IF(G88,B87,B87+1)</f>
        <v/>
      </c>
      <c r="C88" s="7">
        <f>IF(G88,C87,IF(E87&lt;=F87,C87-1,C87))</f>
        <v/>
      </c>
      <c r="D88" s="11">
        <f>IF(G88,D87,D87-(D87-MIN(E87,F87))/B88)</f>
        <v/>
      </c>
      <c r="E88" s="11">
        <f>INDEX($D$16:$D$56,C88+1)</f>
        <v/>
      </c>
      <c r="F88" s="11">
        <f>INDEX($D$16:$D$56,C88+B88+2)</f>
        <v/>
      </c>
      <c r="G88" s="17">
        <f>OR(G87,MIN(E87,F87)&gt;=D87)</f>
        <v/>
      </c>
    </row>
    <row r="89">
      <c r="A89" s="6" t="n">
        <v>28</v>
      </c>
      <c r="B89" s="7">
        <f>IF(G89,B88,B88+1)</f>
        <v/>
      </c>
      <c r="C89" s="7">
        <f>IF(G89,C88,IF(E88&lt;=F88,C88-1,C88))</f>
        <v/>
      </c>
      <c r="D89" s="11">
        <f>IF(G89,D88,D88-(D88-MIN(E88,F88))/B89)</f>
        <v/>
      </c>
      <c r="E89" s="11">
        <f>INDEX($D$16:$D$56,C89+1)</f>
        <v/>
      </c>
      <c r="F89" s="11">
        <f>INDEX($D$16:$D$56,C89+B89+2)</f>
        <v/>
      </c>
      <c r="G89" s="17">
        <f>OR(G88,MIN(E88,F88)&gt;=D88)</f>
        <v/>
      </c>
    </row>
    <row r="90">
      <c r="A90" s="6" t="n">
        <v>29</v>
      </c>
      <c r="B90" s="7">
        <f>IF(G90,B89,B89+1)</f>
        <v/>
      </c>
      <c r="C90" s="7">
        <f>IF(G90,C89,IF(E89&lt;=F89,C89-1,C89))</f>
        <v/>
      </c>
      <c r="D90" s="11">
        <f>IF(G90,D89,D89-(D89-MIN(E89,F89))/B90)</f>
        <v/>
      </c>
      <c r="E90" s="11">
        <f>INDEX($D$16:$D$56,C90+1)</f>
        <v/>
      </c>
      <c r="F90" s="11">
        <f>INDEX($D$16:$D$56,C90+B90+2)</f>
        <v/>
      </c>
      <c r="G90" s="17">
        <f>OR(G89,MIN(E89,F89)&gt;=D89)</f>
        <v/>
      </c>
    </row>
    <row r="91">
      <c r="A91" s="6" t="n">
        <v>30</v>
      </c>
      <c r="B91" s="7">
        <f>IF(G91,B90,B90+1)</f>
        <v/>
      </c>
      <c r="C91" s="7">
        <f>IF(G91,C90,IF(E90&lt;=F90,C90-1,C90))</f>
        <v/>
      </c>
      <c r="D91" s="11">
        <f>IF(G91,D90,D90-(D90-MIN(E90,F90))/B91)</f>
        <v/>
      </c>
      <c r="E91" s="11">
        <f>INDEX($D$16:$D$56,C91+1)</f>
        <v/>
      </c>
      <c r="F91" s="11">
        <f>INDEX($D$16:$D$56,C91+B91+2)</f>
        <v/>
      </c>
      <c r="G91" s="17">
        <f>OR(G90,MIN(E90,F90)&gt;=D90)</f>
        <v/>
      </c>
    </row>
    <row r="92"/>
    <row r="93">
      <c r="A93" s="3" t="inlineStr">
        <is>
          <t>Answer, read from the last row</t>
        </is>
      </c>
    </row>
    <row r="94">
      <c r="A94" t="inlineStr">
        <is>
          <t>r*</t>
        </is>
      </c>
      <c r="B94" s="7">
        <f>C91</f>
        <v/>
      </c>
    </row>
    <row r="95">
      <c r="A95" t="inlineStr">
        <is>
          <t>Q*</t>
        </is>
      </c>
      <c r="B95" s="7">
        <f>B91</f>
        <v/>
      </c>
    </row>
    <row r="96">
      <c r="A96" t="inlineStr">
        <is>
          <t>C*</t>
        </is>
      </c>
      <c r="B96" s="15">
        <f>D91</f>
        <v/>
      </c>
    </row>
    <row r="97"/>
    <row r="98">
      <c r="A98" s="3" t="inlineStr">
        <is>
          <t>Checks from @sec-continuousreview-bounds</t>
        </is>
      </c>
    </row>
    <row r="99">
      <c r="A99" t="inlineStr">
        <is>
          <t>r* &lt; S* &lt;= r* + Q*</t>
        </is>
      </c>
      <c r="B99" s="17">
        <f>IF(AND(C91&lt;$B$13,$B$13&lt;=C91+B91),"holds","FAILS")</f>
        <v/>
      </c>
    </row>
    <row r="100">
      <c r="A100" t="inlineStr">
        <is>
          <t>Qk, the deterministic batch</t>
        </is>
      </c>
      <c r="B100" s="8">
        <f>SQRT(2*$B$6*$B$5/($B$7*$B$12))</f>
        <v/>
      </c>
    </row>
    <row r="101">
      <c r="A101" t="inlineStr">
        <is>
          <t>lower bound Ck</t>
        </is>
      </c>
      <c r="B101" s="11">
        <f>$B$7*$B$12*B100</f>
        <v/>
      </c>
    </row>
    <row r="102">
      <c r="A102" t="inlineStr">
        <is>
          <t>upper bound</t>
        </is>
      </c>
      <c r="B102" s="11">
        <f>SQRT(B101^2+$B$8*$B$7*$B$10)</f>
        <v/>
      </c>
    </row>
    <row r="103">
      <c r="A103" t="inlineStr">
        <is>
          <t>C* within the bounds</t>
        </is>
      </c>
      <c r="B103" s="17">
        <f>IF(AND(B101&lt;=D91,D91&lt;=B102),"holds","FAILS")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The classical approximation, and what it costs</t>
        </is>
      </c>
    </row>
    <row r="2">
      <c r="A2" s="2" t="inlineStr">
        <is>
          <t>@sec-continuousreview-approx. The lead time demand is approximated by a gamma, never by a normal.</t>
        </is>
      </c>
    </row>
    <row r="3"/>
    <row r="4">
      <c r="A4" s="3" t="inlineStr">
        <is>
          <t>Item</t>
        </is>
      </c>
    </row>
    <row r="5">
      <c r="A5" t="inlineStr">
        <is>
          <t>demand rate lambda</t>
        </is>
      </c>
      <c r="B5" s="4" t="n">
        <v>45</v>
      </c>
      <c r="C5" s="2" t="inlineStr">
        <is>
          <t>units per year</t>
        </is>
      </c>
    </row>
    <row r="6">
      <c r="A6" t="inlineStr">
        <is>
          <t>order cost k</t>
        </is>
      </c>
      <c r="B6" s="9" t="n">
        <v>220</v>
      </c>
      <c r="C6" s="2" t="inlineStr">
        <is>
          <t>dollars per order</t>
        </is>
      </c>
    </row>
    <row r="7">
      <c r="A7" t="inlineStr">
        <is>
          <t>holding cost h</t>
        </is>
      </c>
      <c r="B7" s="9" t="n">
        <v>950</v>
      </c>
      <c r="C7" s="2" t="inlineStr">
        <is>
          <t>dollars per unit per year</t>
        </is>
      </c>
    </row>
    <row r="8">
      <c r="A8" t="inlineStr">
        <is>
          <t>backorder cost b</t>
        </is>
      </c>
      <c r="B8" s="9" t="n">
        <v>8550</v>
      </c>
      <c r="C8" s="2" t="inlineStr">
        <is>
          <t>dollars per unit per year</t>
        </is>
      </c>
    </row>
    <row r="9">
      <c r="A9" t="inlineStr">
        <is>
          <t>stockout cost pi</t>
        </is>
      </c>
      <c r="B9" s="9" t="n">
        <v>5700</v>
      </c>
      <c r="C9" s="2" t="inlineStr">
        <is>
          <t>dollars per unit short</t>
        </is>
      </c>
    </row>
    <row r="10">
      <c r="A10" t="inlineStr">
        <is>
          <t>lead time L</t>
        </is>
      </c>
      <c r="B10" s="10" t="n">
        <v>0.1666666666666667</v>
      </c>
      <c r="C10" s="2" t="inlineStr">
        <is>
          <t>years</t>
        </is>
      </c>
    </row>
    <row r="11">
      <c r="A11" t="inlineStr">
        <is>
          <t>theta = lambda L</t>
        </is>
      </c>
      <c r="B11" s="8">
        <f>B5*B10</f>
        <v/>
      </c>
    </row>
    <row r="12"/>
    <row r="13">
      <c r="A13" s="3" t="inlineStr">
        <is>
          <t>Gamma matched on two moments, @eq-imputed-shortage</t>
        </is>
      </c>
    </row>
    <row r="14">
      <c r="A14" t="inlineStr">
        <is>
          <t>variance of D(L)</t>
        </is>
      </c>
      <c r="B14" s="8">
        <f>B11</f>
        <v/>
      </c>
      <c r="C14" s="2" t="inlineStr">
        <is>
          <t>equal to the mean, since the count is Poisson</t>
        </is>
      </c>
    </row>
    <row r="15">
      <c r="A15" t="inlineStr">
        <is>
          <t>alpha = theta^2 / variance</t>
        </is>
      </c>
      <c r="B15" s="8">
        <f>B11^2/B14</f>
        <v/>
      </c>
    </row>
    <row r="16">
      <c r="A16" t="inlineStr">
        <is>
          <t>beta = variance / theta</t>
        </is>
      </c>
      <c r="B16" s="8">
        <f>B14/B11</f>
        <v/>
      </c>
    </row>
    <row r="17"/>
    <row r="18">
      <c r="A18" s="3" t="inlineStr">
        <is>
          <t>The iteration of @eq-type2</t>
        </is>
      </c>
    </row>
    <row r="19">
      <c r="A19" s="5" t="inlineStr">
        <is>
          <t>pass</t>
        </is>
      </c>
      <c r="B19" s="5" t="inlineStr">
        <is>
          <t>Q</t>
        </is>
      </c>
      <c r="C19" s="5" t="inlineStr">
        <is>
          <t>G0(r) = Qh/(pi*lambda)</t>
        </is>
      </c>
      <c r="D19" s="5" t="inlineStr">
        <is>
          <t>r</t>
        </is>
      </c>
      <c r="E19" s="5" t="inlineStr">
        <is>
          <t>G1(r)</t>
        </is>
      </c>
      <c r="F19" s="5" t="inlineStr">
        <is>
          <t>next Q</t>
        </is>
      </c>
    </row>
    <row r="20">
      <c r="A20" s="7">
        <f>0</f>
        <v/>
      </c>
      <c r="B20" s="8">
        <f>SQRT(2*$B$5*$B$6/$B$7)</f>
        <v/>
      </c>
      <c r="C20" s="2" t="inlineStr">
        <is>
          <t>start at the economic order quantity</t>
        </is>
      </c>
    </row>
    <row r="21">
      <c r="A21" s="6" t="n">
        <v>1</v>
      </c>
      <c r="B21" s="8">
        <f>B20</f>
        <v/>
      </c>
      <c r="C21" s="16">
        <f>B21*$B$7/($B$9*$B$5)</f>
        <v/>
      </c>
      <c r="D21" s="8">
        <f>_xlfn.GAMMA.INV(1-C21,$B$15,$B$16)</f>
        <v/>
      </c>
      <c r="E21" s="8">
        <f>$B$16*(($B$15-D21/$B$16)*(1-_xlfn.GAMMA.DIST(D21,$B$15,$B$16,TRUE))+D21*_xlfn.GAMMA.DIST(D21,$B$15,$B$16,FALSE))</f>
        <v/>
      </c>
      <c r="F21" s="8">
        <f>SQRT(2*$B$5*($B$6+$B$9*E21)/$B$7)</f>
        <v/>
      </c>
    </row>
    <row r="22">
      <c r="A22" s="6" t="n">
        <v>2</v>
      </c>
      <c r="B22" s="8">
        <f>F21</f>
        <v/>
      </c>
      <c r="C22" s="16">
        <f>B22*$B$7/($B$9*$B$5)</f>
        <v/>
      </c>
      <c r="D22" s="8">
        <f>_xlfn.GAMMA.INV(1-C22,$B$15,$B$16)</f>
        <v/>
      </c>
      <c r="E22" s="8">
        <f>$B$16*(($B$15-D22/$B$16)*(1-_xlfn.GAMMA.DIST(D22,$B$15,$B$16,TRUE))+D22*_xlfn.GAMMA.DIST(D22,$B$15,$B$16,FALSE))</f>
        <v/>
      </c>
      <c r="F22" s="8">
        <f>SQRT(2*$B$5*($B$6+$B$9*E22)/$B$7)</f>
        <v/>
      </c>
    </row>
    <row r="23">
      <c r="A23" s="6" t="n">
        <v>3</v>
      </c>
      <c r="B23" s="8">
        <f>F22</f>
        <v/>
      </c>
      <c r="C23" s="16">
        <f>B23*$B$7/($B$9*$B$5)</f>
        <v/>
      </c>
      <c r="D23" s="8">
        <f>_xlfn.GAMMA.INV(1-C23,$B$15,$B$16)</f>
        <v/>
      </c>
      <c r="E23" s="8">
        <f>$B$16*(($B$15-D23/$B$16)*(1-_xlfn.GAMMA.DIST(D23,$B$15,$B$16,TRUE))+D23*_xlfn.GAMMA.DIST(D23,$B$15,$B$16,FALSE))</f>
        <v/>
      </c>
      <c r="F23" s="8">
        <f>SQRT(2*$B$5*($B$6+$B$9*E23)/$B$7)</f>
        <v/>
      </c>
    </row>
    <row r="24">
      <c r="A24" s="6" t="n">
        <v>4</v>
      </c>
      <c r="B24" s="8">
        <f>F23</f>
        <v/>
      </c>
      <c r="C24" s="16">
        <f>B24*$B$7/($B$9*$B$5)</f>
        <v/>
      </c>
      <c r="D24" s="8">
        <f>_xlfn.GAMMA.INV(1-C24,$B$15,$B$16)</f>
        <v/>
      </c>
      <c r="E24" s="8">
        <f>$B$16*(($B$15-D24/$B$16)*(1-_xlfn.GAMMA.DIST(D24,$B$15,$B$16,TRUE))+D24*_xlfn.GAMMA.DIST(D24,$B$15,$B$16,FALSE))</f>
        <v/>
      </c>
      <c r="F24" s="8">
        <f>SQRT(2*$B$5*($B$6+$B$9*E24)/$B$7)</f>
        <v/>
      </c>
    </row>
    <row r="25">
      <c r="A25" s="6" t="n">
        <v>5</v>
      </c>
      <c r="B25" s="8">
        <f>F24</f>
        <v/>
      </c>
      <c r="C25" s="16">
        <f>B25*$B$7/($B$9*$B$5)</f>
        <v/>
      </c>
      <c r="D25" s="8">
        <f>_xlfn.GAMMA.INV(1-C25,$B$15,$B$16)</f>
        <v/>
      </c>
      <c r="E25" s="8">
        <f>$B$16*(($B$15-D25/$B$16)*(1-_xlfn.GAMMA.DIST(D25,$B$15,$B$16,TRUE))+D25*_xlfn.GAMMA.DIST(D25,$B$15,$B$16,FALSE))</f>
        <v/>
      </c>
      <c r="F25" s="8">
        <f>SQRT(2*$B$5*($B$6+$B$9*E25)/$B$7)</f>
        <v/>
      </c>
    </row>
    <row r="26">
      <c r="A26" s="6" t="n">
        <v>6</v>
      </c>
      <c r="B26" s="8">
        <f>F25</f>
        <v/>
      </c>
      <c r="C26" s="16">
        <f>B26*$B$7/($B$9*$B$5)</f>
        <v/>
      </c>
      <c r="D26" s="8">
        <f>_xlfn.GAMMA.INV(1-C26,$B$15,$B$16)</f>
        <v/>
      </c>
      <c r="E26" s="8">
        <f>$B$16*(($B$15-D26/$B$16)*(1-_xlfn.GAMMA.DIST(D26,$B$15,$B$16,TRUE))+D26*_xlfn.GAMMA.DIST(D26,$B$15,$B$16,FALSE))</f>
        <v/>
      </c>
      <c r="F26" s="8">
        <f>SQRT(2*$B$5*($B$6+$B$9*E26)/$B$7)</f>
        <v/>
      </c>
    </row>
    <row r="27">
      <c r="A27" s="6" t="n">
        <v>7</v>
      </c>
      <c r="B27" s="8">
        <f>F26</f>
        <v/>
      </c>
      <c r="C27" s="16">
        <f>B27*$B$7/($B$9*$B$5)</f>
        <v/>
      </c>
      <c r="D27" s="8">
        <f>_xlfn.GAMMA.INV(1-C27,$B$15,$B$16)</f>
        <v/>
      </c>
      <c r="E27" s="8">
        <f>$B$16*(($B$15-D27/$B$16)*(1-_xlfn.GAMMA.DIST(D27,$B$15,$B$16,TRUE))+D27*_xlfn.GAMMA.DIST(D27,$B$15,$B$16,FALSE))</f>
        <v/>
      </c>
      <c r="F27" s="8">
        <f>SQRT(2*$B$5*($B$6+$B$9*E27)/$B$7)</f>
        <v/>
      </c>
    </row>
    <row r="28">
      <c r="A28" s="6" t="n">
        <v>8</v>
      </c>
      <c r="B28" s="8">
        <f>F27</f>
        <v/>
      </c>
      <c r="C28" s="16">
        <f>B28*$B$7/($B$9*$B$5)</f>
        <v/>
      </c>
      <c r="D28" s="8">
        <f>_xlfn.GAMMA.INV(1-C28,$B$15,$B$16)</f>
        <v/>
      </c>
      <c r="E28" s="8">
        <f>$B$16*(($B$15-D28/$B$16)*(1-_xlfn.GAMMA.DIST(D28,$B$15,$B$16,TRUE))+D28*_xlfn.GAMMA.DIST(D28,$B$15,$B$16,FALSE))</f>
        <v/>
      </c>
      <c r="F28" s="8">
        <f>SQRT(2*$B$5*($B$6+$B$9*E28)/$B$7)</f>
        <v/>
      </c>
    </row>
    <row r="29">
      <c r="A29" s="6" t="n">
        <v>9</v>
      </c>
      <c r="B29" s="8">
        <f>F28</f>
        <v/>
      </c>
      <c r="C29" s="16">
        <f>B29*$B$7/($B$9*$B$5)</f>
        <v/>
      </c>
      <c r="D29" s="8">
        <f>_xlfn.GAMMA.INV(1-C29,$B$15,$B$16)</f>
        <v/>
      </c>
      <c r="E29" s="8">
        <f>$B$16*(($B$15-D29/$B$16)*(1-_xlfn.GAMMA.DIST(D29,$B$15,$B$16,TRUE))+D29*_xlfn.GAMMA.DIST(D29,$B$15,$B$16,FALSE))</f>
        <v/>
      </c>
      <c r="F29" s="8">
        <f>SQRT(2*$B$5*($B$6+$B$9*E29)/$B$7)</f>
        <v/>
      </c>
    </row>
    <row r="30">
      <c r="A30" s="6" t="n">
        <v>10</v>
      </c>
      <c r="B30" s="8">
        <f>F29</f>
        <v/>
      </c>
      <c r="C30" s="16">
        <f>B30*$B$7/($B$9*$B$5)</f>
        <v/>
      </c>
      <c r="D30" s="8">
        <f>_xlfn.GAMMA.INV(1-C30,$B$15,$B$16)</f>
        <v/>
      </c>
      <c r="E30" s="8">
        <f>$B$16*(($B$15-D30/$B$16)*(1-_xlfn.GAMMA.DIST(D30,$B$15,$B$16,TRUE))+D30*_xlfn.GAMMA.DIST(D30,$B$15,$B$16,FALSE))</f>
        <v/>
      </c>
      <c r="F30" s="8">
        <f>SQRT(2*$B$5*($B$6+$B$9*E30)/$B$7)</f>
        <v/>
      </c>
    </row>
    <row r="31">
      <c r="A31" s="6" t="n">
        <v>11</v>
      </c>
      <c r="B31" s="8">
        <f>F30</f>
        <v/>
      </c>
      <c r="C31" s="16">
        <f>B31*$B$7/($B$9*$B$5)</f>
        <v/>
      </c>
      <c r="D31" s="8">
        <f>_xlfn.GAMMA.INV(1-C31,$B$15,$B$16)</f>
        <v/>
      </c>
      <c r="E31" s="8">
        <f>$B$16*(($B$15-D31/$B$16)*(1-_xlfn.GAMMA.DIST(D31,$B$15,$B$16,TRUE))+D31*_xlfn.GAMMA.DIST(D31,$B$15,$B$16,FALSE))</f>
        <v/>
      </c>
      <c r="F31" s="8">
        <f>SQRT(2*$B$5*($B$6+$B$9*E31)/$B$7)</f>
        <v/>
      </c>
    </row>
    <row r="32">
      <c r="A32" s="6" t="n">
        <v>12</v>
      </c>
      <c r="B32" s="8">
        <f>F31</f>
        <v/>
      </c>
      <c r="C32" s="16">
        <f>B32*$B$7/($B$9*$B$5)</f>
        <v/>
      </c>
      <c r="D32" s="8">
        <f>_xlfn.GAMMA.INV(1-C32,$B$15,$B$16)</f>
        <v/>
      </c>
      <c r="E32" s="8">
        <f>$B$16*(($B$15-D32/$B$16)*(1-_xlfn.GAMMA.DIST(D32,$B$15,$B$16,TRUE))+D32*_xlfn.GAMMA.DIST(D32,$B$15,$B$16,FALSE))</f>
        <v/>
      </c>
      <c r="F32" s="8">
        <f>SQRT(2*$B$5*($B$6+$B$9*E32)/$B$7)</f>
        <v/>
      </c>
    </row>
    <row r="33">
      <c r="A33" s="6" t="n">
        <v>13</v>
      </c>
      <c r="B33" s="8">
        <f>F32</f>
        <v/>
      </c>
      <c r="C33" s="16">
        <f>B33*$B$7/($B$9*$B$5)</f>
        <v/>
      </c>
      <c r="D33" s="8">
        <f>_xlfn.GAMMA.INV(1-C33,$B$15,$B$16)</f>
        <v/>
      </c>
      <c r="E33" s="8">
        <f>$B$16*(($B$15-D33/$B$16)*(1-_xlfn.GAMMA.DIST(D33,$B$15,$B$16,TRUE))+D33*_xlfn.GAMMA.DIST(D33,$B$15,$B$16,FALSE))</f>
        <v/>
      </c>
      <c r="F33" s="8">
        <f>SQRT(2*$B$5*($B$6+$B$9*E33)/$B$7)</f>
        <v/>
      </c>
    </row>
    <row r="34">
      <c r="A34" s="6" t="n">
        <v>14</v>
      </c>
      <c r="B34" s="8">
        <f>F33</f>
        <v/>
      </c>
      <c r="C34" s="16">
        <f>B34*$B$7/($B$9*$B$5)</f>
        <v/>
      </c>
      <c r="D34" s="8">
        <f>_xlfn.GAMMA.INV(1-C34,$B$15,$B$16)</f>
        <v/>
      </c>
      <c r="E34" s="8">
        <f>$B$16*(($B$15-D34/$B$16)*(1-_xlfn.GAMMA.DIST(D34,$B$15,$B$16,TRUE))+D34*_xlfn.GAMMA.DIST(D34,$B$15,$B$16,FALSE))</f>
        <v/>
      </c>
      <c r="F34" s="8">
        <f>SQRT(2*$B$5*($B$6+$B$9*E34)/$B$7)</f>
        <v/>
      </c>
    </row>
    <row r="35">
      <c r="A35" s="6" t="n">
        <v>15</v>
      </c>
      <c r="B35" s="8">
        <f>F34</f>
        <v/>
      </c>
      <c r="C35" s="16">
        <f>B35*$B$7/($B$9*$B$5)</f>
        <v/>
      </c>
      <c r="D35" s="8">
        <f>_xlfn.GAMMA.INV(1-C35,$B$15,$B$16)</f>
        <v/>
      </c>
      <c r="E35" s="8">
        <f>$B$16*(($B$15-D35/$B$16)*(1-_xlfn.GAMMA.DIST(D35,$B$15,$B$16,TRUE))+D35*_xlfn.GAMMA.DIST(D35,$B$15,$B$16,FALSE))</f>
        <v/>
      </c>
      <c r="F35" s="8">
        <f>SQRT(2*$B$5*($B$6+$B$9*E35)/$B$7)</f>
        <v/>
      </c>
    </row>
    <row r="36">
      <c r="A36" s="6" t="n">
        <v>16</v>
      </c>
      <c r="B36" s="8">
        <f>F35</f>
        <v/>
      </c>
      <c r="C36" s="16">
        <f>B36*$B$7/($B$9*$B$5)</f>
        <v/>
      </c>
      <c r="D36" s="8">
        <f>_xlfn.GAMMA.INV(1-C36,$B$15,$B$16)</f>
        <v/>
      </c>
      <c r="E36" s="8">
        <f>$B$16*(($B$15-D36/$B$16)*(1-_xlfn.GAMMA.DIST(D36,$B$15,$B$16,TRUE))+D36*_xlfn.GAMMA.DIST(D36,$B$15,$B$16,FALSE))</f>
        <v/>
      </c>
      <c r="F36" s="8">
        <f>SQRT(2*$B$5*($B$6+$B$9*E36)/$B$7)</f>
        <v/>
      </c>
    </row>
    <row r="37">
      <c r="A37" s="6" t="n">
        <v>17</v>
      </c>
      <c r="B37" s="8">
        <f>F36</f>
        <v/>
      </c>
      <c r="C37" s="16">
        <f>B37*$B$7/($B$9*$B$5)</f>
        <v/>
      </c>
      <c r="D37" s="8">
        <f>_xlfn.GAMMA.INV(1-C37,$B$15,$B$16)</f>
        <v/>
      </c>
      <c r="E37" s="8">
        <f>$B$16*(($B$15-D37/$B$16)*(1-_xlfn.GAMMA.DIST(D37,$B$15,$B$16,TRUE))+D37*_xlfn.GAMMA.DIST(D37,$B$15,$B$16,FALSE))</f>
        <v/>
      </c>
      <c r="F37" s="8">
        <f>SQRT(2*$B$5*($B$6+$B$9*E37)/$B$7)</f>
        <v/>
      </c>
    </row>
    <row r="38">
      <c r="A38" s="6" t="n">
        <v>18</v>
      </c>
      <c r="B38" s="8">
        <f>F37</f>
        <v/>
      </c>
      <c r="C38" s="16">
        <f>B38*$B$7/($B$9*$B$5)</f>
        <v/>
      </c>
      <c r="D38" s="8">
        <f>_xlfn.GAMMA.INV(1-C38,$B$15,$B$16)</f>
        <v/>
      </c>
      <c r="E38" s="8">
        <f>$B$16*(($B$15-D38/$B$16)*(1-_xlfn.GAMMA.DIST(D38,$B$15,$B$16,TRUE))+D38*_xlfn.GAMMA.DIST(D38,$B$15,$B$16,FALSE))</f>
        <v/>
      </c>
      <c r="F38" s="8">
        <f>SQRT(2*$B$5*($B$6+$B$9*E38)/$B$7)</f>
        <v/>
      </c>
    </row>
    <row r="39">
      <c r="A39" s="6" t="n">
        <v>19</v>
      </c>
      <c r="B39" s="8">
        <f>F38</f>
        <v/>
      </c>
      <c r="C39" s="16">
        <f>B39*$B$7/($B$9*$B$5)</f>
        <v/>
      </c>
      <c r="D39" s="8">
        <f>_xlfn.GAMMA.INV(1-C39,$B$15,$B$16)</f>
        <v/>
      </c>
      <c r="E39" s="8">
        <f>$B$16*(($B$15-D39/$B$16)*(1-_xlfn.GAMMA.DIST(D39,$B$15,$B$16,TRUE))+D39*_xlfn.GAMMA.DIST(D39,$B$15,$B$16,FALSE))</f>
        <v/>
      </c>
      <c r="F39" s="8">
        <f>SQRT(2*$B$5*($B$6+$B$9*E39)/$B$7)</f>
        <v/>
      </c>
    </row>
    <row r="40">
      <c r="A40" s="6" t="n">
        <v>20</v>
      </c>
      <c r="B40" s="8">
        <f>F39</f>
        <v/>
      </c>
      <c r="C40" s="16">
        <f>B40*$B$7/($B$9*$B$5)</f>
        <v/>
      </c>
      <c r="D40" s="8">
        <f>_xlfn.GAMMA.INV(1-C40,$B$15,$B$16)</f>
        <v/>
      </c>
      <c r="E40" s="8">
        <f>$B$16*(($B$15-D40/$B$16)*(1-_xlfn.GAMMA.DIST(D40,$B$15,$B$16,TRUE))+D40*_xlfn.GAMMA.DIST(D40,$B$15,$B$16,FALSE))</f>
        <v/>
      </c>
      <c r="F40" s="8">
        <f>SQRT(2*$B$5*($B$6+$B$9*E40)/$B$7)</f>
        <v/>
      </c>
    </row>
    <row r="41">
      <c r="A41" s="6" t="n">
        <v>21</v>
      </c>
      <c r="B41" s="8">
        <f>F40</f>
        <v/>
      </c>
      <c r="C41" s="16">
        <f>B41*$B$7/($B$9*$B$5)</f>
        <v/>
      </c>
      <c r="D41" s="8">
        <f>_xlfn.GAMMA.INV(1-C41,$B$15,$B$16)</f>
        <v/>
      </c>
      <c r="E41" s="8">
        <f>$B$16*(($B$15-D41/$B$16)*(1-_xlfn.GAMMA.DIST(D41,$B$15,$B$16,TRUE))+D41*_xlfn.GAMMA.DIST(D41,$B$15,$B$16,FALSE))</f>
        <v/>
      </c>
      <c r="F41" s="8">
        <f>SQRT(2*$B$5*($B$6+$B$9*E41)/$B$7)</f>
        <v/>
      </c>
    </row>
    <row r="42">
      <c r="A42" s="6" t="n">
        <v>22</v>
      </c>
      <c r="B42" s="8">
        <f>F41</f>
        <v/>
      </c>
      <c r="C42" s="16">
        <f>B42*$B$7/($B$9*$B$5)</f>
        <v/>
      </c>
      <c r="D42" s="8">
        <f>_xlfn.GAMMA.INV(1-C42,$B$15,$B$16)</f>
        <v/>
      </c>
      <c r="E42" s="8">
        <f>$B$16*(($B$15-D42/$B$16)*(1-_xlfn.GAMMA.DIST(D42,$B$15,$B$16,TRUE))+D42*_xlfn.GAMMA.DIST(D42,$B$15,$B$16,FALSE))</f>
        <v/>
      </c>
      <c r="F42" s="8">
        <f>SQRT(2*$B$5*($B$6+$B$9*E42)/$B$7)</f>
        <v/>
      </c>
    </row>
    <row r="43">
      <c r="A43" s="6" t="n">
        <v>23</v>
      </c>
      <c r="B43" s="8">
        <f>F42</f>
        <v/>
      </c>
      <c r="C43" s="16">
        <f>B43*$B$7/($B$9*$B$5)</f>
        <v/>
      </c>
      <c r="D43" s="8">
        <f>_xlfn.GAMMA.INV(1-C43,$B$15,$B$16)</f>
        <v/>
      </c>
      <c r="E43" s="8">
        <f>$B$16*(($B$15-D43/$B$16)*(1-_xlfn.GAMMA.DIST(D43,$B$15,$B$16,TRUE))+D43*_xlfn.GAMMA.DIST(D43,$B$15,$B$16,FALSE))</f>
        <v/>
      </c>
      <c r="F43" s="8">
        <f>SQRT(2*$B$5*($B$6+$B$9*E43)/$B$7)</f>
        <v/>
      </c>
    </row>
    <row r="44">
      <c r="A44" s="6" t="n">
        <v>24</v>
      </c>
      <c r="B44" s="8">
        <f>F43</f>
        <v/>
      </c>
      <c r="C44" s="16">
        <f>B44*$B$7/($B$9*$B$5)</f>
        <v/>
      </c>
      <c r="D44" s="8">
        <f>_xlfn.GAMMA.INV(1-C44,$B$15,$B$16)</f>
        <v/>
      </c>
      <c r="E44" s="8">
        <f>$B$16*(($B$15-D44/$B$16)*(1-_xlfn.GAMMA.DIST(D44,$B$15,$B$16,TRUE))+D44*_xlfn.GAMMA.DIST(D44,$B$15,$B$16,FALSE))</f>
        <v/>
      </c>
      <c r="F44" s="8">
        <f>SQRT(2*$B$5*($B$6+$B$9*E44)/$B$7)</f>
        <v/>
      </c>
    </row>
    <row r="45"/>
    <row r="46">
      <c r="A46" s="3" t="inlineStr">
        <is>
          <t>What it recommends</t>
        </is>
      </c>
    </row>
    <row r="47">
      <c r="A47" t="inlineStr">
        <is>
          <t>r, rounded</t>
        </is>
      </c>
      <c r="B47" s="7">
        <f>ROUND(D44,0)</f>
        <v/>
      </c>
    </row>
    <row r="48">
      <c r="A48" t="inlineStr">
        <is>
          <t>Q, rounded</t>
        </is>
      </c>
      <c r="B48" s="7">
        <f>ROUND(F44,0)</f>
        <v/>
      </c>
    </row>
    <row r="49">
      <c r="A49" t="inlineStr">
        <is>
          <t>G1 at the rounded r</t>
        </is>
      </c>
      <c r="B49" s="8">
        <f>$B$16*(($B$15-B47/$B$16)*(1-_xlfn.GAMMA.DIST(B47,$B$15,$B$16,TRUE))+B47*_xlfn.GAMMA.DIST(B47,$B$15,$B$16,FALSE))</f>
        <v/>
      </c>
    </row>
    <row r="50">
      <c r="A50" s="2" t="inlineStr">
        <is>
          <t>Recomputed at the rounded reorder point, since rounding moves it.</t>
        </is>
      </c>
    </row>
    <row r="51">
      <c r="A51" t="inlineStr">
        <is>
          <t>ordering</t>
        </is>
      </c>
      <c r="B51" s="11">
        <f>$B$6*$B$5/B48</f>
        <v/>
      </c>
    </row>
    <row r="52">
      <c r="A52" t="inlineStr">
        <is>
          <t>holding</t>
        </is>
      </c>
      <c r="B52" s="11">
        <f>$B$7*(B48/2+B47-$B$11)</f>
        <v/>
      </c>
    </row>
    <row r="53">
      <c r="A53" t="inlineStr">
        <is>
          <t>shortage</t>
        </is>
      </c>
      <c r="B53" s="11">
        <f>$B$9*$B$5/B48*B49</f>
        <v/>
      </c>
    </row>
    <row r="54">
      <c r="A54" t="inlineStr">
        <is>
          <t>total it reports</t>
        </is>
      </c>
      <c r="B54" s="15">
        <f>SUM(B51:B53)</f>
        <v/>
      </c>
    </row>
    <row r="55"/>
    <row r="56">
      <c r="A56" s="3" t="inlineStr">
        <is>
          <t>Diagnostics, @sec-continuousreview-approx</t>
        </is>
      </c>
    </row>
    <row r="57">
      <c r="A57" t="inlineStr">
        <is>
          <t>one unit as a fraction of sigma</t>
        </is>
      </c>
      <c r="B57" s="18">
        <f>1/SQRT(B14)</f>
        <v/>
      </c>
    </row>
    <row r="58">
      <c r="A58" t="inlineStr">
        <is>
          <t>1/Q</t>
        </is>
      </c>
      <c r="B58" s="18">
        <f>1/B48</f>
        <v/>
      </c>
    </row>
    <row r="59">
      <c r="A59" t="inlineStr">
        <is>
          <t>theta/Q</t>
        </is>
      </c>
      <c r="B59" s="8">
        <f>$B$11/B48</f>
        <v/>
      </c>
    </row>
    <row r="60">
      <c r="A60" s="2" t="inlineStr">
        <is>
          <t>Small, small and below one is the case the approximation was built for.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Service levels instead of a shortage cost</t>
        </is>
      </c>
    </row>
    <row r="2">
      <c r="A2" s="2" t="inlineStr">
        <is>
          <t>@sec-continuousreview-service. Type 1 counts cycles, Type 2 counts units, and they differ.</t>
        </is>
      </c>
    </row>
    <row r="3"/>
    <row r="4">
      <c r="A4" s="3" t="inlineStr">
        <is>
          <t>Item</t>
        </is>
      </c>
    </row>
    <row r="5">
      <c r="A5" t="inlineStr">
        <is>
          <t>demand rate lambda</t>
        </is>
      </c>
      <c r="B5" s="4" t="n">
        <v>45</v>
      </c>
      <c r="C5" s="2" t="inlineStr">
        <is>
          <t>units per year</t>
        </is>
      </c>
    </row>
    <row r="6">
      <c r="A6" t="inlineStr">
        <is>
          <t>order cost k</t>
        </is>
      </c>
      <c r="B6" s="9" t="n">
        <v>220</v>
      </c>
      <c r="C6" s="2" t="inlineStr">
        <is>
          <t>dollars per order</t>
        </is>
      </c>
    </row>
    <row r="7">
      <c r="A7" t="inlineStr">
        <is>
          <t>holding cost h</t>
        </is>
      </c>
      <c r="B7" s="9" t="n">
        <v>950</v>
      </c>
      <c r="C7" s="2" t="inlineStr">
        <is>
          <t>dollars per unit per year</t>
        </is>
      </c>
    </row>
    <row r="8">
      <c r="A8" t="inlineStr">
        <is>
          <t>backorder cost b</t>
        </is>
      </c>
      <c r="B8" s="9" t="n">
        <v>8550</v>
      </c>
      <c r="C8" s="2" t="inlineStr">
        <is>
          <t>dollars per unit per year</t>
        </is>
      </c>
    </row>
    <row r="9">
      <c r="A9" t="inlineStr">
        <is>
          <t>lead time L</t>
        </is>
      </c>
      <c r="B9" s="10" t="n">
        <v>0.1666666666666667</v>
      </c>
      <c r="C9" s="2" t="inlineStr">
        <is>
          <t>years</t>
        </is>
      </c>
    </row>
    <row r="10">
      <c r="A10" t="inlineStr">
        <is>
          <t>theta = lambda L</t>
        </is>
      </c>
      <c r="B10" s="8">
        <f>B5*B9</f>
        <v/>
      </c>
    </row>
    <row r="11"/>
    <row r="12">
      <c r="A12" s="3" t="inlineStr">
        <is>
          <t>Targets</t>
        </is>
      </c>
    </row>
    <row r="13">
      <c r="A13" t="inlineStr">
        <is>
          <t>Type 1 target alpha</t>
        </is>
      </c>
      <c r="B13" s="19" t="n">
        <v>0.95</v>
      </c>
      <c r="C13" s="2" t="inlineStr">
        <is>
          <t>probability a cycle has no stockout</t>
        </is>
      </c>
    </row>
    <row r="14">
      <c r="A14" t="inlineStr">
        <is>
          <t>Type 2 target beta</t>
        </is>
      </c>
      <c r="B14" s="19" t="n">
        <v>0.95</v>
      </c>
      <c r="C14" s="2" t="inlineStr">
        <is>
          <t>fraction of demand filled</t>
        </is>
      </c>
    </row>
    <row r="15">
      <c r="A15" t="inlineStr">
        <is>
          <t>order quantity for the targets</t>
        </is>
      </c>
      <c r="B15" s="4" t="n">
        <v>5</v>
      </c>
      <c r="C15" s="2" t="inlineStr">
        <is>
          <t>units</t>
        </is>
      </c>
    </row>
    <row r="16">
      <c r="A16" t="inlineStr">
        <is>
          <t>Type 1 reorder point</t>
        </is>
      </c>
      <c r="B16" s="7">
        <f>MATCH($B$13,C19:C59,1)</f>
        <v/>
      </c>
    </row>
    <row r="17">
      <c r="A17" t="inlineStr">
        <is>
          <t>Type 2 reorder point</t>
        </is>
      </c>
      <c r="B17" s="7">
        <f>COUNTIF(E19:E59,"&gt;"&amp;(1-$B$14)*$B$15)</f>
        <v/>
      </c>
    </row>
    <row r="18">
      <c r="A18" s="13" t="inlineStr">
        <is>
          <t>Type 1 reads the distribution function; Type 2 reads the loss function.</t>
        </is>
      </c>
      <c r="B18" s="5" t="inlineStr">
        <is>
          <t>g(s)</t>
        </is>
      </c>
      <c r="C18" s="5" t="inlineStr">
        <is>
          <t>G(s)</t>
        </is>
      </c>
      <c r="D18" s="5" t="inlineStr">
        <is>
          <t>G0(s)</t>
        </is>
      </c>
      <c r="E18" s="5" t="inlineStr">
        <is>
          <t>G1(s)</t>
        </is>
      </c>
      <c r="F18" s="5" t="inlineStr">
        <is>
          <t>G2(s)</t>
        </is>
      </c>
    </row>
    <row r="19">
      <c r="A19" s="6" t="n">
        <v>0</v>
      </c>
      <c r="B19" s="16">
        <f>_xlfn.POISSON.DIST(A19,$B$10,FALSE)</f>
        <v/>
      </c>
      <c r="C19" s="16">
        <f>_xlfn.POISSON.DIST(A19,$B$10,TRUE)</f>
        <v/>
      </c>
      <c r="D19" s="16">
        <f>1-C19</f>
        <v/>
      </c>
      <c r="E19" s="8">
        <f>$B$10</f>
        <v/>
      </c>
      <c r="F19" s="8">
        <f>$B$10^2/2</f>
        <v/>
      </c>
    </row>
    <row r="20">
      <c r="A20" s="6" t="n">
        <v>1</v>
      </c>
      <c r="B20" s="16">
        <f>_xlfn.POISSON.DIST(A20,$B$10,FALSE)</f>
        <v/>
      </c>
      <c r="C20" s="16">
        <f>_xlfn.POISSON.DIST(A20,$B$10,TRUE)</f>
        <v/>
      </c>
      <c r="D20" s="16">
        <f>1-C20</f>
        <v/>
      </c>
      <c r="E20" s="8">
        <f>E19-D19</f>
        <v/>
      </c>
      <c r="F20" s="8">
        <f>F19-E20</f>
        <v/>
      </c>
    </row>
    <row r="21">
      <c r="A21" s="6" t="n">
        <v>2</v>
      </c>
      <c r="B21" s="16">
        <f>_xlfn.POISSON.DIST(A21,$B$10,FALSE)</f>
        <v/>
      </c>
      <c r="C21" s="16">
        <f>_xlfn.POISSON.DIST(A21,$B$10,TRUE)</f>
        <v/>
      </c>
      <c r="D21" s="16">
        <f>1-C21</f>
        <v/>
      </c>
      <c r="E21" s="8">
        <f>E20-D20</f>
        <v/>
      </c>
      <c r="F21" s="8">
        <f>F20-E21</f>
        <v/>
      </c>
    </row>
    <row r="22">
      <c r="A22" s="6" t="n">
        <v>3</v>
      </c>
      <c r="B22" s="16">
        <f>_xlfn.POISSON.DIST(A22,$B$10,FALSE)</f>
        <v/>
      </c>
      <c r="C22" s="16">
        <f>_xlfn.POISSON.DIST(A22,$B$10,TRUE)</f>
        <v/>
      </c>
      <c r="D22" s="16">
        <f>1-C22</f>
        <v/>
      </c>
      <c r="E22" s="8">
        <f>E21-D21</f>
        <v/>
      </c>
      <c r="F22" s="8">
        <f>F21-E22</f>
        <v/>
      </c>
    </row>
    <row r="23">
      <c r="A23" s="6" t="n">
        <v>4</v>
      </c>
      <c r="B23" s="16">
        <f>_xlfn.POISSON.DIST(A23,$B$10,FALSE)</f>
        <v/>
      </c>
      <c r="C23" s="16">
        <f>_xlfn.POISSON.DIST(A23,$B$10,TRUE)</f>
        <v/>
      </c>
      <c r="D23" s="16">
        <f>1-C23</f>
        <v/>
      </c>
      <c r="E23" s="8">
        <f>E22-D22</f>
        <v/>
      </c>
      <c r="F23" s="8">
        <f>F22-E23</f>
        <v/>
      </c>
    </row>
    <row r="24">
      <c r="A24" s="6" t="n">
        <v>5</v>
      </c>
      <c r="B24" s="16">
        <f>_xlfn.POISSON.DIST(A24,$B$10,FALSE)</f>
        <v/>
      </c>
      <c r="C24" s="16">
        <f>_xlfn.POISSON.DIST(A24,$B$10,TRUE)</f>
        <v/>
      </c>
      <c r="D24" s="16">
        <f>1-C24</f>
        <v/>
      </c>
      <c r="E24" s="8">
        <f>E23-D23</f>
        <v/>
      </c>
      <c r="F24" s="8">
        <f>F23-E24</f>
        <v/>
      </c>
    </row>
    <row r="25">
      <c r="A25" s="6" t="n">
        <v>6</v>
      </c>
      <c r="B25" s="16">
        <f>_xlfn.POISSON.DIST(A25,$B$10,FALSE)</f>
        <v/>
      </c>
      <c r="C25" s="16">
        <f>_xlfn.POISSON.DIST(A25,$B$10,TRUE)</f>
        <v/>
      </c>
      <c r="D25" s="16">
        <f>1-C25</f>
        <v/>
      </c>
      <c r="E25" s="8">
        <f>E24-D24</f>
        <v/>
      </c>
      <c r="F25" s="8">
        <f>F24-E25</f>
        <v/>
      </c>
    </row>
    <row r="26">
      <c r="A26" s="6" t="n">
        <v>7</v>
      </c>
      <c r="B26" s="16">
        <f>_xlfn.POISSON.DIST(A26,$B$10,FALSE)</f>
        <v/>
      </c>
      <c r="C26" s="16">
        <f>_xlfn.POISSON.DIST(A26,$B$10,TRUE)</f>
        <v/>
      </c>
      <c r="D26" s="16">
        <f>1-C26</f>
        <v/>
      </c>
      <c r="E26" s="8">
        <f>E25-D25</f>
        <v/>
      </c>
      <c r="F26" s="8">
        <f>F25-E26</f>
        <v/>
      </c>
    </row>
    <row r="27">
      <c r="A27" s="6" t="n">
        <v>8</v>
      </c>
      <c r="B27" s="16">
        <f>_xlfn.POISSON.DIST(A27,$B$10,FALSE)</f>
        <v/>
      </c>
      <c r="C27" s="16">
        <f>_xlfn.POISSON.DIST(A27,$B$10,TRUE)</f>
        <v/>
      </c>
      <c r="D27" s="16">
        <f>1-C27</f>
        <v/>
      </c>
      <c r="E27" s="8">
        <f>E26-D26</f>
        <v/>
      </c>
      <c r="F27" s="8">
        <f>F26-E27</f>
        <v/>
      </c>
    </row>
    <row r="28">
      <c r="A28" s="6" t="n">
        <v>9</v>
      </c>
      <c r="B28" s="16">
        <f>_xlfn.POISSON.DIST(A28,$B$10,FALSE)</f>
        <v/>
      </c>
      <c r="C28" s="16">
        <f>_xlfn.POISSON.DIST(A28,$B$10,TRUE)</f>
        <v/>
      </c>
      <c r="D28" s="16">
        <f>1-C28</f>
        <v/>
      </c>
      <c r="E28" s="8">
        <f>E27-D27</f>
        <v/>
      </c>
      <c r="F28" s="8">
        <f>F27-E28</f>
        <v/>
      </c>
    </row>
    <row r="29">
      <c r="A29" s="6" t="n">
        <v>10</v>
      </c>
      <c r="B29" s="16">
        <f>_xlfn.POISSON.DIST(A29,$B$10,FALSE)</f>
        <v/>
      </c>
      <c r="C29" s="16">
        <f>_xlfn.POISSON.DIST(A29,$B$10,TRUE)</f>
        <v/>
      </c>
      <c r="D29" s="16">
        <f>1-C29</f>
        <v/>
      </c>
      <c r="E29" s="8">
        <f>E28-D28</f>
        <v/>
      </c>
      <c r="F29" s="8">
        <f>F28-E29</f>
        <v/>
      </c>
    </row>
    <row r="30">
      <c r="A30" s="6" t="n">
        <v>11</v>
      </c>
      <c r="B30" s="16">
        <f>_xlfn.POISSON.DIST(A30,$B$10,FALSE)</f>
        <v/>
      </c>
      <c r="C30" s="16">
        <f>_xlfn.POISSON.DIST(A30,$B$10,TRUE)</f>
        <v/>
      </c>
      <c r="D30" s="16">
        <f>1-C30</f>
        <v/>
      </c>
      <c r="E30" s="8">
        <f>E29-D29</f>
        <v/>
      </c>
      <c r="F30" s="8">
        <f>F29-E30</f>
        <v/>
      </c>
    </row>
    <row r="31">
      <c r="A31" s="6" t="n">
        <v>12</v>
      </c>
      <c r="B31" s="16">
        <f>_xlfn.POISSON.DIST(A31,$B$10,FALSE)</f>
        <v/>
      </c>
      <c r="C31" s="16">
        <f>_xlfn.POISSON.DIST(A31,$B$10,TRUE)</f>
        <v/>
      </c>
      <c r="D31" s="16">
        <f>1-C31</f>
        <v/>
      </c>
      <c r="E31" s="8">
        <f>E30-D30</f>
        <v/>
      </c>
      <c r="F31" s="8">
        <f>F30-E31</f>
        <v/>
      </c>
    </row>
    <row r="32">
      <c r="A32" s="6" t="n">
        <v>13</v>
      </c>
      <c r="B32" s="16">
        <f>_xlfn.POISSON.DIST(A32,$B$10,FALSE)</f>
        <v/>
      </c>
      <c r="C32" s="16">
        <f>_xlfn.POISSON.DIST(A32,$B$10,TRUE)</f>
        <v/>
      </c>
      <c r="D32" s="16">
        <f>1-C32</f>
        <v/>
      </c>
      <c r="E32" s="8">
        <f>E31-D31</f>
        <v/>
      </c>
      <c r="F32" s="8">
        <f>F31-E32</f>
        <v/>
      </c>
    </row>
    <row r="33">
      <c r="A33" s="6" t="n">
        <v>14</v>
      </c>
      <c r="B33" s="16">
        <f>_xlfn.POISSON.DIST(A33,$B$10,FALSE)</f>
        <v/>
      </c>
      <c r="C33" s="16">
        <f>_xlfn.POISSON.DIST(A33,$B$10,TRUE)</f>
        <v/>
      </c>
      <c r="D33" s="16">
        <f>1-C33</f>
        <v/>
      </c>
      <c r="E33" s="8">
        <f>E32-D32</f>
        <v/>
      </c>
      <c r="F33" s="8">
        <f>F32-E33</f>
        <v/>
      </c>
    </row>
    <row r="34">
      <c r="A34" s="6" t="n">
        <v>15</v>
      </c>
      <c r="B34" s="16">
        <f>_xlfn.POISSON.DIST(A34,$B$10,FALSE)</f>
        <v/>
      </c>
      <c r="C34" s="16">
        <f>_xlfn.POISSON.DIST(A34,$B$10,TRUE)</f>
        <v/>
      </c>
      <c r="D34" s="16">
        <f>1-C34</f>
        <v/>
      </c>
      <c r="E34" s="8">
        <f>E33-D33</f>
        <v/>
      </c>
      <c r="F34" s="8">
        <f>F33-E34</f>
        <v/>
      </c>
    </row>
    <row r="35">
      <c r="A35" s="6" t="n">
        <v>16</v>
      </c>
      <c r="B35" s="16">
        <f>_xlfn.POISSON.DIST(A35,$B$10,FALSE)</f>
        <v/>
      </c>
      <c r="C35" s="16">
        <f>_xlfn.POISSON.DIST(A35,$B$10,TRUE)</f>
        <v/>
      </c>
      <c r="D35" s="16">
        <f>1-C35</f>
        <v/>
      </c>
      <c r="E35" s="8">
        <f>E34-D34</f>
        <v/>
      </c>
      <c r="F35" s="8">
        <f>F34-E35</f>
        <v/>
      </c>
    </row>
    <row r="36">
      <c r="A36" s="6" t="n">
        <v>17</v>
      </c>
      <c r="B36" s="16">
        <f>_xlfn.POISSON.DIST(A36,$B$10,FALSE)</f>
        <v/>
      </c>
      <c r="C36" s="16">
        <f>_xlfn.POISSON.DIST(A36,$B$10,TRUE)</f>
        <v/>
      </c>
      <c r="D36" s="16">
        <f>1-C36</f>
        <v/>
      </c>
      <c r="E36" s="8">
        <f>E35-D35</f>
        <v/>
      </c>
      <c r="F36" s="8">
        <f>F35-E36</f>
        <v/>
      </c>
    </row>
    <row r="37">
      <c r="A37" s="6" t="n">
        <v>18</v>
      </c>
      <c r="B37" s="16">
        <f>_xlfn.POISSON.DIST(A37,$B$10,FALSE)</f>
        <v/>
      </c>
      <c r="C37" s="16">
        <f>_xlfn.POISSON.DIST(A37,$B$10,TRUE)</f>
        <v/>
      </c>
      <c r="D37" s="16">
        <f>1-C37</f>
        <v/>
      </c>
      <c r="E37" s="8">
        <f>E36-D36</f>
        <v/>
      </c>
      <c r="F37" s="8">
        <f>F36-E37</f>
        <v/>
      </c>
    </row>
    <row r="38">
      <c r="A38" s="6" t="n">
        <v>19</v>
      </c>
      <c r="B38" s="16">
        <f>_xlfn.POISSON.DIST(A38,$B$10,FALSE)</f>
        <v/>
      </c>
      <c r="C38" s="16">
        <f>_xlfn.POISSON.DIST(A38,$B$10,TRUE)</f>
        <v/>
      </c>
      <c r="D38" s="16">
        <f>1-C38</f>
        <v/>
      </c>
      <c r="E38" s="8">
        <f>E37-D37</f>
        <v/>
      </c>
      <c r="F38" s="8">
        <f>F37-E38</f>
        <v/>
      </c>
    </row>
    <row r="39">
      <c r="A39" s="6" t="n">
        <v>20</v>
      </c>
      <c r="B39" s="16">
        <f>_xlfn.POISSON.DIST(A39,$B$10,FALSE)</f>
        <v/>
      </c>
      <c r="C39" s="16">
        <f>_xlfn.POISSON.DIST(A39,$B$10,TRUE)</f>
        <v/>
      </c>
      <c r="D39" s="16">
        <f>1-C39</f>
        <v/>
      </c>
      <c r="E39" s="8">
        <f>E38-D38</f>
        <v/>
      </c>
      <c r="F39" s="8">
        <f>F38-E39</f>
        <v/>
      </c>
    </row>
    <row r="40">
      <c r="A40" s="6" t="n">
        <v>21</v>
      </c>
      <c r="B40" s="16">
        <f>_xlfn.POISSON.DIST(A40,$B$10,FALSE)</f>
        <v/>
      </c>
      <c r="C40" s="16">
        <f>_xlfn.POISSON.DIST(A40,$B$10,TRUE)</f>
        <v/>
      </c>
      <c r="D40" s="16">
        <f>1-C40</f>
        <v/>
      </c>
      <c r="E40" s="8">
        <f>E39-D39</f>
        <v/>
      </c>
      <c r="F40" s="8">
        <f>F39-E40</f>
        <v/>
      </c>
    </row>
    <row r="41">
      <c r="A41" s="6" t="n">
        <v>22</v>
      </c>
      <c r="B41" s="16">
        <f>_xlfn.POISSON.DIST(A41,$B$10,FALSE)</f>
        <v/>
      </c>
      <c r="C41" s="16">
        <f>_xlfn.POISSON.DIST(A41,$B$10,TRUE)</f>
        <v/>
      </c>
      <c r="D41" s="16">
        <f>1-C41</f>
        <v/>
      </c>
      <c r="E41" s="8">
        <f>E40-D40</f>
        <v/>
      </c>
      <c r="F41" s="8">
        <f>F40-E41</f>
        <v/>
      </c>
    </row>
    <row r="42">
      <c r="A42" s="6" t="n">
        <v>23</v>
      </c>
      <c r="B42" s="16">
        <f>_xlfn.POISSON.DIST(A42,$B$10,FALSE)</f>
        <v/>
      </c>
      <c r="C42" s="16">
        <f>_xlfn.POISSON.DIST(A42,$B$10,TRUE)</f>
        <v/>
      </c>
      <c r="D42" s="16">
        <f>1-C42</f>
        <v/>
      </c>
      <c r="E42" s="8">
        <f>E41-D41</f>
        <v/>
      </c>
      <c r="F42" s="8">
        <f>F41-E42</f>
        <v/>
      </c>
    </row>
    <row r="43">
      <c r="A43" s="6" t="n">
        <v>24</v>
      </c>
      <c r="B43" s="16">
        <f>_xlfn.POISSON.DIST(A43,$B$10,FALSE)</f>
        <v/>
      </c>
      <c r="C43" s="16">
        <f>_xlfn.POISSON.DIST(A43,$B$10,TRUE)</f>
        <v/>
      </c>
      <c r="D43" s="16">
        <f>1-C43</f>
        <v/>
      </c>
      <c r="E43" s="8">
        <f>E42-D42</f>
        <v/>
      </c>
      <c r="F43" s="8">
        <f>F42-E43</f>
        <v/>
      </c>
    </row>
    <row r="44">
      <c r="A44" s="6" t="n">
        <v>25</v>
      </c>
      <c r="B44" s="16">
        <f>_xlfn.POISSON.DIST(A44,$B$10,FALSE)</f>
        <v/>
      </c>
      <c r="C44" s="16">
        <f>_xlfn.POISSON.DIST(A44,$B$10,TRUE)</f>
        <v/>
      </c>
      <c r="D44" s="16">
        <f>1-C44</f>
        <v/>
      </c>
      <c r="E44" s="8">
        <f>E43-D43</f>
        <v/>
      </c>
      <c r="F44" s="8">
        <f>F43-E44</f>
        <v/>
      </c>
    </row>
    <row r="45">
      <c r="A45" s="6" t="n">
        <v>26</v>
      </c>
      <c r="B45" s="16">
        <f>_xlfn.POISSON.DIST(A45,$B$10,FALSE)</f>
        <v/>
      </c>
      <c r="C45" s="16">
        <f>_xlfn.POISSON.DIST(A45,$B$10,TRUE)</f>
        <v/>
      </c>
      <c r="D45" s="16">
        <f>1-C45</f>
        <v/>
      </c>
      <c r="E45" s="8">
        <f>E44-D44</f>
        <v/>
      </c>
      <c r="F45" s="8">
        <f>F44-E45</f>
        <v/>
      </c>
    </row>
    <row r="46">
      <c r="A46" s="6" t="n">
        <v>27</v>
      </c>
      <c r="B46" s="16">
        <f>_xlfn.POISSON.DIST(A46,$B$10,FALSE)</f>
        <v/>
      </c>
      <c r="C46" s="16">
        <f>_xlfn.POISSON.DIST(A46,$B$10,TRUE)</f>
        <v/>
      </c>
      <c r="D46" s="16">
        <f>1-C46</f>
        <v/>
      </c>
      <c r="E46" s="8">
        <f>E45-D45</f>
        <v/>
      </c>
      <c r="F46" s="8">
        <f>F45-E46</f>
        <v/>
      </c>
    </row>
    <row r="47">
      <c r="A47" s="6" t="n">
        <v>28</v>
      </c>
      <c r="B47" s="16">
        <f>_xlfn.POISSON.DIST(A47,$B$10,FALSE)</f>
        <v/>
      </c>
      <c r="C47" s="16">
        <f>_xlfn.POISSON.DIST(A47,$B$10,TRUE)</f>
        <v/>
      </c>
      <c r="D47" s="16">
        <f>1-C47</f>
        <v/>
      </c>
      <c r="E47" s="8">
        <f>E46-D46</f>
        <v/>
      </c>
      <c r="F47" s="8">
        <f>F46-E47</f>
        <v/>
      </c>
    </row>
    <row r="48">
      <c r="A48" s="6" t="n">
        <v>29</v>
      </c>
      <c r="B48" s="16">
        <f>_xlfn.POISSON.DIST(A48,$B$10,FALSE)</f>
        <v/>
      </c>
      <c r="C48" s="16">
        <f>_xlfn.POISSON.DIST(A48,$B$10,TRUE)</f>
        <v/>
      </c>
      <c r="D48" s="16">
        <f>1-C48</f>
        <v/>
      </c>
      <c r="E48" s="8">
        <f>E47-D47</f>
        <v/>
      </c>
      <c r="F48" s="8">
        <f>F47-E48</f>
        <v/>
      </c>
    </row>
    <row r="49">
      <c r="A49" s="6" t="n">
        <v>30</v>
      </c>
      <c r="B49" s="16">
        <f>_xlfn.POISSON.DIST(A49,$B$10,FALSE)</f>
        <v/>
      </c>
      <c r="C49" s="16">
        <f>_xlfn.POISSON.DIST(A49,$B$10,TRUE)</f>
        <v/>
      </c>
      <c r="D49" s="16">
        <f>1-C49</f>
        <v/>
      </c>
      <c r="E49" s="8">
        <f>E48-D48</f>
        <v/>
      </c>
      <c r="F49" s="8">
        <f>F48-E49</f>
        <v/>
      </c>
    </row>
    <row r="50">
      <c r="A50" s="6" t="n">
        <v>31</v>
      </c>
      <c r="B50" s="16">
        <f>_xlfn.POISSON.DIST(A50,$B$10,FALSE)</f>
        <v/>
      </c>
      <c r="C50" s="16">
        <f>_xlfn.POISSON.DIST(A50,$B$10,TRUE)</f>
        <v/>
      </c>
      <c r="D50" s="16">
        <f>1-C50</f>
        <v/>
      </c>
      <c r="E50" s="8">
        <f>E49-D49</f>
        <v/>
      </c>
      <c r="F50" s="8">
        <f>F49-E50</f>
        <v/>
      </c>
    </row>
    <row r="51">
      <c r="A51" s="6" t="n">
        <v>32</v>
      </c>
      <c r="B51" s="16">
        <f>_xlfn.POISSON.DIST(A51,$B$10,FALSE)</f>
        <v/>
      </c>
      <c r="C51" s="16">
        <f>_xlfn.POISSON.DIST(A51,$B$10,TRUE)</f>
        <v/>
      </c>
      <c r="D51" s="16">
        <f>1-C51</f>
        <v/>
      </c>
      <c r="E51" s="8">
        <f>E50-D50</f>
        <v/>
      </c>
      <c r="F51" s="8">
        <f>F50-E51</f>
        <v/>
      </c>
    </row>
    <row r="52">
      <c r="A52" s="6" t="n">
        <v>33</v>
      </c>
      <c r="B52" s="16">
        <f>_xlfn.POISSON.DIST(A52,$B$10,FALSE)</f>
        <v/>
      </c>
      <c r="C52" s="16">
        <f>_xlfn.POISSON.DIST(A52,$B$10,TRUE)</f>
        <v/>
      </c>
      <c r="D52" s="16">
        <f>1-C52</f>
        <v/>
      </c>
      <c r="E52" s="8">
        <f>E51-D51</f>
        <v/>
      </c>
      <c r="F52" s="8">
        <f>F51-E52</f>
        <v/>
      </c>
    </row>
    <row r="53">
      <c r="A53" s="6" t="n">
        <v>34</v>
      </c>
      <c r="B53" s="16">
        <f>_xlfn.POISSON.DIST(A53,$B$10,FALSE)</f>
        <v/>
      </c>
      <c r="C53" s="16">
        <f>_xlfn.POISSON.DIST(A53,$B$10,TRUE)</f>
        <v/>
      </c>
      <c r="D53" s="16">
        <f>1-C53</f>
        <v/>
      </c>
      <c r="E53" s="8">
        <f>E52-D52</f>
        <v/>
      </c>
      <c r="F53" s="8">
        <f>F52-E53</f>
        <v/>
      </c>
    </row>
    <row r="54">
      <c r="A54" s="6" t="n">
        <v>35</v>
      </c>
      <c r="B54" s="16">
        <f>_xlfn.POISSON.DIST(A54,$B$10,FALSE)</f>
        <v/>
      </c>
      <c r="C54" s="16">
        <f>_xlfn.POISSON.DIST(A54,$B$10,TRUE)</f>
        <v/>
      </c>
      <c r="D54" s="16">
        <f>1-C54</f>
        <v/>
      </c>
      <c r="E54" s="8">
        <f>E53-D53</f>
        <v/>
      </c>
      <c r="F54" s="8">
        <f>F53-E54</f>
        <v/>
      </c>
    </row>
    <row r="55">
      <c r="A55" s="6" t="n">
        <v>36</v>
      </c>
      <c r="B55" s="16">
        <f>_xlfn.POISSON.DIST(A55,$B$10,FALSE)</f>
        <v/>
      </c>
      <c r="C55" s="16">
        <f>_xlfn.POISSON.DIST(A55,$B$10,TRUE)</f>
        <v/>
      </c>
      <c r="D55" s="16">
        <f>1-C55</f>
        <v/>
      </c>
      <c r="E55" s="8">
        <f>E54-D54</f>
        <v/>
      </c>
      <c r="F55" s="8">
        <f>F54-E55</f>
        <v/>
      </c>
    </row>
    <row r="56">
      <c r="A56" s="6" t="n">
        <v>37</v>
      </c>
      <c r="B56" s="16">
        <f>_xlfn.POISSON.DIST(A56,$B$10,FALSE)</f>
        <v/>
      </c>
      <c r="C56" s="16">
        <f>_xlfn.POISSON.DIST(A56,$B$10,TRUE)</f>
        <v/>
      </c>
      <c r="D56" s="16">
        <f>1-C56</f>
        <v/>
      </c>
      <c r="E56" s="8">
        <f>E55-D55</f>
        <v/>
      </c>
      <c r="F56" s="8">
        <f>F55-E56</f>
        <v/>
      </c>
    </row>
    <row r="57">
      <c r="A57" s="6" t="n">
        <v>38</v>
      </c>
      <c r="B57" s="16">
        <f>_xlfn.POISSON.DIST(A57,$B$10,FALSE)</f>
        <v/>
      </c>
      <c r="C57" s="16">
        <f>_xlfn.POISSON.DIST(A57,$B$10,TRUE)</f>
        <v/>
      </c>
      <c r="D57" s="16">
        <f>1-C57</f>
        <v/>
      </c>
      <c r="E57" s="8">
        <f>E56-D56</f>
        <v/>
      </c>
      <c r="F57" s="8">
        <f>F56-E57</f>
        <v/>
      </c>
    </row>
    <row r="58">
      <c r="A58" s="6" t="n">
        <v>39</v>
      </c>
      <c r="B58" s="16">
        <f>_xlfn.POISSON.DIST(A58,$B$10,FALSE)</f>
        <v/>
      </c>
      <c r="C58" s="16">
        <f>_xlfn.POISSON.DIST(A58,$B$10,TRUE)</f>
        <v/>
      </c>
      <c r="D58" s="16">
        <f>1-C58</f>
        <v/>
      </c>
      <c r="E58" s="8">
        <f>E57-D57</f>
        <v/>
      </c>
      <c r="F58" s="8">
        <f>F57-E58</f>
        <v/>
      </c>
    </row>
    <row r="59">
      <c r="A59" s="6" t="n">
        <v>40</v>
      </c>
      <c r="B59" s="16">
        <f>_xlfn.POISSON.DIST(A59,$B$10,FALSE)</f>
        <v/>
      </c>
      <c r="C59" s="16">
        <f>_xlfn.POISSON.DIST(A59,$B$10,TRUE)</f>
        <v/>
      </c>
      <c r="D59" s="16">
        <f>1-C59</f>
        <v/>
      </c>
      <c r="E59" s="8">
        <f>E58-D58</f>
        <v/>
      </c>
      <c r="F59" s="8">
        <f>F58-E59</f>
        <v/>
      </c>
    </row>
    <row r="60"/>
    <row r="61">
      <c r="A61" s="3" t="inlineStr">
        <is>
          <t>The constrained program of @eq-service-program</t>
        </is>
      </c>
    </row>
    <row r="62">
      <c r="A62" s="5" t="inlineStr">
        <is>
          <t>Q</t>
        </is>
      </c>
      <c r="B62" s="5" t="inlineStr">
        <is>
          <t>(1-beta)Q</t>
        </is>
      </c>
      <c r="C62" s="5" t="inlineStr">
        <is>
          <t>r</t>
        </is>
      </c>
      <c r="D62" s="5" t="inlineStr">
        <is>
          <t>G1(r)</t>
        </is>
      </c>
      <c r="E62" s="5" t="inlineStr">
        <is>
          <t>ordering</t>
        </is>
      </c>
      <c r="F62" s="5" t="inlineStr">
        <is>
          <t>holding</t>
        </is>
      </c>
      <c r="G62" s="5" t="inlineStr">
        <is>
          <t>total</t>
        </is>
      </c>
    </row>
    <row r="63">
      <c r="A63" s="6" t="n">
        <v>1</v>
      </c>
      <c r="B63" s="8">
        <f>(1-$B$14)*A63</f>
        <v/>
      </c>
      <c r="C63" s="7">
        <f>COUNTIF($E$19:$E$59,"&gt;"&amp;B63)</f>
        <v/>
      </c>
      <c r="D63" s="8">
        <f>INDEX($E$19:$E$59,C63+1)</f>
        <v/>
      </c>
      <c r="E63" s="11">
        <f>$B$6*$B$5/A63</f>
        <v/>
      </c>
      <c r="F63" s="11">
        <f>$B$7*(A63/2+C63-$B$10)</f>
        <v/>
      </c>
      <c r="G63" s="11">
        <f>E63+F63</f>
        <v/>
      </c>
    </row>
    <row r="64">
      <c r="A64" s="6" t="n">
        <v>2</v>
      </c>
      <c r="B64" s="8">
        <f>(1-$B$14)*A64</f>
        <v/>
      </c>
      <c r="C64" s="7">
        <f>COUNTIF($E$19:$E$59,"&gt;"&amp;B64)</f>
        <v/>
      </c>
      <c r="D64" s="8">
        <f>INDEX($E$19:$E$59,C64+1)</f>
        <v/>
      </c>
      <c r="E64" s="11">
        <f>$B$6*$B$5/A64</f>
        <v/>
      </c>
      <c r="F64" s="11">
        <f>$B$7*(A64/2+C64-$B$10)</f>
        <v/>
      </c>
      <c r="G64" s="11">
        <f>E64+F64</f>
        <v/>
      </c>
    </row>
    <row r="65">
      <c r="A65" s="6" t="n">
        <v>3</v>
      </c>
      <c r="B65" s="8">
        <f>(1-$B$14)*A65</f>
        <v/>
      </c>
      <c r="C65" s="7">
        <f>COUNTIF($E$19:$E$59,"&gt;"&amp;B65)</f>
        <v/>
      </c>
      <c r="D65" s="8">
        <f>INDEX($E$19:$E$59,C65+1)</f>
        <v/>
      </c>
      <c r="E65" s="11">
        <f>$B$6*$B$5/A65</f>
        <v/>
      </c>
      <c r="F65" s="11">
        <f>$B$7*(A65/2+C65-$B$10)</f>
        <v/>
      </c>
      <c r="G65" s="11">
        <f>E65+F65</f>
        <v/>
      </c>
    </row>
    <row r="66">
      <c r="A66" s="6" t="n">
        <v>4</v>
      </c>
      <c r="B66" s="8">
        <f>(1-$B$14)*A66</f>
        <v/>
      </c>
      <c r="C66" s="7">
        <f>COUNTIF($E$19:$E$59,"&gt;"&amp;B66)</f>
        <v/>
      </c>
      <c r="D66" s="8">
        <f>INDEX($E$19:$E$59,C66+1)</f>
        <v/>
      </c>
      <c r="E66" s="11">
        <f>$B$6*$B$5/A66</f>
        <v/>
      </c>
      <c r="F66" s="11">
        <f>$B$7*(A66/2+C66-$B$10)</f>
        <v/>
      </c>
      <c r="G66" s="11">
        <f>E66+F66</f>
        <v/>
      </c>
    </row>
    <row r="67">
      <c r="A67" s="6" t="n">
        <v>5</v>
      </c>
      <c r="B67" s="8">
        <f>(1-$B$14)*A67</f>
        <v/>
      </c>
      <c r="C67" s="7">
        <f>COUNTIF($E$19:$E$59,"&gt;"&amp;B67)</f>
        <v/>
      </c>
      <c r="D67" s="8">
        <f>INDEX($E$19:$E$59,C67+1)</f>
        <v/>
      </c>
      <c r="E67" s="11">
        <f>$B$6*$B$5/A67</f>
        <v/>
      </c>
      <c r="F67" s="11">
        <f>$B$7*(A67/2+C67-$B$10)</f>
        <v/>
      </c>
      <c r="G67" s="11">
        <f>E67+F67</f>
        <v/>
      </c>
    </row>
    <row r="68">
      <c r="A68" s="6" t="n">
        <v>6</v>
      </c>
      <c r="B68" s="8">
        <f>(1-$B$14)*A68</f>
        <v/>
      </c>
      <c r="C68" s="7">
        <f>COUNTIF($E$19:$E$59,"&gt;"&amp;B68)</f>
        <v/>
      </c>
      <c r="D68" s="8">
        <f>INDEX($E$19:$E$59,C68+1)</f>
        <v/>
      </c>
      <c r="E68" s="11">
        <f>$B$6*$B$5/A68</f>
        <v/>
      </c>
      <c r="F68" s="11">
        <f>$B$7*(A68/2+C68-$B$10)</f>
        <v/>
      </c>
      <c r="G68" s="11">
        <f>E68+F68</f>
        <v/>
      </c>
    </row>
    <row r="69">
      <c r="A69" s="6" t="n">
        <v>7</v>
      </c>
      <c r="B69" s="8">
        <f>(1-$B$14)*A69</f>
        <v/>
      </c>
      <c r="C69" s="7">
        <f>COUNTIF($E$19:$E$59,"&gt;"&amp;B69)</f>
        <v/>
      </c>
      <c r="D69" s="8">
        <f>INDEX($E$19:$E$59,C69+1)</f>
        <v/>
      </c>
      <c r="E69" s="11">
        <f>$B$6*$B$5/A69</f>
        <v/>
      </c>
      <c r="F69" s="11">
        <f>$B$7*(A69/2+C69-$B$10)</f>
        <v/>
      </c>
      <c r="G69" s="11">
        <f>E69+F69</f>
        <v/>
      </c>
    </row>
    <row r="70">
      <c r="A70" s="6" t="n">
        <v>8</v>
      </c>
      <c r="B70" s="8">
        <f>(1-$B$14)*A70</f>
        <v/>
      </c>
      <c r="C70" s="7">
        <f>COUNTIF($E$19:$E$59,"&gt;"&amp;B70)</f>
        <v/>
      </c>
      <c r="D70" s="8">
        <f>INDEX($E$19:$E$59,C70+1)</f>
        <v/>
      </c>
      <c r="E70" s="11">
        <f>$B$6*$B$5/A70</f>
        <v/>
      </c>
      <c r="F70" s="11">
        <f>$B$7*(A70/2+C70-$B$10)</f>
        <v/>
      </c>
      <c r="G70" s="11">
        <f>E70+F70</f>
        <v/>
      </c>
    </row>
    <row r="71">
      <c r="A71" s="6" t="n">
        <v>9</v>
      </c>
      <c r="B71" s="8">
        <f>(1-$B$14)*A71</f>
        <v/>
      </c>
      <c r="C71" s="7">
        <f>COUNTIF($E$19:$E$59,"&gt;"&amp;B71)</f>
        <v/>
      </c>
      <c r="D71" s="8">
        <f>INDEX($E$19:$E$59,C71+1)</f>
        <v/>
      </c>
      <c r="E71" s="11">
        <f>$B$6*$B$5/A71</f>
        <v/>
      </c>
      <c r="F71" s="11">
        <f>$B$7*(A71/2+C71-$B$10)</f>
        <v/>
      </c>
      <c r="G71" s="11">
        <f>E71+F71</f>
        <v/>
      </c>
    </row>
    <row r="72">
      <c r="A72" s="6" t="n">
        <v>10</v>
      </c>
      <c r="B72" s="8">
        <f>(1-$B$14)*A72</f>
        <v/>
      </c>
      <c r="C72" s="7">
        <f>COUNTIF($E$19:$E$59,"&gt;"&amp;B72)</f>
        <v/>
      </c>
      <c r="D72" s="8">
        <f>INDEX($E$19:$E$59,C72+1)</f>
        <v/>
      </c>
      <c r="E72" s="11">
        <f>$B$6*$B$5/A72</f>
        <v/>
      </c>
      <c r="F72" s="11">
        <f>$B$7*(A72/2+C72-$B$10)</f>
        <v/>
      </c>
      <c r="G72" s="11">
        <f>E72+F72</f>
        <v/>
      </c>
    </row>
    <row r="73">
      <c r="A73" s="6" t="n">
        <v>11</v>
      </c>
      <c r="B73" s="8">
        <f>(1-$B$14)*A73</f>
        <v/>
      </c>
      <c r="C73" s="7">
        <f>COUNTIF($E$19:$E$59,"&gt;"&amp;B73)</f>
        <v/>
      </c>
      <c r="D73" s="8">
        <f>INDEX($E$19:$E$59,C73+1)</f>
        <v/>
      </c>
      <c r="E73" s="11">
        <f>$B$6*$B$5/A73</f>
        <v/>
      </c>
      <c r="F73" s="11">
        <f>$B$7*(A73/2+C73-$B$10)</f>
        <v/>
      </c>
      <c r="G73" s="11">
        <f>E73+F73</f>
        <v/>
      </c>
    </row>
    <row r="74">
      <c r="A74" s="6" t="n">
        <v>12</v>
      </c>
      <c r="B74" s="8">
        <f>(1-$B$14)*A74</f>
        <v/>
      </c>
      <c r="C74" s="7">
        <f>COUNTIF($E$19:$E$59,"&gt;"&amp;B74)</f>
        <v/>
      </c>
      <c r="D74" s="8">
        <f>INDEX($E$19:$E$59,C74+1)</f>
        <v/>
      </c>
      <c r="E74" s="11">
        <f>$B$6*$B$5/A74</f>
        <v/>
      </c>
      <c r="F74" s="11">
        <f>$B$7*(A74/2+C74-$B$10)</f>
        <v/>
      </c>
      <c r="G74" s="11">
        <f>E74+F74</f>
        <v/>
      </c>
    </row>
    <row r="75">
      <c r="A75" s="6" t="n">
        <v>13</v>
      </c>
      <c r="B75" s="8">
        <f>(1-$B$14)*A75</f>
        <v/>
      </c>
      <c r="C75" s="7">
        <f>COUNTIF($E$19:$E$59,"&gt;"&amp;B75)</f>
        <v/>
      </c>
      <c r="D75" s="8">
        <f>INDEX($E$19:$E$59,C75+1)</f>
        <v/>
      </c>
      <c r="E75" s="11">
        <f>$B$6*$B$5/A75</f>
        <v/>
      </c>
      <c r="F75" s="11">
        <f>$B$7*(A75/2+C75-$B$10)</f>
        <v/>
      </c>
      <c r="G75" s="11">
        <f>E75+F75</f>
        <v/>
      </c>
    </row>
    <row r="76">
      <c r="A76" s="6" t="n">
        <v>14</v>
      </c>
      <c r="B76" s="8">
        <f>(1-$B$14)*A76</f>
        <v/>
      </c>
      <c r="C76" s="7">
        <f>COUNTIF($E$19:$E$59,"&gt;"&amp;B76)</f>
        <v/>
      </c>
      <c r="D76" s="8">
        <f>INDEX($E$19:$E$59,C76+1)</f>
        <v/>
      </c>
      <c r="E76" s="11">
        <f>$B$6*$B$5/A76</f>
        <v/>
      </c>
      <c r="F76" s="11">
        <f>$B$7*(A76/2+C76-$B$10)</f>
        <v/>
      </c>
      <c r="G76" s="11">
        <f>E76+F76</f>
        <v/>
      </c>
    </row>
    <row r="77">
      <c r="A77" s="6" t="n">
        <v>15</v>
      </c>
      <c r="B77" s="8">
        <f>(1-$B$14)*A77</f>
        <v/>
      </c>
      <c r="C77" s="7">
        <f>COUNTIF($E$19:$E$59,"&gt;"&amp;B77)</f>
        <v/>
      </c>
      <c r="D77" s="8">
        <f>INDEX($E$19:$E$59,C77+1)</f>
        <v/>
      </c>
      <c r="E77" s="11">
        <f>$B$6*$B$5/A77</f>
        <v/>
      </c>
      <c r="F77" s="11">
        <f>$B$7*(A77/2+C77-$B$10)</f>
        <v/>
      </c>
      <c r="G77" s="11">
        <f>E77+F77</f>
        <v/>
      </c>
    </row>
    <row r="78"/>
    <row r="79">
      <c r="A79" t="inlineStr">
        <is>
          <t>best total</t>
        </is>
      </c>
      <c r="B79" s="15">
        <f>MIN(G63:G77)</f>
        <v/>
      </c>
    </row>
    <row r="80">
      <c r="A80" t="inlineStr">
        <is>
          <t>at Q</t>
        </is>
      </c>
      <c r="B80" s="7">
        <f>INDEX(A63:A77,MATCH(B79,G63:G77,0))</f>
        <v/>
      </c>
    </row>
    <row r="81">
      <c r="A81" t="inlineStr">
        <is>
          <t>at r</t>
        </is>
      </c>
      <c r="B81" s="7">
        <f>INDEX(C63:C77,MATCH(B79,G63:G77,0))</f>
        <v/>
      </c>
    </row>
    <row r="82">
      <c r="A82" s="2" t="inlineStr">
        <is>
          <t>Read the total column downward. It is not monotone in Q, so only a full search is safe.</t>
        </is>
      </c>
    </row>
    <row r="83"/>
    <row r="84">
      <c r="A84" s="3" t="inlineStr">
        <is>
          <t>Reading the target back into a cost</t>
        </is>
      </c>
    </row>
    <row r="85">
      <c r="A85" t="inlineStr">
        <is>
          <t>imputed shortage cost</t>
        </is>
      </c>
      <c r="B85" s="11">
        <f>B80*$B$7/($B$5*INDEX($D$19:$D$59,B81+1))</f>
        <v/>
      </c>
    </row>
    <row r="86">
      <c r="A86" s="2" t="inlineStr">
        <is>
          <t>@eq-service-heuristic. Compare it with the shortage cost the organization would state.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11" customWidth="1" min="4" max="4"/>
    <col width="11" customWidth="1" min="5" max="5"/>
    <col width="11" customWidth="1" min="6" max="6"/>
    <col width="17" customWidth="1" min="7" max="7"/>
    <col width="12" customWidth="1" min="8" max="8"/>
    <col width="40" customWidth="1" min="9" max="9"/>
    <col width="11" customWidth="1" min="10" max="10"/>
    <col width="17" customWidth="1" min="11" max="11"/>
    <col width="13" customWidth="1" min="12" max="12"/>
    <col width="11" customWidth="1" min="13" max="13"/>
    <col width="12" customWidth="1" min="14" max="14"/>
  </cols>
  <sheetData>
    <row r="1">
      <c r="A1" s="1" t="inlineStr">
        <is>
          <t>Reviewing on a calendar</t>
        </is>
      </c>
    </row>
    <row r="2">
      <c r="A2" s="2" t="inlineStr">
        <is>
          <t>@sec-continuousreview-periodic. Every measure is the base-stock measure averaged over the review cycle.</t>
        </is>
      </c>
    </row>
    <row r="3"/>
    <row r="4">
      <c r="A4" s="3" t="inlineStr">
        <is>
          <t>Item</t>
        </is>
      </c>
    </row>
    <row r="5">
      <c r="A5" t="inlineStr">
        <is>
          <t>demand rate lambda</t>
        </is>
      </c>
      <c r="B5" s="4" t="n">
        <v>45</v>
      </c>
      <c r="C5" s="2" t="inlineStr">
        <is>
          <t>units per year</t>
        </is>
      </c>
    </row>
    <row r="6">
      <c r="A6" t="inlineStr">
        <is>
          <t>order cost k</t>
        </is>
      </c>
      <c r="B6" s="9" t="n">
        <v>220</v>
      </c>
      <c r="C6" s="2" t="inlineStr">
        <is>
          <t>dollars per order</t>
        </is>
      </c>
    </row>
    <row r="7">
      <c r="A7" t="inlineStr">
        <is>
          <t>holding cost h</t>
        </is>
      </c>
      <c r="B7" s="9" t="n">
        <v>950</v>
      </c>
      <c r="C7" s="2" t="inlineStr">
        <is>
          <t>dollars per unit per year</t>
        </is>
      </c>
    </row>
    <row r="8">
      <c r="A8" t="inlineStr">
        <is>
          <t>backorder cost b</t>
        </is>
      </c>
      <c r="B8" s="9" t="n">
        <v>8550</v>
      </c>
      <c r="C8" s="2" t="inlineStr">
        <is>
          <t>dollars per unit per year</t>
        </is>
      </c>
    </row>
    <row r="9">
      <c r="A9" t="inlineStr">
        <is>
          <t>lead time L</t>
        </is>
      </c>
      <c r="B9" s="10" t="n">
        <v>0.1666666666666667</v>
      </c>
      <c r="C9" s="2" t="inlineStr">
        <is>
          <t>years</t>
        </is>
      </c>
    </row>
    <row r="10">
      <c r="A10" t="inlineStr">
        <is>
          <t>theta = lambda L</t>
        </is>
      </c>
      <c r="B10" s="8">
        <f>B5*B9</f>
        <v/>
      </c>
    </row>
    <row r="11"/>
    <row r="12">
      <c r="A12" s="3" t="inlineStr">
        <is>
          <t>Review</t>
        </is>
      </c>
    </row>
    <row r="13">
      <c r="A13" t="inlineStr">
        <is>
          <t>review interval R</t>
        </is>
      </c>
      <c r="B13" s="10" t="n">
        <v>0.08333333333333333</v>
      </c>
      <c r="C13" s="2" t="inlineStr">
        <is>
          <t>years</t>
        </is>
      </c>
    </row>
    <row r="14">
      <c r="A14" t="inlineStr">
        <is>
          <t>order-up-to level S</t>
        </is>
      </c>
      <c r="B14" s="4" t="n">
        <v>14</v>
      </c>
      <c r="C14" s="2" t="inlineStr">
        <is>
          <t>units</t>
        </is>
      </c>
    </row>
    <row r="15">
      <c r="A15" t="inlineStr">
        <is>
          <t>protection interval tau</t>
        </is>
      </c>
      <c r="B15" s="8">
        <f>B13+B9</f>
        <v/>
      </c>
      <c r="C15" s="2" t="inlineStr">
        <is>
          <t>@eq-protection-interval, the interval the level must cover</t>
        </is>
      </c>
    </row>
    <row r="16">
      <c r="A16" t="inlineStr">
        <is>
          <t>lambda tau</t>
        </is>
      </c>
      <c r="B16" s="8">
        <f>B5*B15</f>
        <v/>
      </c>
    </row>
    <row r="17">
      <c r="A17" t="inlineStr">
        <is>
          <t>lambda R</t>
        </is>
      </c>
      <c r="B17" s="8">
        <f>B5*B13</f>
        <v/>
      </c>
    </row>
    <row r="18">
      <c r="A18" t="inlineStr">
        <is>
          <t>mean exposure lambda(L+R/2)</t>
        </is>
      </c>
      <c r="B18" s="8">
        <f>B5*(B9+B13/2)</f>
        <v/>
      </c>
      <c r="C18" s="2" t="inlineStr">
        <is>
          <t>@eq-periodic-onhand; NOT lambda tau, which is the worst case</t>
        </is>
      </c>
    </row>
    <row r="19">
      <c r="A19" t="inlineStr">
        <is>
          <t>safety stock S - lambda tau</t>
        </is>
      </c>
      <c r="B19" s="8">
        <f>B14-B16</f>
        <v/>
      </c>
    </row>
    <row r="20">
      <c r="A20" t="inlineStr">
        <is>
          <t>cycle stock lambda R / 2</t>
        </is>
      </c>
      <c r="B20" s="8">
        <f>B17/2</f>
        <v/>
      </c>
    </row>
    <row r="21"/>
    <row r="22">
      <c r="A22" s="3" t="inlineStr">
        <is>
          <t>The three means Simpson's rule needs</t>
        </is>
      </c>
      <c r="G22" s="5" t="inlineStr">
        <is>
          <t>At the level in B14</t>
        </is>
      </c>
      <c r="K22" s="5" t="inlineStr">
        <is>
          <t>Cost at B14</t>
        </is>
      </c>
    </row>
    <row r="23">
      <c r="A23" t="inlineStr">
        <is>
          <t>mean over L</t>
        </is>
      </c>
      <c r="B23" s="8">
        <f>B5*B9</f>
        <v/>
      </c>
      <c r="G23" t="inlineStr">
        <is>
          <t>Bbar</t>
        </is>
      </c>
      <c r="H23" s="8">
        <f>INDEX($L$29:$L$89,$B$14+1)</f>
        <v/>
      </c>
      <c r="I23" s="2" t="inlineStr">
        <is>
          <t>units owed on average, @eq-periodic-backorders</t>
        </is>
      </c>
      <c r="K23" t="inlineStr">
        <is>
          <t>order frequency</t>
        </is>
      </c>
      <c r="L23" s="8">
        <f>1/B13</f>
        <v/>
      </c>
    </row>
    <row r="24">
      <c r="A24" t="inlineStr">
        <is>
          <t>mean over L + R/2</t>
        </is>
      </c>
      <c r="B24" s="8">
        <f>B18</f>
        <v/>
      </c>
      <c r="G24" t="inlineStr">
        <is>
          <t>Ibar</t>
        </is>
      </c>
      <c r="H24" s="8">
        <f>INDEX($M$29:$M$89,$B$14+1)</f>
        <v/>
      </c>
      <c r="K24" t="inlineStr">
        <is>
          <t>ordering</t>
        </is>
      </c>
      <c r="L24" s="11">
        <f>B6*L23</f>
        <v/>
      </c>
    </row>
    <row r="25">
      <c r="A25" t="inlineStr">
        <is>
          <t>mean over tau</t>
        </is>
      </c>
      <c r="B25" s="8">
        <f>B16</f>
        <v/>
      </c>
      <c r="G25" t="inlineStr">
        <is>
          <t>ready rate</t>
        </is>
      </c>
      <c r="H25" s="8">
        <f>INDEX($K$29:$K$89,$B$14)</f>
        <v/>
      </c>
      <c r="I25" s="2" t="inlineStr">
        <is>
          <t>@eq-periodic-readyrate, read one row above S</t>
        </is>
      </c>
      <c r="K25" t="inlineStr">
        <is>
          <t>holding</t>
        </is>
      </c>
      <c r="L25" s="11">
        <f>B7*H24</f>
        <v/>
      </c>
    </row>
    <row r="26">
      <c r="G26" t="inlineStr">
        <is>
          <t>fill rate</t>
        </is>
      </c>
      <c r="H26" s="8">
        <f>1-(INDEX($J$29:$J$89,$B$14+1)-INDEX($D$29:$D$89,$B$14+1))/$B$17</f>
        <v/>
      </c>
      <c r="I26" s="2" t="inlineStr">
        <is>
          <t>@eq-periodic-fillrate, from the shortage per cycle</t>
        </is>
      </c>
      <c r="K26" t="inlineStr">
        <is>
          <t>backorder</t>
        </is>
      </c>
      <c r="L26" s="11">
        <f>B8*H23</f>
        <v/>
      </c>
    </row>
    <row r="27">
      <c r="K27" s="14" t="inlineStr">
        <is>
          <t>total C(S)</t>
        </is>
      </c>
      <c r="L27" s="15">
        <f>SUM(L24:L26)</f>
        <v/>
      </c>
    </row>
    <row r="28">
      <c r="A28" s="5" t="inlineStr">
        <is>
          <t>s</t>
        </is>
      </c>
      <c r="B28" s="5" t="inlineStr">
        <is>
          <t>G@L</t>
        </is>
      </c>
      <c r="C28" s="5" t="inlineStr">
        <is>
          <t>G0@L</t>
        </is>
      </c>
      <c r="D28" s="5" t="inlineStr">
        <is>
          <t>G1@L</t>
        </is>
      </c>
      <c r="E28" s="5" t="inlineStr">
        <is>
          <t>G@M</t>
        </is>
      </c>
      <c r="F28" s="5" t="inlineStr">
        <is>
          <t>G0@M</t>
        </is>
      </c>
      <c r="G28" s="5" t="inlineStr">
        <is>
          <t>G1@M</t>
        </is>
      </c>
      <c r="H28" s="5" t="inlineStr">
        <is>
          <t>G@T</t>
        </is>
      </c>
      <c r="I28" s="5" t="inlineStr">
        <is>
          <t>G0@T</t>
        </is>
      </c>
      <c r="J28" s="5" t="inlineStr">
        <is>
          <t>G1@T</t>
        </is>
      </c>
      <c r="K28" s="5" t="inlineStr">
        <is>
          <t>Gbar</t>
        </is>
      </c>
      <c r="L28" s="5" t="inlineStr">
        <is>
          <t>G1bar</t>
        </is>
      </c>
      <c r="M28" s="5" t="inlineStr">
        <is>
          <t>Ibar</t>
        </is>
      </c>
      <c r="N28" s="5" t="inlineStr">
        <is>
          <t>C(S)</t>
        </is>
      </c>
    </row>
    <row r="29">
      <c r="A29" s="6" t="n">
        <v>0</v>
      </c>
      <c r="B29" s="16">
        <f>_xlfn.POISSON.DIST(A29,$B$23,TRUE)</f>
        <v/>
      </c>
      <c r="C29" s="16">
        <f>1-B29</f>
        <v/>
      </c>
      <c r="D29" s="8">
        <f>$B$23</f>
        <v/>
      </c>
      <c r="E29" s="16">
        <f>_xlfn.POISSON.DIST(A29,$B$24,TRUE)</f>
        <v/>
      </c>
      <c r="F29" s="16">
        <f>1-E29</f>
        <v/>
      </c>
      <c r="G29" s="8">
        <f>$B$24</f>
        <v/>
      </c>
      <c r="H29" s="16">
        <f>_xlfn.POISSON.DIST(A29,$B$25,TRUE)</f>
        <v/>
      </c>
      <c r="I29" s="16">
        <f>1-H29</f>
        <v/>
      </c>
      <c r="J29" s="8">
        <f>$B$25</f>
        <v/>
      </c>
      <c r="K29" s="16">
        <f>(B29+4*E29+H29)/6</f>
        <v/>
      </c>
      <c r="L29" s="8">
        <f>(D29+4*G29+J29)/6</f>
        <v/>
      </c>
      <c r="M29" s="8">
        <f>A29-$B$18+L29</f>
        <v/>
      </c>
      <c r="N29" s="11">
        <f>$B$6/$B$13+$B$7*M29+$B$8*L29</f>
        <v/>
      </c>
    </row>
    <row r="30">
      <c r="A30" s="6" t="n">
        <v>1</v>
      </c>
      <c r="B30" s="16">
        <f>_xlfn.POISSON.DIST(A30,$B$23,TRUE)</f>
        <v/>
      </c>
      <c r="C30" s="16">
        <f>1-B30</f>
        <v/>
      </c>
      <c r="D30" s="8">
        <f>D29-C29</f>
        <v/>
      </c>
      <c r="E30" s="16">
        <f>_xlfn.POISSON.DIST(A30,$B$24,TRUE)</f>
        <v/>
      </c>
      <c r="F30" s="16">
        <f>1-E30</f>
        <v/>
      </c>
      <c r="G30" s="8">
        <f>G29-F29</f>
        <v/>
      </c>
      <c r="H30" s="16">
        <f>_xlfn.POISSON.DIST(A30,$B$25,TRUE)</f>
        <v/>
      </c>
      <c r="I30" s="16">
        <f>1-H30</f>
        <v/>
      </c>
      <c r="J30" s="8">
        <f>J29-I29</f>
        <v/>
      </c>
      <c r="K30" s="16">
        <f>(B30+4*E30+H30)/6</f>
        <v/>
      </c>
      <c r="L30" s="8">
        <f>(D30+4*G30+J30)/6</f>
        <v/>
      </c>
      <c r="M30" s="8">
        <f>A30-$B$18+L30</f>
        <v/>
      </c>
      <c r="N30" s="11">
        <f>$B$6/$B$13+$B$7*M30+$B$8*L30</f>
        <v/>
      </c>
    </row>
    <row r="31">
      <c r="A31" s="6" t="n">
        <v>2</v>
      </c>
      <c r="B31" s="16">
        <f>_xlfn.POISSON.DIST(A31,$B$23,TRUE)</f>
        <v/>
      </c>
      <c r="C31" s="16">
        <f>1-B31</f>
        <v/>
      </c>
      <c r="D31" s="8">
        <f>D30-C30</f>
        <v/>
      </c>
      <c r="E31" s="16">
        <f>_xlfn.POISSON.DIST(A31,$B$24,TRUE)</f>
        <v/>
      </c>
      <c r="F31" s="16">
        <f>1-E31</f>
        <v/>
      </c>
      <c r="G31" s="8">
        <f>G30-F30</f>
        <v/>
      </c>
      <c r="H31" s="16">
        <f>_xlfn.POISSON.DIST(A31,$B$25,TRUE)</f>
        <v/>
      </c>
      <c r="I31" s="16">
        <f>1-H31</f>
        <v/>
      </c>
      <c r="J31" s="8">
        <f>J30-I30</f>
        <v/>
      </c>
      <c r="K31" s="16">
        <f>(B31+4*E31+H31)/6</f>
        <v/>
      </c>
      <c r="L31" s="8">
        <f>(D31+4*G31+J31)/6</f>
        <v/>
      </c>
      <c r="M31" s="8">
        <f>A31-$B$18+L31</f>
        <v/>
      </c>
      <c r="N31" s="11">
        <f>$B$6/$B$13+$B$7*M31+$B$8*L31</f>
        <v/>
      </c>
    </row>
    <row r="32">
      <c r="A32" s="6" t="n">
        <v>3</v>
      </c>
      <c r="B32" s="16">
        <f>_xlfn.POISSON.DIST(A32,$B$23,TRUE)</f>
        <v/>
      </c>
      <c r="C32" s="16">
        <f>1-B32</f>
        <v/>
      </c>
      <c r="D32" s="8">
        <f>D31-C31</f>
        <v/>
      </c>
      <c r="E32" s="16">
        <f>_xlfn.POISSON.DIST(A32,$B$24,TRUE)</f>
        <v/>
      </c>
      <c r="F32" s="16">
        <f>1-E32</f>
        <v/>
      </c>
      <c r="G32" s="8">
        <f>G31-F31</f>
        <v/>
      </c>
      <c r="H32" s="16">
        <f>_xlfn.POISSON.DIST(A32,$B$25,TRUE)</f>
        <v/>
      </c>
      <c r="I32" s="16">
        <f>1-H32</f>
        <v/>
      </c>
      <c r="J32" s="8">
        <f>J31-I31</f>
        <v/>
      </c>
      <c r="K32" s="16">
        <f>(B32+4*E32+H32)/6</f>
        <v/>
      </c>
      <c r="L32" s="8">
        <f>(D32+4*G32+J32)/6</f>
        <v/>
      </c>
      <c r="M32" s="8">
        <f>A32-$B$18+L32</f>
        <v/>
      </c>
      <c r="N32" s="11">
        <f>$B$6/$B$13+$B$7*M32+$B$8*L32</f>
        <v/>
      </c>
    </row>
    <row r="33">
      <c r="A33" s="6" t="n">
        <v>4</v>
      </c>
      <c r="B33" s="16">
        <f>_xlfn.POISSON.DIST(A33,$B$23,TRUE)</f>
        <v/>
      </c>
      <c r="C33" s="16">
        <f>1-B33</f>
        <v/>
      </c>
      <c r="D33" s="8">
        <f>D32-C32</f>
        <v/>
      </c>
      <c r="E33" s="16">
        <f>_xlfn.POISSON.DIST(A33,$B$24,TRUE)</f>
        <v/>
      </c>
      <c r="F33" s="16">
        <f>1-E33</f>
        <v/>
      </c>
      <c r="G33" s="8">
        <f>G32-F32</f>
        <v/>
      </c>
      <c r="H33" s="16">
        <f>_xlfn.POISSON.DIST(A33,$B$25,TRUE)</f>
        <v/>
      </c>
      <c r="I33" s="16">
        <f>1-H33</f>
        <v/>
      </c>
      <c r="J33" s="8">
        <f>J32-I32</f>
        <v/>
      </c>
      <c r="K33" s="16">
        <f>(B33+4*E33+H33)/6</f>
        <v/>
      </c>
      <c r="L33" s="8">
        <f>(D33+4*G33+J33)/6</f>
        <v/>
      </c>
      <c r="M33" s="8">
        <f>A33-$B$18+L33</f>
        <v/>
      </c>
      <c r="N33" s="11">
        <f>$B$6/$B$13+$B$7*M33+$B$8*L33</f>
        <v/>
      </c>
    </row>
    <row r="34">
      <c r="A34" s="6" t="n">
        <v>5</v>
      </c>
      <c r="B34" s="16">
        <f>_xlfn.POISSON.DIST(A34,$B$23,TRUE)</f>
        <v/>
      </c>
      <c r="C34" s="16">
        <f>1-B34</f>
        <v/>
      </c>
      <c r="D34" s="8">
        <f>D33-C33</f>
        <v/>
      </c>
      <c r="E34" s="16">
        <f>_xlfn.POISSON.DIST(A34,$B$24,TRUE)</f>
        <v/>
      </c>
      <c r="F34" s="16">
        <f>1-E34</f>
        <v/>
      </c>
      <c r="G34" s="8">
        <f>G33-F33</f>
        <v/>
      </c>
      <c r="H34" s="16">
        <f>_xlfn.POISSON.DIST(A34,$B$25,TRUE)</f>
        <v/>
      </c>
      <c r="I34" s="16">
        <f>1-H34</f>
        <v/>
      </c>
      <c r="J34" s="8">
        <f>J33-I33</f>
        <v/>
      </c>
      <c r="K34" s="16">
        <f>(B34+4*E34+H34)/6</f>
        <v/>
      </c>
      <c r="L34" s="8">
        <f>(D34+4*G34+J34)/6</f>
        <v/>
      </c>
      <c r="M34" s="8">
        <f>A34-$B$18+L34</f>
        <v/>
      </c>
      <c r="N34" s="11">
        <f>$B$6/$B$13+$B$7*M34+$B$8*L34</f>
        <v/>
      </c>
    </row>
    <row r="35">
      <c r="A35" s="6" t="n">
        <v>6</v>
      </c>
      <c r="B35" s="16">
        <f>_xlfn.POISSON.DIST(A35,$B$23,TRUE)</f>
        <v/>
      </c>
      <c r="C35" s="16">
        <f>1-B35</f>
        <v/>
      </c>
      <c r="D35" s="8">
        <f>D34-C34</f>
        <v/>
      </c>
      <c r="E35" s="16">
        <f>_xlfn.POISSON.DIST(A35,$B$24,TRUE)</f>
        <v/>
      </c>
      <c r="F35" s="16">
        <f>1-E35</f>
        <v/>
      </c>
      <c r="G35" s="8">
        <f>G34-F34</f>
        <v/>
      </c>
      <c r="H35" s="16">
        <f>_xlfn.POISSON.DIST(A35,$B$25,TRUE)</f>
        <v/>
      </c>
      <c r="I35" s="16">
        <f>1-H35</f>
        <v/>
      </c>
      <c r="J35" s="8">
        <f>J34-I34</f>
        <v/>
      </c>
      <c r="K35" s="16">
        <f>(B35+4*E35+H35)/6</f>
        <v/>
      </c>
      <c r="L35" s="8">
        <f>(D35+4*G35+J35)/6</f>
        <v/>
      </c>
      <c r="M35" s="8">
        <f>A35-$B$18+L35</f>
        <v/>
      </c>
      <c r="N35" s="11">
        <f>$B$6/$B$13+$B$7*M35+$B$8*L35</f>
        <v/>
      </c>
    </row>
    <row r="36">
      <c r="A36" s="6" t="n">
        <v>7</v>
      </c>
      <c r="B36" s="16">
        <f>_xlfn.POISSON.DIST(A36,$B$23,TRUE)</f>
        <v/>
      </c>
      <c r="C36" s="16">
        <f>1-B36</f>
        <v/>
      </c>
      <c r="D36" s="8">
        <f>D35-C35</f>
        <v/>
      </c>
      <c r="E36" s="16">
        <f>_xlfn.POISSON.DIST(A36,$B$24,TRUE)</f>
        <v/>
      </c>
      <c r="F36" s="16">
        <f>1-E36</f>
        <v/>
      </c>
      <c r="G36" s="8">
        <f>G35-F35</f>
        <v/>
      </c>
      <c r="H36" s="16">
        <f>_xlfn.POISSON.DIST(A36,$B$25,TRUE)</f>
        <v/>
      </c>
      <c r="I36" s="16">
        <f>1-H36</f>
        <v/>
      </c>
      <c r="J36" s="8">
        <f>J35-I35</f>
        <v/>
      </c>
      <c r="K36" s="16">
        <f>(B36+4*E36+H36)/6</f>
        <v/>
      </c>
      <c r="L36" s="8">
        <f>(D36+4*G36+J36)/6</f>
        <v/>
      </c>
      <c r="M36" s="8">
        <f>A36-$B$18+L36</f>
        <v/>
      </c>
      <c r="N36" s="11">
        <f>$B$6/$B$13+$B$7*M36+$B$8*L36</f>
        <v/>
      </c>
    </row>
    <row r="37">
      <c r="A37" s="6" t="n">
        <v>8</v>
      </c>
      <c r="B37" s="16">
        <f>_xlfn.POISSON.DIST(A37,$B$23,TRUE)</f>
        <v/>
      </c>
      <c r="C37" s="16">
        <f>1-B37</f>
        <v/>
      </c>
      <c r="D37" s="8">
        <f>D36-C36</f>
        <v/>
      </c>
      <c r="E37" s="16">
        <f>_xlfn.POISSON.DIST(A37,$B$24,TRUE)</f>
        <v/>
      </c>
      <c r="F37" s="16">
        <f>1-E37</f>
        <v/>
      </c>
      <c r="G37" s="8">
        <f>G36-F36</f>
        <v/>
      </c>
      <c r="H37" s="16">
        <f>_xlfn.POISSON.DIST(A37,$B$25,TRUE)</f>
        <v/>
      </c>
      <c r="I37" s="16">
        <f>1-H37</f>
        <v/>
      </c>
      <c r="J37" s="8">
        <f>J36-I36</f>
        <v/>
      </c>
      <c r="K37" s="16">
        <f>(B37+4*E37+H37)/6</f>
        <v/>
      </c>
      <c r="L37" s="8">
        <f>(D37+4*G37+J37)/6</f>
        <v/>
      </c>
      <c r="M37" s="8">
        <f>A37-$B$18+L37</f>
        <v/>
      </c>
      <c r="N37" s="11">
        <f>$B$6/$B$13+$B$7*M37+$B$8*L37</f>
        <v/>
      </c>
    </row>
    <row r="38">
      <c r="A38" s="6" t="n">
        <v>9</v>
      </c>
      <c r="B38" s="16">
        <f>_xlfn.POISSON.DIST(A38,$B$23,TRUE)</f>
        <v/>
      </c>
      <c r="C38" s="16">
        <f>1-B38</f>
        <v/>
      </c>
      <c r="D38" s="8">
        <f>D37-C37</f>
        <v/>
      </c>
      <c r="E38" s="16">
        <f>_xlfn.POISSON.DIST(A38,$B$24,TRUE)</f>
        <v/>
      </c>
      <c r="F38" s="16">
        <f>1-E38</f>
        <v/>
      </c>
      <c r="G38" s="8">
        <f>G37-F37</f>
        <v/>
      </c>
      <c r="H38" s="16">
        <f>_xlfn.POISSON.DIST(A38,$B$25,TRUE)</f>
        <v/>
      </c>
      <c r="I38" s="16">
        <f>1-H38</f>
        <v/>
      </c>
      <c r="J38" s="8">
        <f>J37-I37</f>
        <v/>
      </c>
      <c r="K38" s="16">
        <f>(B38+4*E38+H38)/6</f>
        <v/>
      </c>
      <c r="L38" s="8">
        <f>(D38+4*G38+J38)/6</f>
        <v/>
      </c>
      <c r="M38" s="8">
        <f>A38-$B$18+L38</f>
        <v/>
      </c>
      <c r="N38" s="11">
        <f>$B$6/$B$13+$B$7*M38+$B$8*L38</f>
        <v/>
      </c>
    </row>
    <row r="39">
      <c r="A39" s="6" t="n">
        <v>10</v>
      </c>
      <c r="B39" s="16">
        <f>_xlfn.POISSON.DIST(A39,$B$23,TRUE)</f>
        <v/>
      </c>
      <c r="C39" s="16">
        <f>1-B39</f>
        <v/>
      </c>
      <c r="D39" s="8">
        <f>D38-C38</f>
        <v/>
      </c>
      <c r="E39" s="16">
        <f>_xlfn.POISSON.DIST(A39,$B$24,TRUE)</f>
        <v/>
      </c>
      <c r="F39" s="16">
        <f>1-E39</f>
        <v/>
      </c>
      <c r="G39" s="8">
        <f>G38-F38</f>
        <v/>
      </c>
      <c r="H39" s="16">
        <f>_xlfn.POISSON.DIST(A39,$B$25,TRUE)</f>
        <v/>
      </c>
      <c r="I39" s="16">
        <f>1-H39</f>
        <v/>
      </c>
      <c r="J39" s="8">
        <f>J38-I38</f>
        <v/>
      </c>
      <c r="K39" s="16">
        <f>(B39+4*E39+H39)/6</f>
        <v/>
      </c>
      <c r="L39" s="8">
        <f>(D39+4*G39+J39)/6</f>
        <v/>
      </c>
      <c r="M39" s="8">
        <f>A39-$B$18+L39</f>
        <v/>
      </c>
      <c r="N39" s="11">
        <f>$B$6/$B$13+$B$7*M39+$B$8*L39</f>
        <v/>
      </c>
    </row>
    <row r="40">
      <c r="A40" s="6" t="n">
        <v>11</v>
      </c>
      <c r="B40" s="16">
        <f>_xlfn.POISSON.DIST(A40,$B$23,TRUE)</f>
        <v/>
      </c>
      <c r="C40" s="16">
        <f>1-B40</f>
        <v/>
      </c>
      <c r="D40" s="8">
        <f>D39-C39</f>
        <v/>
      </c>
      <c r="E40" s="16">
        <f>_xlfn.POISSON.DIST(A40,$B$24,TRUE)</f>
        <v/>
      </c>
      <c r="F40" s="16">
        <f>1-E40</f>
        <v/>
      </c>
      <c r="G40" s="8">
        <f>G39-F39</f>
        <v/>
      </c>
      <c r="H40" s="16">
        <f>_xlfn.POISSON.DIST(A40,$B$25,TRUE)</f>
        <v/>
      </c>
      <c r="I40" s="16">
        <f>1-H40</f>
        <v/>
      </c>
      <c r="J40" s="8">
        <f>J39-I39</f>
        <v/>
      </c>
      <c r="K40" s="16">
        <f>(B40+4*E40+H40)/6</f>
        <v/>
      </c>
      <c r="L40" s="8">
        <f>(D40+4*G40+J40)/6</f>
        <v/>
      </c>
      <c r="M40" s="8">
        <f>A40-$B$18+L40</f>
        <v/>
      </c>
      <c r="N40" s="11">
        <f>$B$6/$B$13+$B$7*M40+$B$8*L40</f>
        <v/>
      </c>
    </row>
    <row r="41">
      <c r="A41" s="6" t="n">
        <v>12</v>
      </c>
      <c r="B41" s="16">
        <f>_xlfn.POISSON.DIST(A41,$B$23,TRUE)</f>
        <v/>
      </c>
      <c r="C41" s="16">
        <f>1-B41</f>
        <v/>
      </c>
      <c r="D41" s="8">
        <f>D40-C40</f>
        <v/>
      </c>
      <c r="E41" s="16">
        <f>_xlfn.POISSON.DIST(A41,$B$24,TRUE)</f>
        <v/>
      </c>
      <c r="F41" s="16">
        <f>1-E41</f>
        <v/>
      </c>
      <c r="G41" s="8">
        <f>G40-F40</f>
        <v/>
      </c>
      <c r="H41" s="16">
        <f>_xlfn.POISSON.DIST(A41,$B$25,TRUE)</f>
        <v/>
      </c>
      <c r="I41" s="16">
        <f>1-H41</f>
        <v/>
      </c>
      <c r="J41" s="8">
        <f>J40-I40</f>
        <v/>
      </c>
      <c r="K41" s="16">
        <f>(B41+4*E41+H41)/6</f>
        <v/>
      </c>
      <c r="L41" s="8">
        <f>(D41+4*G41+J41)/6</f>
        <v/>
      </c>
      <c r="M41" s="8">
        <f>A41-$B$18+L41</f>
        <v/>
      </c>
      <c r="N41" s="11">
        <f>$B$6/$B$13+$B$7*M41+$B$8*L41</f>
        <v/>
      </c>
    </row>
    <row r="42">
      <c r="A42" s="6" t="n">
        <v>13</v>
      </c>
      <c r="B42" s="16">
        <f>_xlfn.POISSON.DIST(A42,$B$23,TRUE)</f>
        <v/>
      </c>
      <c r="C42" s="16">
        <f>1-B42</f>
        <v/>
      </c>
      <c r="D42" s="8">
        <f>D41-C41</f>
        <v/>
      </c>
      <c r="E42" s="16">
        <f>_xlfn.POISSON.DIST(A42,$B$24,TRUE)</f>
        <v/>
      </c>
      <c r="F42" s="16">
        <f>1-E42</f>
        <v/>
      </c>
      <c r="G42" s="8">
        <f>G41-F41</f>
        <v/>
      </c>
      <c r="H42" s="16">
        <f>_xlfn.POISSON.DIST(A42,$B$25,TRUE)</f>
        <v/>
      </c>
      <c r="I42" s="16">
        <f>1-H42</f>
        <v/>
      </c>
      <c r="J42" s="8">
        <f>J41-I41</f>
        <v/>
      </c>
      <c r="K42" s="16">
        <f>(B42+4*E42+H42)/6</f>
        <v/>
      </c>
      <c r="L42" s="8">
        <f>(D42+4*G42+J42)/6</f>
        <v/>
      </c>
      <c r="M42" s="8">
        <f>A42-$B$18+L42</f>
        <v/>
      </c>
      <c r="N42" s="11">
        <f>$B$6/$B$13+$B$7*M42+$B$8*L42</f>
        <v/>
      </c>
    </row>
    <row r="43">
      <c r="A43" s="6" t="n">
        <v>14</v>
      </c>
      <c r="B43" s="16">
        <f>_xlfn.POISSON.DIST(A43,$B$23,TRUE)</f>
        <v/>
      </c>
      <c r="C43" s="16">
        <f>1-B43</f>
        <v/>
      </c>
      <c r="D43" s="8">
        <f>D42-C42</f>
        <v/>
      </c>
      <c r="E43" s="16">
        <f>_xlfn.POISSON.DIST(A43,$B$24,TRUE)</f>
        <v/>
      </c>
      <c r="F43" s="16">
        <f>1-E43</f>
        <v/>
      </c>
      <c r="G43" s="8">
        <f>G42-F42</f>
        <v/>
      </c>
      <c r="H43" s="16">
        <f>_xlfn.POISSON.DIST(A43,$B$25,TRUE)</f>
        <v/>
      </c>
      <c r="I43" s="16">
        <f>1-H43</f>
        <v/>
      </c>
      <c r="J43" s="8">
        <f>J42-I42</f>
        <v/>
      </c>
      <c r="K43" s="16">
        <f>(B43+4*E43+H43)/6</f>
        <v/>
      </c>
      <c r="L43" s="8">
        <f>(D43+4*G43+J43)/6</f>
        <v/>
      </c>
      <c r="M43" s="8">
        <f>A43-$B$18+L43</f>
        <v/>
      </c>
      <c r="N43" s="11">
        <f>$B$6/$B$13+$B$7*M43+$B$8*L43</f>
        <v/>
      </c>
    </row>
    <row r="44">
      <c r="A44" s="6" t="n">
        <v>15</v>
      </c>
      <c r="B44" s="16">
        <f>_xlfn.POISSON.DIST(A44,$B$23,TRUE)</f>
        <v/>
      </c>
      <c r="C44" s="16">
        <f>1-B44</f>
        <v/>
      </c>
      <c r="D44" s="8">
        <f>D43-C43</f>
        <v/>
      </c>
      <c r="E44" s="16">
        <f>_xlfn.POISSON.DIST(A44,$B$24,TRUE)</f>
        <v/>
      </c>
      <c r="F44" s="16">
        <f>1-E44</f>
        <v/>
      </c>
      <c r="G44" s="8">
        <f>G43-F43</f>
        <v/>
      </c>
      <c r="H44" s="16">
        <f>_xlfn.POISSON.DIST(A44,$B$25,TRUE)</f>
        <v/>
      </c>
      <c r="I44" s="16">
        <f>1-H44</f>
        <v/>
      </c>
      <c r="J44" s="8">
        <f>J43-I43</f>
        <v/>
      </c>
      <c r="K44" s="16">
        <f>(B44+4*E44+H44)/6</f>
        <v/>
      </c>
      <c r="L44" s="8">
        <f>(D44+4*G44+J44)/6</f>
        <v/>
      </c>
      <c r="M44" s="8">
        <f>A44-$B$18+L44</f>
        <v/>
      </c>
      <c r="N44" s="11">
        <f>$B$6/$B$13+$B$7*M44+$B$8*L44</f>
        <v/>
      </c>
    </row>
    <row r="45">
      <c r="A45" s="6" t="n">
        <v>16</v>
      </c>
      <c r="B45" s="16">
        <f>_xlfn.POISSON.DIST(A45,$B$23,TRUE)</f>
        <v/>
      </c>
      <c r="C45" s="16">
        <f>1-B45</f>
        <v/>
      </c>
      <c r="D45" s="8">
        <f>D44-C44</f>
        <v/>
      </c>
      <c r="E45" s="16">
        <f>_xlfn.POISSON.DIST(A45,$B$24,TRUE)</f>
        <v/>
      </c>
      <c r="F45" s="16">
        <f>1-E45</f>
        <v/>
      </c>
      <c r="G45" s="8">
        <f>G44-F44</f>
        <v/>
      </c>
      <c r="H45" s="16">
        <f>_xlfn.POISSON.DIST(A45,$B$25,TRUE)</f>
        <v/>
      </c>
      <c r="I45" s="16">
        <f>1-H45</f>
        <v/>
      </c>
      <c r="J45" s="8">
        <f>J44-I44</f>
        <v/>
      </c>
      <c r="K45" s="16">
        <f>(B45+4*E45+H45)/6</f>
        <v/>
      </c>
      <c r="L45" s="8">
        <f>(D45+4*G45+J45)/6</f>
        <v/>
      </c>
      <c r="M45" s="8">
        <f>A45-$B$18+L45</f>
        <v/>
      </c>
      <c r="N45" s="11">
        <f>$B$6/$B$13+$B$7*M45+$B$8*L45</f>
        <v/>
      </c>
    </row>
    <row r="46">
      <c r="A46" s="6" t="n">
        <v>17</v>
      </c>
      <c r="B46" s="16">
        <f>_xlfn.POISSON.DIST(A46,$B$23,TRUE)</f>
        <v/>
      </c>
      <c r="C46" s="16">
        <f>1-B46</f>
        <v/>
      </c>
      <c r="D46" s="8">
        <f>D45-C45</f>
        <v/>
      </c>
      <c r="E46" s="16">
        <f>_xlfn.POISSON.DIST(A46,$B$24,TRUE)</f>
        <v/>
      </c>
      <c r="F46" s="16">
        <f>1-E46</f>
        <v/>
      </c>
      <c r="G46" s="8">
        <f>G45-F45</f>
        <v/>
      </c>
      <c r="H46" s="16">
        <f>_xlfn.POISSON.DIST(A46,$B$25,TRUE)</f>
        <v/>
      </c>
      <c r="I46" s="16">
        <f>1-H46</f>
        <v/>
      </c>
      <c r="J46" s="8">
        <f>J45-I45</f>
        <v/>
      </c>
      <c r="K46" s="16">
        <f>(B46+4*E46+H46)/6</f>
        <v/>
      </c>
      <c r="L46" s="8">
        <f>(D46+4*G46+J46)/6</f>
        <v/>
      </c>
      <c r="M46" s="8">
        <f>A46-$B$18+L46</f>
        <v/>
      </c>
      <c r="N46" s="11">
        <f>$B$6/$B$13+$B$7*M46+$B$8*L46</f>
        <v/>
      </c>
    </row>
    <row r="47">
      <c r="A47" s="6" t="n">
        <v>18</v>
      </c>
      <c r="B47" s="16">
        <f>_xlfn.POISSON.DIST(A47,$B$23,TRUE)</f>
        <v/>
      </c>
      <c r="C47" s="16">
        <f>1-B47</f>
        <v/>
      </c>
      <c r="D47" s="8">
        <f>D46-C46</f>
        <v/>
      </c>
      <c r="E47" s="16">
        <f>_xlfn.POISSON.DIST(A47,$B$24,TRUE)</f>
        <v/>
      </c>
      <c r="F47" s="16">
        <f>1-E47</f>
        <v/>
      </c>
      <c r="G47" s="8">
        <f>G46-F46</f>
        <v/>
      </c>
      <c r="H47" s="16">
        <f>_xlfn.POISSON.DIST(A47,$B$25,TRUE)</f>
        <v/>
      </c>
      <c r="I47" s="16">
        <f>1-H47</f>
        <v/>
      </c>
      <c r="J47" s="8">
        <f>J46-I46</f>
        <v/>
      </c>
      <c r="K47" s="16">
        <f>(B47+4*E47+H47)/6</f>
        <v/>
      </c>
      <c r="L47" s="8">
        <f>(D47+4*G47+J47)/6</f>
        <v/>
      </c>
      <c r="M47" s="8">
        <f>A47-$B$18+L47</f>
        <v/>
      </c>
      <c r="N47" s="11">
        <f>$B$6/$B$13+$B$7*M47+$B$8*L47</f>
        <v/>
      </c>
    </row>
    <row r="48">
      <c r="A48" s="6" t="n">
        <v>19</v>
      </c>
      <c r="B48" s="16">
        <f>_xlfn.POISSON.DIST(A48,$B$23,TRUE)</f>
        <v/>
      </c>
      <c r="C48" s="16">
        <f>1-B48</f>
        <v/>
      </c>
      <c r="D48" s="8">
        <f>D47-C47</f>
        <v/>
      </c>
      <c r="E48" s="16">
        <f>_xlfn.POISSON.DIST(A48,$B$24,TRUE)</f>
        <v/>
      </c>
      <c r="F48" s="16">
        <f>1-E48</f>
        <v/>
      </c>
      <c r="G48" s="8">
        <f>G47-F47</f>
        <v/>
      </c>
      <c r="H48" s="16">
        <f>_xlfn.POISSON.DIST(A48,$B$25,TRUE)</f>
        <v/>
      </c>
      <c r="I48" s="16">
        <f>1-H48</f>
        <v/>
      </c>
      <c r="J48" s="8">
        <f>J47-I47</f>
        <v/>
      </c>
      <c r="K48" s="16">
        <f>(B48+4*E48+H48)/6</f>
        <v/>
      </c>
      <c r="L48" s="8">
        <f>(D48+4*G48+J48)/6</f>
        <v/>
      </c>
      <c r="M48" s="8">
        <f>A48-$B$18+L48</f>
        <v/>
      </c>
      <c r="N48" s="11">
        <f>$B$6/$B$13+$B$7*M48+$B$8*L48</f>
        <v/>
      </c>
    </row>
    <row r="49">
      <c r="A49" s="6" t="n">
        <v>20</v>
      </c>
      <c r="B49" s="16">
        <f>_xlfn.POISSON.DIST(A49,$B$23,TRUE)</f>
        <v/>
      </c>
      <c r="C49" s="16">
        <f>1-B49</f>
        <v/>
      </c>
      <c r="D49" s="8">
        <f>D48-C48</f>
        <v/>
      </c>
      <c r="E49" s="16">
        <f>_xlfn.POISSON.DIST(A49,$B$24,TRUE)</f>
        <v/>
      </c>
      <c r="F49" s="16">
        <f>1-E49</f>
        <v/>
      </c>
      <c r="G49" s="8">
        <f>G48-F48</f>
        <v/>
      </c>
      <c r="H49" s="16">
        <f>_xlfn.POISSON.DIST(A49,$B$25,TRUE)</f>
        <v/>
      </c>
      <c r="I49" s="16">
        <f>1-H49</f>
        <v/>
      </c>
      <c r="J49" s="8">
        <f>J48-I48</f>
        <v/>
      </c>
      <c r="K49" s="16">
        <f>(B49+4*E49+H49)/6</f>
        <v/>
      </c>
      <c r="L49" s="8">
        <f>(D49+4*G49+J49)/6</f>
        <v/>
      </c>
      <c r="M49" s="8">
        <f>A49-$B$18+L49</f>
        <v/>
      </c>
      <c r="N49" s="11">
        <f>$B$6/$B$13+$B$7*M49+$B$8*L49</f>
        <v/>
      </c>
    </row>
    <row r="50">
      <c r="A50" s="6" t="n">
        <v>21</v>
      </c>
      <c r="B50" s="16">
        <f>_xlfn.POISSON.DIST(A50,$B$23,TRUE)</f>
        <v/>
      </c>
      <c r="C50" s="16">
        <f>1-B50</f>
        <v/>
      </c>
      <c r="D50" s="8">
        <f>D49-C49</f>
        <v/>
      </c>
      <c r="E50" s="16">
        <f>_xlfn.POISSON.DIST(A50,$B$24,TRUE)</f>
        <v/>
      </c>
      <c r="F50" s="16">
        <f>1-E50</f>
        <v/>
      </c>
      <c r="G50" s="8">
        <f>G49-F49</f>
        <v/>
      </c>
      <c r="H50" s="16">
        <f>_xlfn.POISSON.DIST(A50,$B$25,TRUE)</f>
        <v/>
      </c>
      <c r="I50" s="16">
        <f>1-H50</f>
        <v/>
      </c>
      <c r="J50" s="8">
        <f>J49-I49</f>
        <v/>
      </c>
      <c r="K50" s="16">
        <f>(B50+4*E50+H50)/6</f>
        <v/>
      </c>
      <c r="L50" s="8">
        <f>(D50+4*G50+J50)/6</f>
        <v/>
      </c>
      <c r="M50" s="8">
        <f>A50-$B$18+L50</f>
        <v/>
      </c>
      <c r="N50" s="11">
        <f>$B$6/$B$13+$B$7*M50+$B$8*L50</f>
        <v/>
      </c>
    </row>
    <row r="51">
      <c r="A51" s="6" t="n">
        <v>22</v>
      </c>
      <c r="B51" s="16">
        <f>_xlfn.POISSON.DIST(A51,$B$23,TRUE)</f>
        <v/>
      </c>
      <c r="C51" s="16">
        <f>1-B51</f>
        <v/>
      </c>
      <c r="D51" s="8">
        <f>D50-C50</f>
        <v/>
      </c>
      <c r="E51" s="16">
        <f>_xlfn.POISSON.DIST(A51,$B$24,TRUE)</f>
        <v/>
      </c>
      <c r="F51" s="16">
        <f>1-E51</f>
        <v/>
      </c>
      <c r="G51" s="8">
        <f>G50-F50</f>
        <v/>
      </c>
      <c r="H51" s="16">
        <f>_xlfn.POISSON.DIST(A51,$B$25,TRUE)</f>
        <v/>
      </c>
      <c r="I51" s="16">
        <f>1-H51</f>
        <v/>
      </c>
      <c r="J51" s="8">
        <f>J50-I50</f>
        <v/>
      </c>
      <c r="K51" s="16">
        <f>(B51+4*E51+H51)/6</f>
        <v/>
      </c>
      <c r="L51" s="8">
        <f>(D51+4*G51+J51)/6</f>
        <v/>
      </c>
      <c r="M51" s="8">
        <f>A51-$B$18+L51</f>
        <v/>
      </c>
      <c r="N51" s="11">
        <f>$B$6/$B$13+$B$7*M51+$B$8*L51</f>
        <v/>
      </c>
    </row>
    <row r="52">
      <c r="A52" s="6" t="n">
        <v>23</v>
      </c>
      <c r="B52" s="16">
        <f>_xlfn.POISSON.DIST(A52,$B$23,TRUE)</f>
        <v/>
      </c>
      <c r="C52" s="16">
        <f>1-B52</f>
        <v/>
      </c>
      <c r="D52" s="8">
        <f>D51-C51</f>
        <v/>
      </c>
      <c r="E52" s="16">
        <f>_xlfn.POISSON.DIST(A52,$B$24,TRUE)</f>
        <v/>
      </c>
      <c r="F52" s="16">
        <f>1-E52</f>
        <v/>
      </c>
      <c r="G52" s="8">
        <f>G51-F51</f>
        <v/>
      </c>
      <c r="H52" s="16">
        <f>_xlfn.POISSON.DIST(A52,$B$25,TRUE)</f>
        <v/>
      </c>
      <c r="I52" s="16">
        <f>1-H52</f>
        <v/>
      </c>
      <c r="J52" s="8">
        <f>J51-I51</f>
        <v/>
      </c>
      <c r="K52" s="16">
        <f>(B52+4*E52+H52)/6</f>
        <v/>
      </c>
      <c r="L52" s="8">
        <f>(D52+4*G52+J52)/6</f>
        <v/>
      </c>
      <c r="M52" s="8">
        <f>A52-$B$18+L52</f>
        <v/>
      </c>
      <c r="N52" s="11">
        <f>$B$6/$B$13+$B$7*M52+$B$8*L52</f>
        <v/>
      </c>
    </row>
    <row r="53">
      <c r="A53" s="6" t="n">
        <v>24</v>
      </c>
      <c r="B53" s="16">
        <f>_xlfn.POISSON.DIST(A53,$B$23,TRUE)</f>
        <v/>
      </c>
      <c r="C53" s="16">
        <f>1-B53</f>
        <v/>
      </c>
      <c r="D53" s="8">
        <f>D52-C52</f>
        <v/>
      </c>
      <c r="E53" s="16">
        <f>_xlfn.POISSON.DIST(A53,$B$24,TRUE)</f>
        <v/>
      </c>
      <c r="F53" s="16">
        <f>1-E53</f>
        <v/>
      </c>
      <c r="G53" s="8">
        <f>G52-F52</f>
        <v/>
      </c>
      <c r="H53" s="16">
        <f>_xlfn.POISSON.DIST(A53,$B$25,TRUE)</f>
        <v/>
      </c>
      <c r="I53" s="16">
        <f>1-H53</f>
        <v/>
      </c>
      <c r="J53" s="8">
        <f>J52-I52</f>
        <v/>
      </c>
      <c r="K53" s="16">
        <f>(B53+4*E53+H53)/6</f>
        <v/>
      </c>
      <c r="L53" s="8">
        <f>(D53+4*G53+J53)/6</f>
        <v/>
      </c>
      <c r="M53" s="8">
        <f>A53-$B$18+L53</f>
        <v/>
      </c>
      <c r="N53" s="11">
        <f>$B$6/$B$13+$B$7*M53+$B$8*L53</f>
        <v/>
      </c>
    </row>
    <row r="54">
      <c r="A54" s="6" t="n">
        <v>25</v>
      </c>
      <c r="B54" s="16">
        <f>_xlfn.POISSON.DIST(A54,$B$23,TRUE)</f>
        <v/>
      </c>
      <c r="C54" s="16">
        <f>1-B54</f>
        <v/>
      </c>
      <c r="D54" s="8">
        <f>D53-C53</f>
        <v/>
      </c>
      <c r="E54" s="16">
        <f>_xlfn.POISSON.DIST(A54,$B$24,TRUE)</f>
        <v/>
      </c>
      <c r="F54" s="16">
        <f>1-E54</f>
        <v/>
      </c>
      <c r="G54" s="8">
        <f>G53-F53</f>
        <v/>
      </c>
      <c r="H54" s="16">
        <f>_xlfn.POISSON.DIST(A54,$B$25,TRUE)</f>
        <v/>
      </c>
      <c r="I54" s="16">
        <f>1-H54</f>
        <v/>
      </c>
      <c r="J54" s="8">
        <f>J53-I53</f>
        <v/>
      </c>
      <c r="K54" s="16">
        <f>(B54+4*E54+H54)/6</f>
        <v/>
      </c>
      <c r="L54" s="8">
        <f>(D54+4*G54+J54)/6</f>
        <v/>
      </c>
      <c r="M54" s="8">
        <f>A54-$B$18+L54</f>
        <v/>
      </c>
      <c r="N54" s="11">
        <f>$B$6/$B$13+$B$7*M54+$B$8*L54</f>
        <v/>
      </c>
    </row>
    <row r="55">
      <c r="A55" s="6" t="n">
        <v>26</v>
      </c>
      <c r="B55" s="16">
        <f>_xlfn.POISSON.DIST(A55,$B$23,TRUE)</f>
        <v/>
      </c>
      <c r="C55" s="16">
        <f>1-B55</f>
        <v/>
      </c>
      <c r="D55" s="8">
        <f>D54-C54</f>
        <v/>
      </c>
      <c r="E55" s="16">
        <f>_xlfn.POISSON.DIST(A55,$B$24,TRUE)</f>
        <v/>
      </c>
      <c r="F55" s="16">
        <f>1-E55</f>
        <v/>
      </c>
      <c r="G55" s="8">
        <f>G54-F54</f>
        <v/>
      </c>
      <c r="H55" s="16">
        <f>_xlfn.POISSON.DIST(A55,$B$25,TRUE)</f>
        <v/>
      </c>
      <c r="I55" s="16">
        <f>1-H55</f>
        <v/>
      </c>
      <c r="J55" s="8">
        <f>J54-I54</f>
        <v/>
      </c>
      <c r="K55" s="16">
        <f>(B55+4*E55+H55)/6</f>
        <v/>
      </c>
      <c r="L55" s="8">
        <f>(D55+4*G55+J55)/6</f>
        <v/>
      </c>
      <c r="M55" s="8">
        <f>A55-$B$18+L55</f>
        <v/>
      </c>
      <c r="N55" s="11">
        <f>$B$6/$B$13+$B$7*M55+$B$8*L55</f>
        <v/>
      </c>
    </row>
    <row r="56">
      <c r="A56" s="6" t="n">
        <v>27</v>
      </c>
      <c r="B56" s="16">
        <f>_xlfn.POISSON.DIST(A56,$B$23,TRUE)</f>
        <v/>
      </c>
      <c r="C56" s="16">
        <f>1-B56</f>
        <v/>
      </c>
      <c r="D56" s="8">
        <f>D55-C55</f>
        <v/>
      </c>
      <c r="E56" s="16">
        <f>_xlfn.POISSON.DIST(A56,$B$24,TRUE)</f>
        <v/>
      </c>
      <c r="F56" s="16">
        <f>1-E56</f>
        <v/>
      </c>
      <c r="G56" s="8">
        <f>G55-F55</f>
        <v/>
      </c>
      <c r="H56" s="16">
        <f>_xlfn.POISSON.DIST(A56,$B$25,TRUE)</f>
        <v/>
      </c>
      <c r="I56" s="16">
        <f>1-H56</f>
        <v/>
      </c>
      <c r="J56" s="8">
        <f>J55-I55</f>
        <v/>
      </c>
      <c r="K56" s="16">
        <f>(B56+4*E56+H56)/6</f>
        <v/>
      </c>
      <c r="L56" s="8">
        <f>(D56+4*G56+J56)/6</f>
        <v/>
      </c>
      <c r="M56" s="8">
        <f>A56-$B$18+L56</f>
        <v/>
      </c>
      <c r="N56" s="11">
        <f>$B$6/$B$13+$B$7*M56+$B$8*L56</f>
        <v/>
      </c>
    </row>
    <row r="57">
      <c r="A57" s="6" t="n">
        <v>28</v>
      </c>
      <c r="B57" s="16">
        <f>_xlfn.POISSON.DIST(A57,$B$23,TRUE)</f>
        <v/>
      </c>
      <c r="C57" s="16">
        <f>1-B57</f>
        <v/>
      </c>
      <c r="D57" s="8">
        <f>D56-C56</f>
        <v/>
      </c>
      <c r="E57" s="16">
        <f>_xlfn.POISSON.DIST(A57,$B$24,TRUE)</f>
        <v/>
      </c>
      <c r="F57" s="16">
        <f>1-E57</f>
        <v/>
      </c>
      <c r="G57" s="8">
        <f>G56-F56</f>
        <v/>
      </c>
      <c r="H57" s="16">
        <f>_xlfn.POISSON.DIST(A57,$B$25,TRUE)</f>
        <v/>
      </c>
      <c r="I57" s="16">
        <f>1-H57</f>
        <v/>
      </c>
      <c r="J57" s="8">
        <f>J56-I56</f>
        <v/>
      </c>
      <c r="K57" s="16">
        <f>(B57+4*E57+H57)/6</f>
        <v/>
      </c>
      <c r="L57" s="8">
        <f>(D57+4*G57+J57)/6</f>
        <v/>
      </c>
      <c r="M57" s="8">
        <f>A57-$B$18+L57</f>
        <v/>
      </c>
      <c r="N57" s="11">
        <f>$B$6/$B$13+$B$7*M57+$B$8*L57</f>
        <v/>
      </c>
    </row>
    <row r="58">
      <c r="A58" s="6" t="n">
        <v>29</v>
      </c>
      <c r="B58" s="16">
        <f>_xlfn.POISSON.DIST(A58,$B$23,TRUE)</f>
        <v/>
      </c>
      <c r="C58" s="16">
        <f>1-B58</f>
        <v/>
      </c>
      <c r="D58" s="8">
        <f>D57-C57</f>
        <v/>
      </c>
      <c r="E58" s="16">
        <f>_xlfn.POISSON.DIST(A58,$B$24,TRUE)</f>
        <v/>
      </c>
      <c r="F58" s="16">
        <f>1-E58</f>
        <v/>
      </c>
      <c r="G58" s="8">
        <f>G57-F57</f>
        <v/>
      </c>
      <c r="H58" s="16">
        <f>_xlfn.POISSON.DIST(A58,$B$25,TRUE)</f>
        <v/>
      </c>
      <c r="I58" s="16">
        <f>1-H58</f>
        <v/>
      </c>
      <c r="J58" s="8">
        <f>J57-I57</f>
        <v/>
      </c>
      <c r="K58" s="16">
        <f>(B58+4*E58+H58)/6</f>
        <v/>
      </c>
      <c r="L58" s="8">
        <f>(D58+4*G58+J58)/6</f>
        <v/>
      </c>
      <c r="M58" s="8">
        <f>A58-$B$18+L58</f>
        <v/>
      </c>
      <c r="N58" s="11">
        <f>$B$6/$B$13+$B$7*M58+$B$8*L58</f>
        <v/>
      </c>
    </row>
    <row r="59">
      <c r="A59" s="6" t="n">
        <v>30</v>
      </c>
      <c r="B59" s="16">
        <f>_xlfn.POISSON.DIST(A59,$B$23,TRUE)</f>
        <v/>
      </c>
      <c r="C59" s="16">
        <f>1-B59</f>
        <v/>
      </c>
      <c r="D59" s="8">
        <f>D58-C58</f>
        <v/>
      </c>
      <c r="E59" s="16">
        <f>_xlfn.POISSON.DIST(A59,$B$24,TRUE)</f>
        <v/>
      </c>
      <c r="F59" s="16">
        <f>1-E59</f>
        <v/>
      </c>
      <c r="G59" s="8">
        <f>G58-F58</f>
        <v/>
      </c>
      <c r="H59" s="16">
        <f>_xlfn.POISSON.DIST(A59,$B$25,TRUE)</f>
        <v/>
      </c>
      <c r="I59" s="16">
        <f>1-H59</f>
        <v/>
      </c>
      <c r="J59" s="8">
        <f>J58-I58</f>
        <v/>
      </c>
      <c r="K59" s="16">
        <f>(B59+4*E59+H59)/6</f>
        <v/>
      </c>
      <c r="L59" s="8">
        <f>(D59+4*G59+J59)/6</f>
        <v/>
      </c>
      <c r="M59" s="8">
        <f>A59-$B$18+L59</f>
        <v/>
      </c>
      <c r="N59" s="11">
        <f>$B$6/$B$13+$B$7*M59+$B$8*L59</f>
        <v/>
      </c>
    </row>
    <row r="60">
      <c r="A60" s="6" t="n">
        <v>31</v>
      </c>
      <c r="B60" s="16">
        <f>_xlfn.POISSON.DIST(A60,$B$23,TRUE)</f>
        <v/>
      </c>
      <c r="C60" s="16">
        <f>1-B60</f>
        <v/>
      </c>
      <c r="D60" s="8">
        <f>D59-C59</f>
        <v/>
      </c>
      <c r="E60" s="16">
        <f>_xlfn.POISSON.DIST(A60,$B$24,TRUE)</f>
        <v/>
      </c>
      <c r="F60" s="16">
        <f>1-E60</f>
        <v/>
      </c>
      <c r="G60" s="8">
        <f>G59-F59</f>
        <v/>
      </c>
      <c r="H60" s="16">
        <f>_xlfn.POISSON.DIST(A60,$B$25,TRUE)</f>
        <v/>
      </c>
      <c r="I60" s="16">
        <f>1-H60</f>
        <v/>
      </c>
      <c r="J60" s="8">
        <f>J59-I59</f>
        <v/>
      </c>
      <c r="K60" s="16">
        <f>(B60+4*E60+H60)/6</f>
        <v/>
      </c>
      <c r="L60" s="8">
        <f>(D60+4*G60+J60)/6</f>
        <v/>
      </c>
      <c r="M60" s="8">
        <f>A60-$B$18+L60</f>
        <v/>
      </c>
      <c r="N60" s="11">
        <f>$B$6/$B$13+$B$7*M60+$B$8*L60</f>
        <v/>
      </c>
    </row>
    <row r="61">
      <c r="A61" s="6" t="n">
        <v>32</v>
      </c>
      <c r="B61" s="16">
        <f>_xlfn.POISSON.DIST(A61,$B$23,TRUE)</f>
        <v/>
      </c>
      <c r="C61" s="16">
        <f>1-B61</f>
        <v/>
      </c>
      <c r="D61" s="8">
        <f>D60-C60</f>
        <v/>
      </c>
      <c r="E61" s="16">
        <f>_xlfn.POISSON.DIST(A61,$B$24,TRUE)</f>
        <v/>
      </c>
      <c r="F61" s="16">
        <f>1-E61</f>
        <v/>
      </c>
      <c r="G61" s="8">
        <f>G60-F60</f>
        <v/>
      </c>
      <c r="H61" s="16">
        <f>_xlfn.POISSON.DIST(A61,$B$25,TRUE)</f>
        <v/>
      </c>
      <c r="I61" s="16">
        <f>1-H61</f>
        <v/>
      </c>
      <c r="J61" s="8">
        <f>J60-I60</f>
        <v/>
      </c>
      <c r="K61" s="16">
        <f>(B61+4*E61+H61)/6</f>
        <v/>
      </c>
      <c r="L61" s="8">
        <f>(D61+4*G61+J61)/6</f>
        <v/>
      </c>
      <c r="M61" s="8">
        <f>A61-$B$18+L61</f>
        <v/>
      </c>
      <c r="N61" s="11">
        <f>$B$6/$B$13+$B$7*M61+$B$8*L61</f>
        <v/>
      </c>
    </row>
    <row r="62">
      <c r="A62" s="6" t="n">
        <v>33</v>
      </c>
      <c r="B62" s="16">
        <f>_xlfn.POISSON.DIST(A62,$B$23,TRUE)</f>
        <v/>
      </c>
      <c r="C62" s="16">
        <f>1-B62</f>
        <v/>
      </c>
      <c r="D62" s="8">
        <f>D61-C61</f>
        <v/>
      </c>
      <c r="E62" s="16">
        <f>_xlfn.POISSON.DIST(A62,$B$24,TRUE)</f>
        <v/>
      </c>
      <c r="F62" s="16">
        <f>1-E62</f>
        <v/>
      </c>
      <c r="G62" s="8">
        <f>G61-F61</f>
        <v/>
      </c>
      <c r="H62" s="16">
        <f>_xlfn.POISSON.DIST(A62,$B$25,TRUE)</f>
        <v/>
      </c>
      <c r="I62" s="16">
        <f>1-H62</f>
        <v/>
      </c>
      <c r="J62" s="8">
        <f>J61-I61</f>
        <v/>
      </c>
      <c r="K62" s="16">
        <f>(B62+4*E62+H62)/6</f>
        <v/>
      </c>
      <c r="L62" s="8">
        <f>(D62+4*G62+J62)/6</f>
        <v/>
      </c>
      <c r="M62" s="8">
        <f>A62-$B$18+L62</f>
        <v/>
      </c>
      <c r="N62" s="11">
        <f>$B$6/$B$13+$B$7*M62+$B$8*L62</f>
        <v/>
      </c>
    </row>
    <row r="63">
      <c r="A63" s="6" t="n">
        <v>34</v>
      </c>
      <c r="B63" s="16">
        <f>_xlfn.POISSON.DIST(A63,$B$23,TRUE)</f>
        <v/>
      </c>
      <c r="C63" s="16">
        <f>1-B63</f>
        <v/>
      </c>
      <c r="D63" s="8">
        <f>D62-C62</f>
        <v/>
      </c>
      <c r="E63" s="16">
        <f>_xlfn.POISSON.DIST(A63,$B$24,TRUE)</f>
        <v/>
      </c>
      <c r="F63" s="16">
        <f>1-E63</f>
        <v/>
      </c>
      <c r="G63" s="8">
        <f>G62-F62</f>
        <v/>
      </c>
      <c r="H63" s="16">
        <f>_xlfn.POISSON.DIST(A63,$B$25,TRUE)</f>
        <v/>
      </c>
      <c r="I63" s="16">
        <f>1-H63</f>
        <v/>
      </c>
      <c r="J63" s="8">
        <f>J62-I62</f>
        <v/>
      </c>
      <c r="K63" s="16">
        <f>(B63+4*E63+H63)/6</f>
        <v/>
      </c>
      <c r="L63" s="8">
        <f>(D63+4*G63+J63)/6</f>
        <v/>
      </c>
      <c r="M63" s="8">
        <f>A63-$B$18+L63</f>
        <v/>
      </c>
      <c r="N63" s="11">
        <f>$B$6/$B$13+$B$7*M63+$B$8*L63</f>
        <v/>
      </c>
    </row>
    <row r="64">
      <c r="A64" s="6" t="n">
        <v>35</v>
      </c>
      <c r="B64" s="16">
        <f>_xlfn.POISSON.DIST(A64,$B$23,TRUE)</f>
        <v/>
      </c>
      <c r="C64" s="16">
        <f>1-B64</f>
        <v/>
      </c>
      <c r="D64" s="8">
        <f>D63-C63</f>
        <v/>
      </c>
      <c r="E64" s="16">
        <f>_xlfn.POISSON.DIST(A64,$B$24,TRUE)</f>
        <v/>
      </c>
      <c r="F64" s="16">
        <f>1-E64</f>
        <v/>
      </c>
      <c r="G64" s="8">
        <f>G63-F63</f>
        <v/>
      </c>
      <c r="H64" s="16">
        <f>_xlfn.POISSON.DIST(A64,$B$25,TRUE)</f>
        <v/>
      </c>
      <c r="I64" s="16">
        <f>1-H64</f>
        <v/>
      </c>
      <c r="J64" s="8">
        <f>J63-I63</f>
        <v/>
      </c>
      <c r="K64" s="16">
        <f>(B64+4*E64+H64)/6</f>
        <v/>
      </c>
      <c r="L64" s="8">
        <f>(D64+4*G64+J64)/6</f>
        <v/>
      </c>
      <c r="M64" s="8">
        <f>A64-$B$18+L64</f>
        <v/>
      </c>
      <c r="N64" s="11">
        <f>$B$6/$B$13+$B$7*M64+$B$8*L64</f>
        <v/>
      </c>
    </row>
    <row r="65">
      <c r="A65" s="6" t="n">
        <v>36</v>
      </c>
      <c r="B65" s="16">
        <f>_xlfn.POISSON.DIST(A65,$B$23,TRUE)</f>
        <v/>
      </c>
      <c r="C65" s="16">
        <f>1-B65</f>
        <v/>
      </c>
      <c r="D65" s="8">
        <f>D64-C64</f>
        <v/>
      </c>
      <c r="E65" s="16">
        <f>_xlfn.POISSON.DIST(A65,$B$24,TRUE)</f>
        <v/>
      </c>
      <c r="F65" s="16">
        <f>1-E65</f>
        <v/>
      </c>
      <c r="G65" s="8">
        <f>G64-F64</f>
        <v/>
      </c>
      <c r="H65" s="16">
        <f>_xlfn.POISSON.DIST(A65,$B$25,TRUE)</f>
        <v/>
      </c>
      <c r="I65" s="16">
        <f>1-H65</f>
        <v/>
      </c>
      <c r="J65" s="8">
        <f>J64-I64</f>
        <v/>
      </c>
      <c r="K65" s="16">
        <f>(B65+4*E65+H65)/6</f>
        <v/>
      </c>
      <c r="L65" s="8">
        <f>(D65+4*G65+J65)/6</f>
        <v/>
      </c>
      <c r="M65" s="8">
        <f>A65-$B$18+L65</f>
        <v/>
      </c>
      <c r="N65" s="11">
        <f>$B$6/$B$13+$B$7*M65+$B$8*L65</f>
        <v/>
      </c>
    </row>
    <row r="66">
      <c r="A66" s="6" t="n">
        <v>37</v>
      </c>
      <c r="B66" s="16">
        <f>_xlfn.POISSON.DIST(A66,$B$23,TRUE)</f>
        <v/>
      </c>
      <c r="C66" s="16">
        <f>1-B66</f>
        <v/>
      </c>
      <c r="D66" s="8">
        <f>D65-C65</f>
        <v/>
      </c>
      <c r="E66" s="16">
        <f>_xlfn.POISSON.DIST(A66,$B$24,TRUE)</f>
        <v/>
      </c>
      <c r="F66" s="16">
        <f>1-E66</f>
        <v/>
      </c>
      <c r="G66" s="8">
        <f>G65-F65</f>
        <v/>
      </c>
      <c r="H66" s="16">
        <f>_xlfn.POISSON.DIST(A66,$B$25,TRUE)</f>
        <v/>
      </c>
      <c r="I66" s="16">
        <f>1-H66</f>
        <v/>
      </c>
      <c r="J66" s="8">
        <f>J65-I65</f>
        <v/>
      </c>
      <c r="K66" s="16">
        <f>(B66+4*E66+H66)/6</f>
        <v/>
      </c>
      <c r="L66" s="8">
        <f>(D66+4*G66+J66)/6</f>
        <v/>
      </c>
      <c r="M66" s="8">
        <f>A66-$B$18+L66</f>
        <v/>
      </c>
      <c r="N66" s="11">
        <f>$B$6/$B$13+$B$7*M66+$B$8*L66</f>
        <v/>
      </c>
    </row>
    <row r="67">
      <c r="A67" s="6" t="n">
        <v>38</v>
      </c>
      <c r="B67" s="16">
        <f>_xlfn.POISSON.DIST(A67,$B$23,TRUE)</f>
        <v/>
      </c>
      <c r="C67" s="16">
        <f>1-B67</f>
        <v/>
      </c>
      <c r="D67" s="8">
        <f>D66-C66</f>
        <v/>
      </c>
      <c r="E67" s="16">
        <f>_xlfn.POISSON.DIST(A67,$B$24,TRUE)</f>
        <v/>
      </c>
      <c r="F67" s="16">
        <f>1-E67</f>
        <v/>
      </c>
      <c r="G67" s="8">
        <f>G66-F66</f>
        <v/>
      </c>
      <c r="H67" s="16">
        <f>_xlfn.POISSON.DIST(A67,$B$25,TRUE)</f>
        <v/>
      </c>
      <c r="I67" s="16">
        <f>1-H67</f>
        <v/>
      </c>
      <c r="J67" s="8">
        <f>J66-I66</f>
        <v/>
      </c>
      <c r="K67" s="16">
        <f>(B67+4*E67+H67)/6</f>
        <v/>
      </c>
      <c r="L67" s="8">
        <f>(D67+4*G67+J67)/6</f>
        <v/>
      </c>
      <c r="M67" s="8">
        <f>A67-$B$18+L67</f>
        <v/>
      </c>
      <c r="N67" s="11">
        <f>$B$6/$B$13+$B$7*M67+$B$8*L67</f>
        <v/>
      </c>
    </row>
    <row r="68">
      <c r="A68" s="6" t="n">
        <v>39</v>
      </c>
      <c r="B68" s="16">
        <f>_xlfn.POISSON.DIST(A68,$B$23,TRUE)</f>
        <v/>
      </c>
      <c r="C68" s="16">
        <f>1-B68</f>
        <v/>
      </c>
      <c r="D68" s="8">
        <f>D67-C67</f>
        <v/>
      </c>
      <c r="E68" s="16">
        <f>_xlfn.POISSON.DIST(A68,$B$24,TRUE)</f>
        <v/>
      </c>
      <c r="F68" s="16">
        <f>1-E68</f>
        <v/>
      </c>
      <c r="G68" s="8">
        <f>G67-F67</f>
        <v/>
      </c>
      <c r="H68" s="16">
        <f>_xlfn.POISSON.DIST(A68,$B$25,TRUE)</f>
        <v/>
      </c>
      <c r="I68" s="16">
        <f>1-H68</f>
        <v/>
      </c>
      <c r="J68" s="8">
        <f>J67-I67</f>
        <v/>
      </c>
      <c r="K68" s="16">
        <f>(B68+4*E68+H68)/6</f>
        <v/>
      </c>
      <c r="L68" s="8">
        <f>(D68+4*G68+J68)/6</f>
        <v/>
      </c>
      <c r="M68" s="8">
        <f>A68-$B$18+L68</f>
        <v/>
      </c>
      <c r="N68" s="11">
        <f>$B$6/$B$13+$B$7*M68+$B$8*L68</f>
        <v/>
      </c>
    </row>
    <row r="69">
      <c r="A69" s="6" t="n">
        <v>40</v>
      </c>
      <c r="B69" s="16">
        <f>_xlfn.POISSON.DIST(A69,$B$23,TRUE)</f>
        <v/>
      </c>
      <c r="C69" s="16">
        <f>1-B69</f>
        <v/>
      </c>
      <c r="D69" s="8">
        <f>D68-C68</f>
        <v/>
      </c>
      <c r="E69" s="16">
        <f>_xlfn.POISSON.DIST(A69,$B$24,TRUE)</f>
        <v/>
      </c>
      <c r="F69" s="16">
        <f>1-E69</f>
        <v/>
      </c>
      <c r="G69" s="8">
        <f>G68-F68</f>
        <v/>
      </c>
      <c r="H69" s="16">
        <f>_xlfn.POISSON.DIST(A69,$B$25,TRUE)</f>
        <v/>
      </c>
      <c r="I69" s="16">
        <f>1-H69</f>
        <v/>
      </c>
      <c r="J69" s="8">
        <f>J68-I68</f>
        <v/>
      </c>
      <c r="K69" s="16">
        <f>(B69+4*E69+H69)/6</f>
        <v/>
      </c>
      <c r="L69" s="8">
        <f>(D69+4*G69+J69)/6</f>
        <v/>
      </c>
      <c r="M69" s="8">
        <f>A69-$B$18+L69</f>
        <v/>
      </c>
      <c r="N69" s="11">
        <f>$B$6/$B$13+$B$7*M69+$B$8*L69</f>
        <v/>
      </c>
    </row>
    <row r="70">
      <c r="A70" s="6" t="n">
        <v>41</v>
      </c>
      <c r="B70" s="16">
        <f>_xlfn.POISSON.DIST(A70,$B$23,TRUE)</f>
        <v/>
      </c>
      <c r="C70" s="16">
        <f>1-B70</f>
        <v/>
      </c>
      <c r="D70" s="8">
        <f>D69-C69</f>
        <v/>
      </c>
      <c r="E70" s="16">
        <f>_xlfn.POISSON.DIST(A70,$B$24,TRUE)</f>
        <v/>
      </c>
      <c r="F70" s="16">
        <f>1-E70</f>
        <v/>
      </c>
      <c r="G70" s="8">
        <f>G69-F69</f>
        <v/>
      </c>
      <c r="H70" s="16">
        <f>_xlfn.POISSON.DIST(A70,$B$25,TRUE)</f>
        <v/>
      </c>
      <c r="I70" s="16">
        <f>1-H70</f>
        <v/>
      </c>
      <c r="J70" s="8">
        <f>J69-I69</f>
        <v/>
      </c>
      <c r="K70" s="16">
        <f>(B70+4*E70+H70)/6</f>
        <v/>
      </c>
      <c r="L70" s="8">
        <f>(D70+4*G70+J70)/6</f>
        <v/>
      </c>
      <c r="M70" s="8">
        <f>A70-$B$18+L70</f>
        <v/>
      </c>
      <c r="N70" s="11">
        <f>$B$6/$B$13+$B$7*M70+$B$8*L70</f>
        <v/>
      </c>
    </row>
    <row r="71">
      <c r="A71" s="6" t="n">
        <v>42</v>
      </c>
      <c r="B71" s="16">
        <f>_xlfn.POISSON.DIST(A71,$B$23,TRUE)</f>
        <v/>
      </c>
      <c r="C71" s="16">
        <f>1-B71</f>
        <v/>
      </c>
      <c r="D71" s="8">
        <f>D70-C70</f>
        <v/>
      </c>
      <c r="E71" s="16">
        <f>_xlfn.POISSON.DIST(A71,$B$24,TRUE)</f>
        <v/>
      </c>
      <c r="F71" s="16">
        <f>1-E71</f>
        <v/>
      </c>
      <c r="G71" s="8">
        <f>G70-F70</f>
        <v/>
      </c>
      <c r="H71" s="16">
        <f>_xlfn.POISSON.DIST(A71,$B$25,TRUE)</f>
        <v/>
      </c>
      <c r="I71" s="16">
        <f>1-H71</f>
        <v/>
      </c>
      <c r="J71" s="8">
        <f>J70-I70</f>
        <v/>
      </c>
      <c r="K71" s="16">
        <f>(B71+4*E71+H71)/6</f>
        <v/>
      </c>
      <c r="L71" s="8">
        <f>(D71+4*G71+J71)/6</f>
        <v/>
      </c>
      <c r="M71" s="8">
        <f>A71-$B$18+L71</f>
        <v/>
      </c>
      <c r="N71" s="11">
        <f>$B$6/$B$13+$B$7*M71+$B$8*L71</f>
        <v/>
      </c>
    </row>
    <row r="72">
      <c r="A72" s="6" t="n">
        <v>43</v>
      </c>
      <c r="B72" s="16">
        <f>_xlfn.POISSON.DIST(A72,$B$23,TRUE)</f>
        <v/>
      </c>
      <c r="C72" s="16">
        <f>1-B72</f>
        <v/>
      </c>
      <c r="D72" s="8">
        <f>D71-C71</f>
        <v/>
      </c>
      <c r="E72" s="16">
        <f>_xlfn.POISSON.DIST(A72,$B$24,TRUE)</f>
        <v/>
      </c>
      <c r="F72" s="16">
        <f>1-E72</f>
        <v/>
      </c>
      <c r="G72" s="8">
        <f>G71-F71</f>
        <v/>
      </c>
      <c r="H72" s="16">
        <f>_xlfn.POISSON.DIST(A72,$B$25,TRUE)</f>
        <v/>
      </c>
      <c r="I72" s="16">
        <f>1-H72</f>
        <v/>
      </c>
      <c r="J72" s="8">
        <f>J71-I71</f>
        <v/>
      </c>
      <c r="K72" s="16">
        <f>(B72+4*E72+H72)/6</f>
        <v/>
      </c>
      <c r="L72" s="8">
        <f>(D72+4*G72+J72)/6</f>
        <v/>
      </c>
      <c r="M72" s="8">
        <f>A72-$B$18+L72</f>
        <v/>
      </c>
      <c r="N72" s="11">
        <f>$B$6/$B$13+$B$7*M72+$B$8*L72</f>
        <v/>
      </c>
    </row>
    <row r="73">
      <c r="A73" s="6" t="n">
        <v>44</v>
      </c>
      <c r="B73" s="16">
        <f>_xlfn.POISSON.DIST(A73,$B$23,TRUE)</f>
        <v/>
      </c>
      <c r="C73" s="16">
        <f>1-B73</f>
        <v/>
      </c>
      <c r="D73" s="8">
        <f>D72-C72</f>
        <v/>
      </c>
      <c r="E73" s="16">
        <f>_xlfn.POISSON.DIST(A73,$B$24,TRUE)</f>
        <v/>
      </c>
      <c r="F73" s="16">
        <f>1-E73</f>
        <v/>
      </c>
      <c r="G73" s="8">
        <f>G72-F72</f>
        <v/>
      </c>
      <c r="H73" s="16">
        <f>_xlfn.POISSON.DIST(A73,$B$25,TRUE)</f>
        <v/>
      </c>
      <c r="I73" s="16">
        <f>1-H73</f>
        <v/>
      </c>
      <c r="J73" s="8">
        <f>J72-I72</f>
        <v/>
      </c>
      <c r="K73" s="16">
        <f>(B73+4*E73+H73)/6</f>
        <v/>
      </c>
      <c r="L73" s="8">
        <f>(D73+4*G73+J73)/6</f>
        <v/>
      </c>
      <c r="M73" s="8">
        <f>A73-$B$18+L73</f>
        <v/>
      </c>
      <c r="N73" s="11">
        <f>$B$6/$B$13+$B$7*M73+$B$8*L73</f>
        <v/>
      </c>
    </row>
    <row r="74">
      <c r="A74" s="6" t="n">
        <v>45</v>
      </c>
      <c r="B74" s="16">
        <f>_xlfn.POISSON.DIST(A74,$B$23,TRUE)</f>
        <v/>
      </c>
      <c r="C74" s="16">
        <f>1-B74</f>
        <v/>
      </c>
      <c r="D74" s="8">
        <f>D73-C73</f>
        <v/>
      </c>
      <c r="E74" s="16">
        <f>_xlfn.POISSON.DIST(A74,$B$24,TRUE)</f>
        <v/>
      </c>
      <c r="F74" s="16">
        <f>1-E74</f>
        <v/>
      </c>
      <c r="G74" s="8">
        <f>G73-F73</f>
        <v/>
      </c>
      <c r="H74" s="16">
        <f>_xlfn.POISSON.DIST(A74,$B$25,TRUE)</f>
        <v/>
      </c>
      <c r="I74" s="16">
        <f>1-H74</f>
        <v/>
      </c>
      <c r="J74" s="8">
        <f>J73-I73</f>
        <v/>
      </c>
      <c r="K74" s="16">
        <f>(B74+4*E74+H74)/6</f>
        <v/>
      </c>
      <c r="L74" s="8">
        <f>(D74+4*G74+J74)/6</f>
        <v/>
      </c>
      <c r="M74" s="8">
        <f>A74-$B$18+L74</f>
        <v/>
      </c>
      <c r="N74" s="11">
        <f>$B$6/$B$13+$B$7*M74+$B$8*L74</f>
        <v/>
      </c>
    </row>
    <row r="75">
      <c r="A75" s="6" t="n">
        <v>46</v>
      </c>
      <c r="B75" s="16">
        <f>_xlfn.POISSON.DIST(A75,$B$23,TRUE)</f>
        <v/>
      </c>
      <c r="C75" s="16">
        <f>1-B75</f>
        <v/>
      </c>
      <c r="D75" s="8">
        <f>D74-C74</f>
        <v/>
      </c>
      <c r="E75" s="16">
        <f>_xlfn.POISSON.DIST(A75,$B$24,TRUE)</f>
        <v/>
      </c>
      <c r="F75" s="16">
        <f>1-E75</f>
        <v/>
      </c>
      <c r="G75" s="8">
        <f>G74-F74</f>
        <v/>
      </c>
      <c r="H75" s="16">
        <f>_xlfn.POISSON.DIST(A75,$B$25,TRUE)</f>
        <v/>
      </c>
      <c r="I75" s="16">
        <f>1-H75</f>
        <v/>
      </c>
      <c r="J75" s="8">
        <f>J74-I74</f>
        <v/>
      </c>
      <c r="K75" s="16">
        <f>(B75+4*E75+H75)/6</f>
        <v/>
      </c>
      <c r="L75" s="8">
        <f>(D75+4*G75+J75)/6</f>
        <v/>
      </c>
      <c r="M75" s="8">
        <f>A75-$B$18+L75</f>
        <v/>
      </c>
      <c r="N75" s="11">
        <f>$B$6/$B$13+$B$7*M75+$B$8*L75</f>
        <v/>
      </c>
    </row>
    <row r="76">
      <c r="A76" s="6" t="n">
        <v>47</v>
      </c>
      <c r="B76" s="16">
        <f>_xlfn.POISSON.DIST(A76,$B$23,TRUE)</f>
        <v/>
      </c>
      <c r="C76" s="16">
        <f>1-B76</f>
        <v/>
      </c>
      <c r="D76" s="8">
        <f>D75-C75</f>
        <v/>
      </c>
      <c r="E76" s="16">
        <f>_xlfn.POISSON.DIST(A76,$B$24,TRUE)</f>
        <v/>
      </c>
      <c r="F76" s="16">
        <f>1-E76</f>
        <v/>
      </c>
      <c r="G76" s="8">
        <f>G75-F75</f>
        <v/>
      </c>
      <c r="H76" s="16">
        <f>_xlfn.POISSON.DIST(A76,$B$25,TRUE)</f>
        <v/>
      </c>
      <c r="I76" s="16">
        <f>1-H76</f>
        <v/>
      </c>
      <c r="J76" s="8">
        <f>J75-I75</f>
        <v/>
      </c>
      <c r="K76" s="16">
        <f>(B76+4*E76+H76)/6</f>
        <v/>
      </c>
      <c r="L76" s="8">
        <f>(D76+4*G76+J76)/6</f>
        <v/>
      </c>
      <c r="M76" s="8">
        <f>A76-$B$18+L76</f>
        <v/>
      </c>
      <c r="N76" s="11">
        <f>$B$6/$B$13+$B$7*M76+$B$8*L76</f>
        <v/>
      </c>
    </row>
    <row r="77">
      <c r="A77" s="6" t="n">
        <v>48</v>
      </c>
      <c r="B77" s="16">
        <f>_xlfn.POISSON.DIST(A77,$B$23,TRUE)</f>
        <v/>
      </c>
      <c r="C77" s="16">
        <f>1-B77</f>
        <v/>
      </c>
      <c r="D77" s="8">
        <f>D76-C76</f>
        <v/>
      </c>
      <c r="E77" s="16">
        <f>_xlfn.POISSON.DIST(A77,$B$24,TRUE)</f>
        <v/>
      </c>
      <c r="F77" s="16">
        <f>1-E77</f>
        <v/>
      </c>
      <c r="G77" s="8">
        <f>G76-F76</f>
        <v/>
      </c>
      <c r="H77" s="16">
        <f>_xlfn.POISSON.DIST(A77,$B$25,TRUE)</f>
        <v/>
      </c>
      <c r="I77" s="16">
        <f>1-H77</f>
        <v/>
      </c>
      <c r="J77" s="8">
        <f>J76-I76</f>
        <v/>
      </c>
      <c r="K77" s="16">
        <f>(B77+4*E77+H77)/6</f>
        <v/>
      </c>
      <c r="L77" s="8">
        <f>(D77+4*G77+J77)/6</f>
        <v/>
      </c>
      <c r="M77" s="8">
        <f>A77-$B$18+L77</f>
        <v/>
      </c>
      <c r="N77" s="11">
        <f>$B$6/$B$13+$B$7*M77+$B$8*L77</f>
        <v/>
      </c>
    </row>
    <row r="78">
      <c r="A78" s="6" t="n">
        <v>49</v>
      </c>
      <c r="B78" s="16">
        <f>_xlfn.POISSON.DIST(A78,$B$23,TRUE)</f>
        <v/>
      </c>
      <c r="C78" s="16">
        <f>1-B78</f>
        <v/>
      </c>
      <c r="D78" s="8">
        <f>D77-C77</f>
        <v/>
      </c>
      <c r="E78" s="16">
        <f>_xlfn.POISSON.DIST(A78,$B$24,TRUE)</f>
        <v/>
      </c>
      <c r="F78" s="16">
        <f>1-E78</f>
        <v/>
      </c>
      <c r="G78" s="8">
        <f>G77-F77</f>
        <v/>
      </c>
      <c r="H78" s="16">
        <f>_xlfn.POISSON.DIST(A78,$B$25,TRUE)</f>
        <v/>
      </c>
      <c r="I78" s="16">
        <f>1-H78</f>
        <v/>
      </c>
      <c r="J78" s="8">
        <f>J77-I77</f>
        <v/>
      </c>
      <c r="K78" s="16">
        <f>(B78+4*E78+H78)/6</f>
        <v/>
      </c>
      <c r="L78" s="8">
        <f>(D78+4*G78+J78)/6</f>
        <v/>
      </c>
      <c r="M78" s="8">
        <f>A78-$B$18+L78</f>
        <v/>
      </c>
      <c r="N78" s="11">
        <f>$B$6/$B$13+$B$7*M78+$B$8*L78</f>
        <v/>
      </c>
    </row>
    <row r="79">
      <c r="A79" s="6" t="n">
        <v>50</v>
      </c>
      <c r="B79" s="16">
        <f>_xlfn.POISSON.DIST(A79,$B$23,TRUE)</f>
        <v/>
      </c>
      <c r="C79" s="16">
        <f>1-B79</f>
        <v/>
      </c>
      <c r="D79" s="8">
        <f>D78-C78</f>
        <v/>
      </c>
      <c r="E79" s="16">
        <f>_xlfn.POISSON.DIST(A79,$B$24,TRUE)</f>
        <v/>
      </c>
      <c r="F79" s="16">
        <f>1-E79</f>
        <v/>
      </c>
      <c r="G79" s="8">
        <f>G78-F78</f>
        <v/>
      </c>
      <c r="H79" s="16">
        <f>_xlfn.POISSON.DIST(A79,$B$25,TRUE)</f>
        <v/>
      </c>
      <c r="I79" s="16">
        <f>1-H79</f>
        <v/>
      </c>
      <c r="J79" s="8">
        <f>J78-I78</f>
        <v/>
      </c>
      <c r="K79" s="16">
        <f>(B79+4*E79+H79)/6</f>
        <v/>
      </c>
      <c r="L79" s="8">
        <f>(D79+4*G79+J79)/6</f>
        <v/>
      </c>
      <c r="M79" s="8">
        <f>A79-$B$18+L79</f>
        <v/>
      </c>
      <c r="N79" s="11">
        <f>$B$6/$B$13+$B$7*M79+$B$8*L79</f>
        <v/>
      </c>
    </row>
    <row r="80">
      <c r="A80" s="6" t="n">
        <v>51</v>
      </c>
      <c r="B80" s="16">
        <f>_xlfn.POISSON.DIST(A80,$B$23,TRUE)</f>
        <v/>
      </c>
      <c r="C80" s="16">
        <f>1-B80</f>
        <v/>
      </c>
      <c r="D80" s="8">
        <f>D79-C79</f>
        <v/>
      </c>
      <c r="E80" s="16">
        <f>_xlfn.POISSON.DIST(A80,$B$24,TRUE)</f>
        <v/>
      </c>
      <c r="F80" s="16">
        <f>1-E80</f>
        <v/>
      </c>
      <c r="G80" s="8">
        <f>G79-F79</f>
        <v/>
      </c>
      <c r="H80" s="16">
        <f>_xlfn.POISSON.DIST(A80,$B$25,TRUE)</f>
        <v/>
      </c>
      <c r="I80" s="16">
        <f>1-H80</f>
        <v/>
      </c>
      <c r="J80" s="8">
        <f>J79-I79</f>
        <v/>
      </c>
      <c r="K80" s="16">
        <f>(B80+4*E80+H80)/6</f>
        <v/>
      </c>
      <c r="L80" s="8">
        <f>(D80+4*G80+J80)/6</f>
        <v/>
      </c>
      <c r="M80" s="8">
        <f>A80-$B$18+L80</f>
        <v/>
      </c>
      <c r="N80" s="11">
        <f>$B$6/$B$13+$B$7*M80+$B$8*L80</f>
        <v/>
      </c>
    </row>
    <row r="81">
      <c r="A81" s="6" t="n">
        <v>52</v>
      </c>
      <c r="B81" s="16">
        <f>_xlfn.POISSON.DIST(A81,$B$23,TRUE)</f>
        <v/>
      </c>
      <c r="C81" s="16">
        <f>1-B81</f>
        <v/>
      </c>
      <c r="D81" s="8">
        <f>D80-C80</f>
        <v/>
      </c>
      <c r="E81" s="16">
        <f>_xlfn.POISSON.DIST(A81,$B$24,TRUE)</f>
        <v/>
      </c>
      <c r="F81" s="16">
        <f>1-E81</f>
        <v/>
      </c>
      <c r="G81" s="8">
        <f>G80-F80</f>
        <v/>
      </c>
      <c r="H81" s="16">
        <f>_xlfn.POISSON.DIST(A81,$B$25,TRUE)</f>
        <v/>
      </c>
      <c r="I81" s="16">
        <f>1-H81</f>
        <v/>
      </c>
      <c r="J81" s="8">
        <f>J80-I80</f>
        <v/>
      </c>
      <c r="K81" s="16">
        <f>(B81+4*E81+H81)/6</f>
        <v/>
      </c>
      <c r="L81" s="8">
        <f>(D81+4*G81+J81)/6</f>
        <v/>
      </c>
      <c r="M81" s="8">
        <f>A81-$B$18+L81</f>
        <v/>
      </c>
      <c r="N81" s="11">
        <f>$B$6/$B$13+$B$7*M81+$B$8*L81</f>
        <v/>
      </c>
    </row>
    <row r="82">
      <c r="A82" s="6" t="n">
        <v>53</v>
      </c>
      <c r="B82" s="16">
        <f>_xlfn.POISSON.DIST(A82,$B$23,TRUE)</f>
        <v/>
      </c>
      <c r="C82" s="16">
        <f>1-B82</f>
        <v/>
      </c>
      <c r="D82" s="8">
        <f>D81-C81</f>
        <v/>
      </c>
      <c r="E82" s="16">
        <f>_xlfn.POISSON.DIST(A82,$B$24,TRUE)</f>
        <v/>
      </c>
      <c r="F82" s="16">
        <f>1-E82</f>
        <v/>
      </c>
      <c r="G82" s="8">
        <f>G81-F81</f>
        <v/>
      </c>
      <c r="H82" s="16">
        <f>_xlfn.POISSON.DIST(A82,$B$25,TRUE)</f>
        <v/>
      </c>
      <c r="I82" s="16">
        <f>1-H82</f>
        <v/>
      </c>
      <c r="J82" s="8">
        <f>J81-I81</f>
        <v/>
      </c>
      <c r="K82" s="16">
        <f>(B82+4*E82+H82)/6</f>
        <v/>
      </c>
      <c r="L82" s="8">
        <f>(D82+4*G82+J82)/6</f>
        <v/>
      </c>
      <c r="M82" s="8">
        <f>A82-$B$18+L82</f>
        <v/>
      </c>
      <c r="N82" s="11">
        <f>$B$6/$B$13+$B$7*M82+$B$8*L82</f>
        <v/>
      </c>
    </row>
    <row r="83">
      <c r="A83" s="6" t="n">
        <v>54</v>
      </c>
      <c r="B83" s="16">
        <f>_xlfn.POISSON.DIST(A83,$B$23,TRUE)</f>
        <v/>
      </c>
      <c r="C83" s="16">
        <f>1-B83</f>
        <v/>
      </c>
      <c r="D83" s="8">
        <f>D82-C82</f>
        <v/>
      </c>
      <c r="E83" s="16">
        <f>_xlfn.POISSON.DIST(A83,$B$24,TRUE)</f>
        <v/>
      </c>
      <c r="F83" s="16">
        <f>1-E83</f>
        <v/>
      </c>
      <c r="G83" s="8">
        <f>G82-F82</f>
        <v/>
      </c>
      <c r="H83" s="16">
        <f>_xlfn.POISSON.DIST(A83,$B$25,TRUE)</f>
        <v/>
      </c>
      <c r="I83" s="16">
        <f>1-H83</f>
        <v/>
      </c>
      <c r="J83" s="8">
        <f>J82-I82</f>
        <v/>
      </c>
      <c r="K83" s="16">
        <f>(B83+4*E83+H83)/6</f>
        <v/>
      </c>
      <c r="L83" s="8">
        <f>(D83+4*G83+J83)/6</f>
        <v/>
      </c>
      <c r="M83" s="8">
        <f>A83-$B$18+L83</f>
        <v/>
      </c>
      <c r="N83" s="11">
        <f>$B$6/$B$13+$B$7*M83+$B$8*L83</f>
        <v/>
      </c>
    </row>
    <row r="84">
      <c r="A84" s="6" t="n">
        <v>55</v>
      </c>
      <c r="B84" s="16">
        <f>_xlfn.POISSON.DIST(A84,$B$23,TRUE)</f>
        <v/>
      </c>
      <c r="C84" s="16">
        <f>1-B84</f>
        <v/>
      </c>
      <c r="D84" s="8">
        <f>D83-C83</f>
        <v/>
      </c>
      <c r="E84" s="16">
        <f>_xlfn.POISSON.DIST(A84,$B$24,TRUE)</f>
        <v/>
      </c>
      <c r="F84" s="16">
        <f>1-E84</f>
        <v/>
      </c>
      <c r="G84" s="8">
        <f>G83-F83</f>
        <v/>
      </c>
      <c r="H84" s="16">
        <f>_xlfn.POISSON.DIST(A84,$B$25,TRUE)</f>
        <v/>
      </c>
      <c r="I84" s="16">
        <f>1-H84</f>
        <v/>
      </c>
      <c r="J84" s="8">
        <f>J83-I83</f>
        <v/>
      </c>
      <c r="K84" s="16">
        <f>(B84+4*E84+H84)/6</f>
        <v/>
      </c>
      <c r="L84" s="8">
        <f>(D84+4*G84+J84)/6</f>
        <v/>
      </c>
      <c r="M84" s="8">
        <f>A84-$B$18+L84</f>
        <v/>
      </c>
      <c r="N84" s="11">
        <f>$B$6/$B$13+$B$7*M84+$B$8*L84</f>
        <v/>
      </c>
    </row>
    <row r="85">
      <c r="A85" s="6" t="n">
        <v>56</v>
      </c>
      <c r="B85" s="16">
        <f>_xlfn.POISSON.DIST(A85,$B$23,TRUE)</f>
        <v/>
      </c>
      <c r="C85" s="16">
        <f>1-B85</f>
        <v/>
      </c>
      <c r="D85" s="8">
        <f>D84-C84</f>
        <v/>
      </c>
      <c r="E85" s="16">
        <f>_xlfn.POISSON.DIST(A85,$B$24,TRUE)</f>
        <v/>
      </c>
      <c r="F85" s="16">
        <f>1-E85</f>
        <v/>
      </c>
      <c r="G85" s="8">
        <f>G84-F84</f>
        <v/>
      </c>
      <c r="H85" s="16">
        <f>_xlfn.POISSON.DIST(A85,$B$25,TRUE)</f>
        <v/>
      </c>
      <c r="I85" s="16">
        <f>1-H85</f>
        <v/>
      </c>
      <c r="J85" s="8">
        <f>J84-I84</f>
        <v/>
      </c>
      <c r="K85" s="16">
        <f>(B85+4*E85+H85)/6</f>
        <v/>
      </c>
      <c r="L85" s="8">
        <f>(D85+4*G85+J85)/6</f>
        <v/>
      </c>
      <c r="M85" s="8">
        <f>A85-$B$18+L85</f>
        <v/>
      </c>
      <c r="N85" s="11">
        <f>$B$6/$B$13+$B$7*M85+$B$8*L85</f>
        <v/>
      </c>
    </row>
    <row r="86">
      <c r="A86" s="6" t="n">
        <v>57</v>
      </c>
      <c r="B86" s="16">
        <f>_xlfn.POISSON.DIST(A86,$B$23,TRUE)</f>
        <v/>
      </c>
      <c r="C86" s="16">
        <f>1-B86</f>
        <v/>
      </c>
      <c r="D86" s="8">
        <f>D85-C85</f>
        <v/>
      </c>
      <c r="E86" s="16">
        <f>_xlfn.POISSON.DIST(A86,$B$24,TRUE)</f>
        <v/>
      </c>
      <c r="F86" s="16">
        <f>1-E86</f>
        <v/>
      </c>
      <c r="G86" s="8">
        <f>G85-F85</f>
        <v/>
      </c>
      <c r="H86" s="16">
        <f>_xlfn.POISSON.DIST(A86,$B$25,TRUE)</f>
        <v/>
      </c>
      <c r="I86" s="16">
        <f>1-H86</f>
        <v/>
      </c>
      <c r="J86" s="8">
        <f>J85-I85</f>
        <v/>
      </c>
      <c r="K86" s="16">
        <f>(B86+4*E86+H86)/6</f>
        <v/>
      </c>
      <c r="L86" s="8">
        <f>(D86+4*G86+J86)/6</f>
        <v/>
      </c>
      <c r="M86" s="8">
        <f>A86-$B$18+L86</f>
        <v/>
      </c>
      <c r="N86" s="11">
        <f>$B$6/$B$13+$B$7*M86+$B$8*L86</f>
        <v/>
      </c>
    </row>
    <row r="87">
      <c r="A87" s="6" t="n">
        <v>58</v>
      </c>
      <c r="B87" s="16">
        <f>_xlfn.POISSON.DIST(A87,$B$23,TRUE)</f>
        <v/>
      </c>
      <c r="C87" s="16">
        <f>1-B87</f>
        <v/>
      </c>
      <c r="D87" s="8">
        <f>D86-C86</f>
        <v/>
      </c>
      <c r="E87" s="16">
        <f>_xlfn.POISSON.DIST(A87,$B$24,TRUE)</f>
        <v/>
      </c>
      <c r="F87" s="16">
        <f>1-E87</f>
        <v/>
      </c>
      <c r="G87" s="8">
        <f>G86-F86</f>
        <v/>
      </c>
      <c r="H87" s="16">
        <f>_xlfn.POISSON.DIST(A87,$B$25,TRUE)</f>
        <v/>
      </c>
      <c r="I87" s="16">
        <f>1-H87</f>
        <v/>
      </c>
      <c r="J87" s="8">
        <f>J86-I86</f>
        <v/>
      </c>
      <c r="K87" s="16">
        <f>(B87+4*E87+H87)/6</f>
        <v/>
      </c>
      <c r="L87" s="8">
        <f>(D87+4*G87+J87)/6</f>
        <v/>
      </c>
      <c r="M87" s="8">
        <f>A87-$B$18+L87</f>
        <v/>
      </c>
      <c r="N87" s="11">
        <f>$B$6/$B$13+$B$7*M87+$B$8*L87</f>
        <v/>
      </c>
    </row>
    <row r="88">
      <c r="A88" s="6" t="n">
        <v>59</v>
      </c>
      <c r="B88" s="16">
        <f>_xlfn.POISSON.DIST(A88,$B$23,TRUE)</f>
        <v/>
      </c>
      <c r="C88" s="16">
        <f>1-B88</f>
        <v/>
      </c>
      <c r="D88" s="8">
        <f>D87-C87</f>
        <v/>
      </c>
      <c r="E88" s="16">
        <f>_xlfn.POISSON.DIST(A88,$B$24,TRUE)</f>
        <v/>
      </c>
      <c r="F88" s="16">
        <f>1-E88</f>
        <v/>
      </c>
      <c r="G88" s="8">
        <f>G87-F87</f>
        <v/>
      </c>
      <c r="H88" s="16">
        <f>_xlfn.POISSON.DIST(A88,$B$25,TRUE)</f>
        <v/>
      </c>
      <c r="I88" s="16">
        <f>1-H88</f>
        <v/>
      </c>
      <c r="J88" s="8">
        <f>J87-I87</f>
        <v/>
      </c>
      <c r="K88" s="16">
        <f>(B88+4*E88+H88)/6</f>
        <v/>
      </c>
      <c r="L88" s="8">
        <f>(D88+4*G88+J88)/6</f>
        <v/>
      </c>
      <c r="M88" s="8">
        <f>A88-$B$18+L88</f>
        <v/>
      </c>
      <c r="N88" s="11">
        <f>$B$6/$B$13+$B$7*M88+$B$8*L88</f>
        <v/>
      </c>
    </row>
    <row r="89">
      <c r="A89" s="6" t="n">
        <v>60</v>
      </c>
      <c r="B89" s="16">
        <f>_xlfn.POISSON.DIST(A89,$B$23,TRUE)</f>
        <v/>
      </c>
      <c r="C89" s="16">
        <f>1-B89</f>
        <v/>
      </c>
      <c r="D89" s="8">
        <f>D88-C88</f>
        <v/>
      </c>
      <c r="E89" s="16">
        <f>_xlfn.POISSON.DIST(A89,$B$24,TRUE)</f>
        <v/>
      </c>
      <c r="F89" s="16">
        <f>1-E89</f>
        <v/>
      </c>
      <c r="G89" s="8">
        <f>G88-F88</f>
        <v/>
      </c>
      <c r="H89" s="16">
        <f>_xlfn.POISSON.DIST(A89,$B$25,TRUE)</f>
        <v/>
      </c>
      <c r="I89" s="16">
        <f>1-H89</f>
        <v/>
      </c>
      <c r="J89" s="8">
        <f>J88-I88</f>
        <v/>
      </c>
      <c r="K89" s="16">
        <f>(B89+4*E89+H89)/6</f>
        <v/>
      </c>
      <c r="L89" s="8">
        <f>(D89+4*G89+J89)/6</f>
        <v/>
      </c>
      <c r="M89" s="8">
        <f>A89-$B$18+L89</f>
        <v/>
      </c>
      <c r="N89" s="11">
        <f>$B$6/$B$13+$B$7*M89+$B$8*L89</f>
        <v/>
      </c>
    </row>
    <row r="90"/>
    <row r="91">
      <c r="A91" s="3" t="inlineStr">
        <is>
          <t>Choosing the level and the interval</t>
        </is>
      </c>
    </row>
    <row r="92">
      <c r="A92" t="inlineStr">
        <is>
          <t>critical ratio b/(b+h)</t>
        </is>
      </c>
      <c r="B92" s="8">
        <f>B8/(B8+B7)</f>
        <v/>
      </c>
    </row>
    <row r="93">
      <c r="A93" t="inlineStr">
        <is>
          <t>S* from @eq-periodic-optimal</t>
        </is>
      </c>
      <c r="B93" s="20">
        <f>MATCH($B$92,K29:K89,1)</f>
        <v/>
      </c>
      <c r="C93" s="2" t="inlineStr">
        <is>
          <t>read off Gbar, NOT off the G@T column</t>
        </is>
      </c>
    </row>
    <row r="94">
      <c r="A94" t="inlineStr">
        <is>
          <t>best cost in the column</t>
        </is>
      </c>
      <c r="B94" s="11">
        <f>MIN(N29:N89)</f>
        <v/>
      </c>
    </row>
    <row r="95">
      <c r="A95" t="inlineStr">
        <is>
          <t>at level</t>
        </is>
      </c>
      <c r="B95" s="7">
        <f>INDEX(A29:A89,MATCH(B94,N29:N89,0))</f>
        <v/>
      </c>
      <c r="C95" s="2" t="inlineStr">
        <is>
          <t>must agree with S* above</t>
        </is>
      </c>
    </row>
    <row r="96">
      <c r="A96" t="inlineStr">
        <is>
          <t>economic review interval</t>
        </is>
      </c>
      <c r="B96" s="8">
        <f>SQRT(2*B6/(B7*B5))</f>
        <v/>
      </c>
      <c r="C96" s="2" t="inlineStr">
        <is>
          <t>@eq-periodic-optimal-interval, the EOQ as a time supply</t>
        </is>
      </c>
    </row>
    <row r="97"/>
    <row r="98">
      <c r="A98" s="2" t="inlineStr">
        <is>
          <t>Set R small and the level returns to the base-stock answer of @sec-continuousreview-basestock, while the ordering cost runs away. That is the sanity check of @sec-continuousreview-periodic-protection.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3" customWidth="1" min="5" max="5"/>
    <col width="13" customWidth="1" min="6" max="6"/>
  </cols>
  <sheetData>
    <row r="1">
      <c r="A1" s="1" t="inlineStr">
        <is>
          <t>Demand that arrives in lots</t>
        </is>
      </c>
    </row>
    <row r="2">
      <c r="A2" s="2" t="inlineStr">
        <is>
          <t>@sec-continuousreview-lumpy. The lead time demand is compound Poisson and is built one unit at a time.</t>
        </is>
      </c>
    </row>
    <row r="3"/>
    <row r="4">
      <c r="A4" s="3" t="inlineStr">
        <is>
          <t>Item</t>
        </is>
      </c>
    </row>
    <row r="5">
      <c r="A5" t="inlineStr">
        <is>
          <t>demand epoch rate</t>
        </is>
      </c>
      <c r="B5" s="4" t="n">
        <v>400</v>
      </c>
      <c r="C5" s="2" t="inlineStr">
        <is>
          <t>epochs per year</t>
        </is>
      </c>
    </row>
    <row r="6">
      <c r="A6" t="inlineStr">
        <is>
          <t>order cost k</t>
        </is>
      </c>
      <c r="B6" s="9" t="n">
        <v>82.5</v>
      </c>
      <c r="C6" s="2" t="inlineStr">
        <is>
          <t>dollars per order</t>
        </is>
      </c>
    </row>
    <row r="7">
      <c r="A7" t="inlineStr">
        <is>
          <t>holding cost h</t>
        </is>
      </c>
      <c r="B7" s="9" t="n">
        <v>28.75</v>
      </c>
      <c r="C7" s="2" t="inlineStr">
        <is>
          <t>dollars per unit per year</t>
        </is>
      </c>
    </row>
    <row r="8">
      <c r="A8" t="inlineStr">
        <is>
          <t>backorder cost b</t>
        </is>
      </c>
      <c r="B8" s="9" t="n">
        <v>287.5</v>
      </c>
      <c r="C8" s="2" t="inlineStr">
        <is>
          <t>dollars per unit per year</t>
        </is>
      </c>
    </row>
    <row r="9">
      <c r="A9" t="inlineStr">
        <is>
          <t>lead time L</t>
        </is>
      </c>
      <c r="B9" s="10" t="n">
        <v>0.03846153846153846</v>
      </c>
      <c r="C9" s="2" t="inlineStr">
        <is>
          <t>years</t>
        </is>
      </c>
    </row>
    <row r="10"/>
    <row r="11">
      <c r="A11" s="3" t="inlineStr">
        <is>
          <t>Lot size</t>
        </is>
      </c>
    </row>
    <row r="12">
      <c r="A12" s="5" t="inlineStr">
        <is>
          <t>y</t>
        </is>
      </c>
      <c r="B12" s="5" t="inlineStr">
        <is>
          <t>P{Y = y}</t>
        </is>
      </c>
      <c r="C12" s="5" t="inlineStr">
        <is>
          <t>y P{Y = y}</t>
        </is>
      </c>
      <c r="D12" s="5" t="inlineStr">
        <is>
          <t>y^2 P{Y = y}</t>
        </is>
      </c>
    </row>
    <row r="13">
      <c r="A13" s="6" t="n">
        <v>1</v>
      </c>
      <c r="B13" s="10" t="n">
        <v>0.4</v>
      </c>
      <c r="C13" s="8">
        <f>A13*B13</f>
        <v/>
      </c>
      <c r="D13" s="8">
        <f>A13^2*B13</f>
        <v/>
      </c>
    </row>
    <row r="14">
      <c r="A14" s="6" t="n">
        <v>2</v>
      </c>
      <c r="B14" s="10" t="n">
        <v>0.4</v>
      </c>
      <c r="C14" s="8">
        <f>A14*B14</f>
        <v/>
      </c>
      <c r="D14" s="8">
        <f>A14^2*B14</f>
        <v/>
      </c>
    </row>
    <row r="15">
      <c r="A15" s="6" t="n">
        <v>4</v>
      </c>
      <c r="B15" s="10" t="n">
        <v>0.2</v>
      </c>
      <c r="C15" s="8">
        <f>A15*B15</f>
        <v/>
      </c>
      <c r="D15" s="8">
        <f>A15^2*B15</f>
        <v/>
      </c>
    </row>
    <row r="16">
      <c r="A16" t="inlineStr">
        <is>
          <t>E[Y]</t>
        </is>
      </c>
      <c r="B16" s="8">
        <f>SUM(C13:C15)</f>
        <v/>
      </c>
    </row>
    <row r="17">
      <c r="A17" t="inlineStr">
        <is>
          <t>E[Y^2]</t>
        </is>
      </c>
      <c r="B17" s="8">
        <f>SUM(D13:D15)</f>
        <v/>
      </c>
    </row>
    <row r="18">
      <c r="A18" t="inlineStr">
        <is>
          <t>demand rate lambda</t>
        </is>
      </c>
      <c r="B18" s="7">
        <f>B5*B16</f>
        <v/>
      </c>
    </row>
    <row r="19">
      <c r="A19" t="inlineStr">
        <is>
          <t>epochs in a lead time</t>
        </is>
      </c>
      <c r="B19" s="8">
        <f>B5*B9</f>
        <v/>
      </c>
    </row>
    <row r="20">
      <c r="A20" t="inlineStr">
        <is>
          <t>theta</t>
        </is>
      </c>
      <c r="B20" s="8">
        <f>B18*B9</f>
        <v/>
      </c>
    </row>
    <row r="21">
      <c r="A21" t="inlineStr">
        <is>
          <t>variance of D(L)</t>
        </is>
      </c>
      <c r="B21" s="8">
        <f>B5*B9*B17</f>
        <v/>
      </c>
    </row>
    <row r="22">
      <c r="A22" t="inlineStr">
        <is>
          <t>variance to mean ratio</t>
        </is>
      </c>
      <c r="B22" s="8">
        <f>B21/B20</f>
        <v/>
      </c>
    </row>
    <row r="23">
      <c r="A23" s="2" t="inlineStr">
        <is>
          <t>The ratio is E[Y^2]/E[Y] and exceeds one whenever a lot is ever bigger than one.</t>
        </is>
      </c>
    </row>
    <row r="24"/>
    <row r="25">
      <c r="A25" s="3" t="inlineStr">
        <is>
          <t>Panjer's recursion for the compound Poisson mass function</t>
        </is>
      </c>
    </row>
    <row r="26">
      <c r="A26" s="5" t="inlineStr">
        <is>
          <t>x</t>
        </is>
      </c>
      <c r="B26" s="5" t="inlineStr">
        <is>
          <t>g(x)</t>
        </is>
      </c>
      <c r="C26" s="5" t="inlineStr">
        <is>
          <t>G(x)</t>
        </is>
      </c>
      <c r="D26" s="5" t="inlineStr">
        <is>
          <t>G0(x)</t>
        </is>
      </c>
      <c r="E26" s="5" t="inlineStr">
        <is>
          <t>G1(x)</t>
        </is>
      </c>
      <c r="F26" s="5" t="inlineStr">
        <is>
          <t>G2(x)</t>
        </is>
      </c>
    </row>
    <row r="27">
      <c r="A27" s="6" t="n">
        <v>0</v>
      </c>
      <c r="B27" s="21">
        <f>EXP(-$B$19)</f>
        <v/>
      </c>
      <c r="C27" s="21">
        <f>B27</f>
        <v/>
      </c>
      <c r="D27" s="21">
        <f>1-C27</f>
        <v/>
      </c>
      <c r="E27" s="8">
        <f>$B$20</f>
        <v/>
      </c>
      <c r="F27" s="8">
        <f>($B$20^2+$B$21-$B$20)/2</f>
        <v/>
      </c>
    </row>
    <row r="28">
      <c r="A28" s="6" t="n">
        <v>1</v>
      </c>
      <c r="B28" s="21">
        <f>($B$19/A28)*($C$13*B27)</f>
        <v/>
      </c>
      <c r="C28" s="21">
        <f>C27+B28</f>
        <v/>
      </c>
      <c r="D28" s="21">
        <f>1-C28</f>
        <v/>
      </c>
      <c r="E28" s="8">
        <f>E27-D27</f>
        <v/>
      </c>
      <c r="F28" s="8">
        <f>F27-E28</f>
        <v/>
      </c>
    </row>
    <row r="29">
      <c r="A29" s="6" t="n">
        <v>2</v>
      </c>
      <c r="B29" s="21">
        <f>($B$19/A29)*($C$13*B28+$C$14*B27)</f>
        <v/>
      </c>
      <c r="C29" s="21">
        <f>C28+B29</f>
        <v/>
      </c>
      <c r="D29" s="21">
        <f>1-C29</f>
        <v/>
      </c>
      <c r="E29" s="8">
        <f>E28-D28</f>
        <v/>
      </c>
      <c r="F29" s="8">
        <f>F28-E29</f>
        <v/>
      </c>
    </row>
    <row r="30">
      <c r="A30" s="6" t="n">
        <v>3</v>
      </c>
      <c r="B30" s="21">
        <f>($B$19/A30)*($C$13*B29+$C$14*B28)</f>
        <v/>
      </c>
      <c r="C30" s="21">
        <f>C29+B30</f>
        <v/>
      </c>
      <c r="D30" s="21">
        <f>1-C30</f>
        <v/>
      </c>
      <c r="E30" s="8">
        <f>E29-D29</f>
        <v/>
      </c>
      <c r="F30" s="8">
        <f>F29-E30</f>
        <v/>
      </c>
    </row>
    <row r="31">
      <c r="A31" s="6" t="n">
        <v>4</v>
      </c>
      <c r="B31" s="21">
        <f>($B$19/A31)*($C$13*B30+$C$14*B29+$C$15*B27)</f>
        <v/>
      </c>
      <c r="C31" s="21">
        <f>C30+B31</f>
        <v/>
      </c>
      <c r="D31" s="21">
        <f>1-C31</f>
        <v/>
      </c>
      <c r="E31" s="8">
        <f>E30-D30</f>
        <v/>
      </c>
      <c r="F31" s="8">
        <f>F30-E31</f>
        <v/>
      </c>
    </row>
    <row r="32">
      <c r="A32" s="6" t="n">
        <v>5</v>
      </c>
      <c r="B32" s="21">
        <f>($B$19/A32)*($C$13*B31+$C$14*B30+$C$15*B28)</f>
        <v/>
      </c>
      <c r="C32" s="21">
        <f>C31+B32</f>
        <v/>
      </c>
      <c r="D32" s="21">
        <f>1-C32</f>
        <v/>
      </c>
      <c r="E32" s="8">
        <f>E31-D31</f>
        <v/>
      </c>
      <c r="F32" s="8">
        <f>F31-E32</f>
        <v/>
      </c>
    </row>
    <row r="33">
      <c r="A33" s="6" t="n">
        <v>6</v>
      </c>
      <c r="B33" s="21">
        <f>($B$19/A33)*($C$13*B32+$C$14*B31+$C$15*B29)</f>
        <v/>
      </c>
      <c r="C33" s="21">
        <f>C32+B33</f>
        <v/>
      </c>
      <c r="D33" s="21">
        <f>1-C33</f>
        <v/>
      </c>
      <c r="E33" s="8">
        <f>E32-D32</f>
        <v/>
      </c>
      <c r="F33" s="8">
        <f>F32-E33</f>
        <v/>
      </c>
    </row>
    <row r="34">
      <c r="A34" s="6" t="n">
        <v>7</v>
      </c>
      <c r="B34" s="21">
        <f>($B$19/A34)*($C$13*B33+$C$14*B32+$C$15*B30)</f>
        <v/>
      </c>
      <c r="C34" s="21">
        <f>C33+B34</f>
        <v/>
      </c>
      <c r="D34" s="21">
        <f>1-C34</f>
        <v/>
      </c>
      <c r="E34" s="8">
        <f>E33-D33</f>
        <v/>
      </c>
      <c r="F34" s="8">
        <f>F33-E34</f>
        <v/>
      </c>
    </row>
    <row r="35">
      <c r="A35" s="6" t="n">
        <v>8</v>
      </c>
      <c r="B35" s="21">
        <f>($B$19/A35)*($C$13*B34+$C$14*B33+$C$15*B31)</f>
        <v/>
      </c>
      <c r="C35" s="21">
        <f>C34+B35</f>
        <v/>
      </c>
      <c r="D35" s="21">
        <f>1-C35</f>
        <v/>
      </c>
      <c r="E35" s="8">
        <f>E34-D34</f>
        <v/>
      </c>
      <c r="F35" s="8">
        <f>F34-E35</f>
        <v/>
      </c>
    </row>
    <row r="36">
      <c r="A36" s="6" t="n">
        <v>9</v>
      </c>
      <c r="B36" s="21">
        <f>($B$19/A36)*($C$13*B35+$C$14*B34+$C$15*B32)</f>
        <v/>
      </c>
      <c r="C36" s="21">
        <f>C35+B36</f>
        <v/>
      </c>
      <c r="D36" s="21">
        <f>1-C36</f>
        <v/>
      </c>
      <c r="E36" s="8">
        <f>E35-D35</f>
        <v/>
      </c>
      <c r="F36" s="8">
        <f>F35-E36</f>
        <v/>
      </c>
    </row>
    <row r="37">
      <c r="A37" s="6" t="n">
        <v>10</v>
      </c>
      <c r="B37" s="21">
        <f>($B$19/A37)*($C$13*B36+$C$14*B35+$C$15*B33)</f>
        <v/>
      </c>
      <c r="C37" s="21">
        <f>C36+B37</f>
        <v/>
      </c>
      <c r="D37" s="21">
        <f>1-C37</f>
        <v/>
      </c>
      <c r="E37" s="8">
        <f>E36-D36</f>
        <v/>
      </c>
      <c r="F37" s="8">
        <f>F36-E37</f>
        <v/>
      </c>
    </row>
    <row r="38">
      <c r="A38" s="6" t="n">
        <v>11</v>
      </c>
      <c r="B38" s="21">
        <f>($B$19/A38)*($C$13*B37+$C$14*B36+$C$15*B34)</f>
        <v/>
      </c>
      <c r="C38" s="21">
        <f>C37+B38</f>
        <v/>
      </c>
      <c r="D38" s="21">
        <f>1-C38</f>
        <v/>
      </c>
      <c r="E38" s="8">
        <f>E37-D37</f>
        <v/>
      </c>
      <c r="F38" s="8">
        <f>F37-E38</f>
        <v/>
      </c>
    </row>
    <row r="39">
      <c r="A39" s="6" t="n">
        <v>12</v>
      </c>
      <c r="B39" s="21">
        <f>($B$19/A39)*($C$13*B38+$C$14*B37+$C$15*B35)</f>
        <v/>
      </c>
      <c r="C39" s="21">
        <f>C38+B39</f>
        <v/>
      </c>
      <c r="D39" s="21">
        <f>1-C39</f>
        <v/>
      </c>
      <c r="E39" s="8">
        <f>E38-D38</f>
        <v/>
      </c>
      <c r="F39" s="8">
        <f>F38-E39</f>
        <v/>
      </c>
    </row>
    <row r="40">
      <c r="A40" s="6" t="n">
        <v>13</v>
      </c>
      <c r="B40" s="21">
        <f>($B$19/A40)*($C$13*B39+$C$14*B38+$C$15*B36)</f>
        <v/>
      </c>
      <c r="C40" s="21">
        <f>C39+B40</f>
        <v/>
      </c>
      <c r="D40" s="21">
        <f>1-C40</f>
        <v/>
      </c>
      <c r="E40" s="8">
        <f>E39-D39</f>
        <v/>
      </c>
      <c r="F40" s="8">
        <f>F39-E40</f>
        <v/>
      </c>
    </row>
    <row r="41">
      <c r="A41" s="6" t="n">
        <v>14</v>
      </c>
      <c r="B41" s="21">
        <f>($B$19/A41)*($C$13*B40+$C$14*B39+$C$15*B37)</f>
        <v/>
      </c>
      <c r="C41" s="21">
        <f>C40+B41</f>
        <v/>
      </c>
      <c r="D41" s="21">
        <f>1-C41</f>
        <v/>
      </c>
      <c r="E41" s="8">
        <f>E40-D40</f>
        <v/>
      </c>
      <c r="F41" s="8">
        <f>F40-E41</f>
        <v/>
      </c>
    </row>
    <row r="42">
      <c r="A42" s="6" t="n">
        <v>15</v>
      </c>
      <c r="B42" s="21">
        <f>($B$19/A42)*($C$13*B41+$C$14*B40+$C$15*B38)</f>
        <v/>
      </c>
      <c r="C42" s="21">
        <f>C41+B42</f>
        <v/>
      </c>
      <c r="D42" s="21">
        <f>1-C42</f>
        <v/>
      </c>
      <c r="E42" s="8">
        <f>E41-D41</f>
        <v/>
      </c>
      <c r="F42" s="8">
        <f>F41-E42</f>
        <v/>
      </c>
    </row>
    <row r="43">
      <c r="A43" s="6" t="n">
        <v>16</v>
      </c>
      <c r="B43" s="21">
        <f>($B$19/A43)*($C$13*B42+$C$14*B41+$C$15*B39)</f>
        <v/>
      </c>
      <c r="C43" s="21">
        <f>C42+B43</f>
        <v/>
      </c>
      <c r="D43" s="21">
        <f>1-C43</f>
        <v/>
      </c>
      <c r="E43" s="8">
        <f>E42-D42</f>
        <v/>
      </c>
      <c r="F43" s="8">
        <f>F42-E43</f>
        <v/>
      </c>
    </row>
    <row r="44">
      <c r="A44" s="6" t="n">
        <v>17</v>
      </c>
      <c r="B44" s="21">
        <f>($B$19/A44)*($C$13*B43+$C$14*B42+$C$15*B40)</f>
        <v/>
      </c>
      <c r="C44" s="21">
        <f>C43+B44</f>
        <v/>
      </c>
      <c r="D44" s="21">
        <f>1-C44</f>
        <v/>
      </c>
      <c r="E44" s="8">
        <f>E43-D43</f>
        <v/>
      </c>
      <c r="F44" s="8">
        <f>F43-E44</f>
        <v/>
      </c>
    </row>
    <row r="45">
      <c r="A45" s="6" t="n">
        <v>18</v>
      </c>
      <c r="B45" s="21">
        <f>($B$19/A45)*($C$13*B44+$C$14*B43+$C$15*B41)</f>
        <v/>
      </c>
      <c r="C45" s="21">
        <f>C44+B45</f>
        <v/>
      </c>
      <c r="D45" s="21">
        <f>1-C45</f>
        <v/>
      </c>
      <c r="E45" s="8">
        <f>E44-D44</f>
        <v/>
      </c>
      <c r="F45" s="8">
        <f>F44-E45</f>
        <v/>
      </c>
    </row>
    <row r="46">
      <c r="A46" s="6" t="n">
        <v>19</v>
      </c>
      <c r="B46" s="21">
        <f>($B$19/A46)*($C$13*B45+$C$14*B44+$C$15*B42)</f>
        <v/>
      </c>
      <c r="C46" s="21">
        <f>C45+B46</f>
        <v/>
      </c>
      <c r="D46" s="21">
        <f>1-C46</f>
        <v/>
      </c>
      <c r="E46" s="8">
        <f>E45-D45</f>
        <v/>
      </c>
      <c r="F46" s="8">
        <f>F45-E46</f>
        <v/>
      </c>
    </row>
    <row r="47">
      <c r="A47" s="6" t="n">
        <v>20</v>
      </c>
      <c r="B47" s="21">
        <f>($B$19/A47)*($C$13*B46+$C$14*B45+$C$15*B43)</f>
        <v/>
      </c>
      <c r="C47" s="21">
        <f>C46+B47</f>
        <v/>
      </c>
      <c r="D47" s="21">
        <f>1-C47</f>
        <v/>
      </c>
      <c r="E47" s="8">
        <f>E46-D46</f>
        <v/>
      </c>
      <c r="F47" s="8">
        <f>F46-E47</f>
        <v/>
      </c>
    </row>
    <row r="48">
      <c r="A48" s="6" t="n">
        <v>21</v>
      </c>
      <c r="B48" s="21">
        <f>($B$19/A48)*($C$13*B47+$C$14*B46+$C$15*B44)</f>
        <v/>
      </c>
      <c r="C48" s="21">
        <f>C47+B48</f>
        <v/>
      </c>
      <c r="D48" s="21">
        <f>1-C48</f>
        <v/>
      </c>
      <c r="E48" s="8">
        <f>E47-D47</f>
        <v/>
      </c>
      <c r="F48" s="8">
        <f>F47-E48</f>
        <v/>
      </c>
    </row>
    <row r="49">
      <c r="A49" s="6" t="n">
        <v>22</v>
      </c>
      <c r="B49" s="21">
        <f>($B$19/A49)*($C$13*B48+$C$14*B47+$C$15*B45)</f>
        <v/>
      </c>
      <c r="C49" s="21">
        <f>C48+B49</f>
        <v/>
      </c>
      <c r="D49" s="21">
        <f>1-C49</f>
        <v/>
      </c>
      <c r="E49" s="8">
        <f>E48-D48</f>
        <v/>
      </c>
      <c r="F49" s="8">
        <f>F48-E49</f>
        <v/>
      </c>
    </row>
    <row r="50">
      <c r="A50" s="6" t="n">
        <v>23</v>
      </c>
      <c r="B50" s="21">
        <f>($B$19/A50)*($C$13*B49+$C$14*B48+$C$15*B46)</f>
        <v/>
      </c>
      <c r="C50" s="21">
        <f>C49+B50</f>
        <v/>
      </c>
      <c r="D50" s="21">
        <f>1-C50</f>
        <v/>
      </c>
      <c r="E50" s="8">
        <f>E49-D49</f>
        <v/>
      </c>
      <c r="F50" s="8">
        <f>F49-E50</f>
        <v/>
      </c>
    </row>
    <row r="51">
      <c r="A51" s="6" t="n">
        <v>24</v>
      </c>
      <c r="B51" s="21">
        <f>($B$19/A51)*($C$13*B50+$C$14*B49+$C$15*B47)</f>
        <v/>
      </c>
      <c r="C51" s="21">
        <f>C50+B51</f>
        <v/>
      </c>
      <c r="D51" s="21">
        <f>1-C51</f>
        <v/>
      </c>
      <c r="E51" s="8">
        <f>E50-D50</f>
        <v/>
      </c>
      <c r="F51" s="8">
        <f>F50-E51</f>
        <v/>
      </c>
    </row>
    <row r="52">
      <c r="A52" s="6" t="n">
        <v>25</v>
      </c>
      <c r="B52" s="21">
        <f>($B$19/A52)*($C$13*B51+$C$14*B50+$C$15*B48)</f>
        <v/>
      </c>
      <c r="C52" s="21">
        <f>C51+B52</f>
        <v/>
      </c>
      <c r="D52" s="21">
        <f>1-C52</f>
        <v/>
      </c>
      <c r="E52" s="8">
        <f>E51-D51</f>
        <v/>
      </c>
      <c r="F52" s="8">
        <f>F51-E52</f>
        <v/>
      </c>
    </row>
    <row r="53">
      <c r="A53" s="6" t="n">
        <v>26</v>
      </c>
      <c r="B53" s="21">
        <f>($B$19/A53)*($C$13*B52+$C$14*B51+$C$15*B49)</f>
        <v/>
      </c>
      <c r="C53" s="21">
        <f>C52+B53</f>
        <v/>
      </c>
      <c r="D53" s="21">
        <f>1-C53</f>
        <v/>
      </c>
      <c r="E53" s="8">
        <f>E52-D52</f>
        <v/>
      </c>
      <c r="F53" s="8">
        <f>F52-E53</f>
        <v/>
      </c>
    </row>
    <row r="54">
      <c r="A54" s="6" t="n">
        <v>27</v>
      </c>
      <c r="B54" s="21">
        <f>($B$19/A54)*($C$13*B53+$C$14*B52+$C$15*B50)</f>
        <v/>
      </c>
      <c r="C54" s="21">
        <f>C53+B54</f>
        <v/>
      </c>
      <c r="D54" s="21">
        <f>1-C54</f>
        <v/>
      </c>
      <c r="E54" s="8">
        <f>E53-D53</f>
        <v/>
      </c>
      <c r="F54" s="8">
        <f>F53-E54</f>
        <v/>
      </c>
    </row>
    <row r="55">
      <c r="A55" s="6" t="n">
        <v>28</v>
      </c>
      <c r="B55" s="21">
        <f>($B$19/A55)*($C$13*B54+$C$14*B53+$C$15*B51)</f>
        <v/>
      </c>
      <c r="C55" s="21">
        <f>C54+B55</f>
        <v/>
      </c>
      <c r="D55" s="21">
        <f>1-C55</f>
        <v/>
      </c>
      <c r="E55" s="8">
        <f>E54-D54</f>
        <v/>
      </c>
      <c r="F55" s="8">
        <f>F54-E55</f>
        <v/>
      </c>
    </row>
    <row r="56">
      <c r="A56" s="6" t="n">
        <v>29</v>
      </c>
      <c r="B56" s="21">
        <f>($B$19/A56)*($C$13*B55+$C$14*B54+$C$15*B52)</f>
        <v/>
      </c>
      <c r="C56" s="21">
        <f>C55+B56</f>
        <v/>
      </c>
      <c r="D56" s="21">
        <f>1-C56</f>
        <v/>
      </c>
      <c r="E56" s="8">
        <f>E55-D55</f>
        <v/>
      </c>
      <c r="F56" s="8">
        <f>F55-E56</f>
        <v/>
      </c>
    </row>
    <row r="57">
      <c r="A57" s="6" t="n">
        <v>30</v>
      </c>
      <c r="B57" s="21">
        <f>($B$19/A57)*($C$13*B56+$C$14*B55+$C$15*B53)</f>
        <v/>
      </c>
      <c r="C57" s="21">
        <f>C56+B57</f>
        <v/>
      </c>
      <c r="D57" s="21">
        <f>1-C57</f>
        <v/>
      </c>
      <c r="E57" s="8">
        <f>E56-D56</f>
        <v/>
      </c>
      <c r="F57" s="8">
        <f>F56-E57</f>
        <v/>
      </c>
    </row>
    <row r="58">
      <c r="A58" s="6" t="n">
        <v>31</v>
      </c>
      <c r="B58" s="21">
        <f>($B$19/A58)*($C$13*B57+$C$14*B56+$C$15*B54)</f>
        <v/>
      </c>
      <c r="C58" s="21">
        <f>C57+B58</f>
        <v/>
      </c>
      <c r="D58" s="21">
        <f>1-C58</f>
        <v/>
      </c>
      <c r="E58" s="8">
        <f>E57-D57</f>
        <v/>
      </c>
      <c r="F58" s="8">
        <f>F57-E58</f>
        <v/>
      </c>
    </row>
    <row r="59">
      <c r="A59" s="6" t="n">
        <v>32</v>
      </c>
      <c r="B59" s="21">
        <f>($B$19/A59)*($C$13*B58+$C$14*B57+$C$15*B55)</f>
        <v/>
      </c>
      <c r="C59" s="21">
        <f>C58+B59</f>
        <v/>
      </c>
      <c r="D59" s="21">
        <f>1-C59</f>
        <v/>
      </c>
      <c r="E59" s="8">
        <f>E58-D58</f>
        <v/>
      </c>
      <c r="F59" s="8">
        <f>F58-E59</f>
        <v/>
      </c>
    </row>
    <row r="60">
      <c r="A60" s="6" t="n">
        <v>33</v>
      </c>
      <c r="B60" s="21">
        <f>($B$19/A60)*($C$13*B59+$C$14*B58+$C$15*B56)</f>
        <v/>
      </c>
      <c r="C60" s="21">
        <f>C59+B60</f>
        <v/>
      </c>
      <c r="D60" s="21">
        <f>1-C60</f>
        <v/>
      </c>
      <c r="E60" s="8">
        <f>E59-D59</f>
        <v/>
      </c>
      <c r="F60" s="8">
        <f>F59-E60</f>
        <v/>
      </c>
    </row>
    <row r="61">
      <c r="A61" s="6" t="n">
        <v>34</v>
      </c>
      <c r="B61" s="21">
        <f>($B$19/A61)*($C$13*B60+$C$14*B59+$C$15*B57)</f>
        <v/>
      </c>
      <c r="C61" s="21">
        <f>C60+B61</f>
        <v/>
      </c>
      <c r="D61" s="21">
        <f>1-C61</f>
        <v/>
      </c>
      <c r="E61" s="8">
        <f>E60-D60</f>
        <v/>
      </c>
      <c r="F61" s="8">
        <f>F60-E61</f>
        <v/>
      </c>
    </row>
    <row r="62">
      <c r="A62" s="6" t="n">
        <v>35</v>
      </c>
      <c r="B62" s="21">
        <f>($B$19/A62)*($C$13*B61+$C$14*B60+$C$15*B58)</f>
        <v/>
      </c>
      <c r="C62" s="21">
        <f>C61+B62</f>
        <v/>
      </c>
      <c r="D62" s="21">
        <f>1-C62</f>
        <v/>
      </c>
      <c r="E62" s="8">
        <f>E61-D61</f>
        <v/>
      </c>
      <c r="F62" s="8">
        <f>F61-E62</f>
        <v/>
      </c>
    </row>
    <row r="63">
      <c r="A63" s="6" t="n">
        <v>36</v>
      </c>
      <c r="B63" s="21">
        <f>($B$19/A63)*($C$13*B62+$C$14*B61+$C$15*B59)</f>
        <v/>
      </c>
      <c r="C63" s="21">
        <f>C62+B63</f>
        <v/>
      </c>
      <c r="D63" s="21">
        <f>1-C63</f>
        <v/>
      </c>
      <c r="E63" s="8">
        <f>E62-D62</f>
        <v/>
      </c>
      <c r="F63" s="8">
        <f>F62-E63</f>
        <v/>
      </c>
    </row>
    <row r="64">
      <c r="A64" s="6" t="n">
        <v>37</v>
      </c>
      <c r="B64" s="21">
        <f>($B$19/A64)*($C$13*B63+$C$14*B62+$C$15*B60)</f>
        <v/>
      </c>
      <c r="C64" s="21">
        <f>C63+B64</f>
        <v/>
      </c>
      <c r="D64" s="21">
        <f>1-C64</f>
        <v/>
      </c>
      <c r="E64" s="8">
        <f>E63-D63</f>
        <v/>
      </c>
      <c r="F64" s="8">
        <f>F63-E64</f>
        <v/>
      </c>
    </row>
    <row r="65">
      <c r="A65" s="6" t="n">
        <v>38</v>
      </c>
      <c r="B65" s="21">
        <f>($B$19/A65)*($C$13*B64+$C$14*B63+$C$15*B61)</f>
        <v/>
      </c>
      <c r="C65" s="21">
        <f>C64+B65</f>
        <v/>
      </c>
      <c r="D65" s="21">
        <f>1-C65</f>
        <v/>
      </c>
      <c r="E65" s="8">
        <f>E64-D64</f>
        <v/>
      </c>
      <c r="F65" s="8">
        <f>F64-E65</f>
        <v/>
      </c>
    </row>
    <row r="66">
      <c r="A66" s="6" t="n">
        <v>39</v>
      </c>
      <c r="B66" s="21">
        <f>($B$19/A66)*($C$13*B65+$C$14*B64+$C$15*B62)</f>
        <v/>
      </c>
      <c r="C66" s="21">
        <f>C65+B66</f>
        <v/>
      </c>
      <c r="D66" s="21">
        <f>1-C66</f>
        <v/>
      </c>
      <c r="E66" s="8">
        <f>E65-D65</f>
        <v/>
      </c>
      <c r="F66" s="8">
        <f>F65-E66</f>
        <v/>
      </c>
    </row>
    <row r="67">
      <c r="A67" s="6" t="n">
        <v>40</v>
      </c>
      <c r="B67" s="21">
        <f>($B$19/A67)*($C$13*B66+$C$14*B65+$C$15*B63)</f>
        <v/>
      </c>
      <c r="C67" s="21">
        <f>C66+B67</f>
        <v/>
      </c>
      <c r="D67" s="21">
        <f>1-C67</f>
        <v/>
      </c>
      <c r="E67" s="8">
        <f>E66-D66</f>
        <v/>
      </c>
      <c r="F67" s="8">
        <f>F66-E67</f>
        <v/>
      </c>
    </row>
    <row r="68">
      <c r="A68" s="6" t="n">
        <v>41</v>
      </c>
      <c r="B68" s="21">
        <f>($B$19/A68)*($C$13*B67+$C$14*B66+$C$15*B64)</f>
        <v/>
      </c>
      <c r="C68" s="21">
        <f>C67+B68</f>
        <v/>
      </c>
      <c r="D68" s="21">
        <f>1-C68</f>
        <v/>
      </c>
      <c r="E68" s="8">
        <f>E67-D67</f>
        <v/>
      </c>
      <c r="F68" s="8">
        <f>F67-E68</f>
        <v/>
      </c>
    </row>
    <row r="69">
      <c r="A69" s="6" t="n">
        <v>42</v>
      </c>
      <c r="B69" s="21">
        <f>($B$19/A69)*($C$13*B68+$C$14*B67+$C$15*B65)</f>
        <v/>
      </c>
      <c r="C69" s="21">
        <f>C68+B69</f>
        <v/>
      </c>
      <c r="D69" s="21">
        <f>1-C69</f>
        <v/>
      </c>
      <c r="E69" s="8">
        <f>E68-D68</f>
        <v/>
      </c>
      <c r="F69" s="8">
        <f>F68-E69</f>
        <v/>
      </c>
    </row>
    <row r="70">
      <c r="A70" s="6" t="n">
        <v>43</v>
      </c>
      <c r="B70" s="21">
        <f>($B$19/A70)*($C$13*B69+$C$14*B68+$C$15*B66)</f>
        <v/>
      </c>
      <c r="C70" s="21">
        <f>C69+B70</f>
        <v/>
      </c>
      <c r="D70" s="21">
        <f>1-C70</f>
        <v/>
      </c>
      <c r="E70" s="8">
        <f>E69-D69</f>
        <v/>
      </c>
      <c r="F70" s="8">
        <f>F69-E70</f>
        <v/>
      </c>
    </row>
    <row r="71">
      <c r="A71" s="6" t="n">
        <v>44</v>
      </c>
      <c r="B71" s="21">
        <f>($B$19/A71)*($C$13*B70+$C$14*B69+$C$15*B67)</f>
        <v/>
      </c>
      <c r="C71" s="21">
        <f>C70+B71</f>
        <v/>
      </c>
      <c r="D71" s="21">
        <f>1-C71</f>
        <v/>
      </c>
      <c r="E71" s="8">
        <f>E70-D70</f>
        <v/>
      </c>
      <c r="F71" s="8">
        <f>F70-E71</f>
        <v/>
      </c>
    </row>
    <row r="72">
      <c r="A72" s="6" t="n">
        <v>45</v>
      </c>
      <c r="B72" s="21">
        <f>($B$19/A72)*($C$13*B71+$C$14*B70+$C$15*B68)</f>
        <v/>
      </c>
      <c r="C72" s="21">
        <f>C71+B72</f>
        <v/>
      </c>
      <c r="D72" s="21">
        <f>1-C72</f>
        <v/>
      </c>
      <c r="E72" s="8">
        <f>E71-D71</f>
        <v/>
      </c>
      <c r="F72" s="8">
        <f>F71-E72</f>
        <v/>
      </c>
    </row>
    <row r="73">
      <c r="A73" s="6" t="n">
        <v>46</v>
      </c>
      <c r="B73" s="21">
        <f>($B$19/A73)*($C$13*B72+$C$14*B71+$C$15*B69)</f>
        <v/>
      </c>
      <c r="C73" s="21">
        <f>C72+B73</f>
        <v/>
      </c>
      <c r="D73" s="21">
        <f>1-C73</f>
        <v/>
      </c>
      <c r="E73" s="8">
        <f>E72-D72</f>
        <v/>
      </c>
      <c r="F73" s="8">
        <f>F72-E73</f>
        <v/>
      </c>
    </row>
    <row r="74">
      <c r="A74" s="6" t="n">
        <v>47</v>
      </c>
      <c r="B74" s="21">
        <f>($B$19/A74)*($C$13*B73+$C$14*B72+$C$15*B70)</f>
        <v/>
      </c>
      <c r="C74" s="21">
        <f>C73+B74</f>
        <v/>
      </c>
      <c r="D74" s="21">
        <f>1-C74</f>
        <v/>
      </c>
      <c r="E74" s="8">
        <f>E73-D73</f>
        <v/>
      </c>
      <c r="F74" s="8">
        <f>F73-E74</f>
        <v/>
      </c>
    </row>
    <row r="75">
      <c r="A75" s="6" t="n">
        <v>48</v>
      </c>
      <c r="B75" s="21">
        <f>($B$19/A75)*($C$13*B74+$C$14*B73+$C$15*B71)</f>
        <v/>
      </c>
      <c r="C75" s="21">
        <f>C74+B75</f>
        <v/>
      </c>
      <c r="D75" s="21">
        <f>1-C75</f>
        <v/>
      </c>
      <c r="E75" s="8">
        <f>E74-D74</f>
        <v/>
      </c>
      <c r="F75" s="8">
        <f>F74-E75</f>
        <v/>
      </c>
    </row>
    <row r="76">
      <c r="A76" s="6" t="n">
        <v>49</v>
      </c>
      <c r="B76" s="21">
        <f>($B$19/A76)*($C$13*B75+$C$14*B74+$C$15*B72)</f>
        <v/>
      </c>
      <c r="C76" s="21">
        <f>C75+B76</f>
        <v/>
      </c>
      <c r="D76" s="21">
        <f>1-C76</f>
        <v/>
      </c>
      <c r="E76" s="8">
        <f>E75-D75</f>
        <v/>
      </c>
      <c r="F76" s="8">
        <f>F75-E76</f>
        <v/>
      </c>
    </row>
    <row r="77">
      <c r="A77" s="6" t="n">
        <v>50</v>
      </c>
      <c r="B77" s="21">
        <f>($B$19/A77)*($C$13*B76+$C$14*B75+$C$15*B73)</f>
        <v/>
      </c>
      <c r="C77" s="21">
        <f>C76+B77</f>
        <v/>
      </c>
      <c r="D77" s="21">
        <f>1-C77</f>
        <v/>
      </c>
      <c r="E77" s="8">
        <f>E76-D76</f>
        <v/>
      </c>
      <c r="F77" s="8">
        <f>F76-E77</f>
        <v/>
      </c>
    </row>
    <row r="78">
      <c r="A78" s="6" t="n">
        <v>51</v>
      </c>
      <c r="B78" s="21">
        <f>($B$19/A78)*($C$13*B77+$C$14*B76+$C$15*B74)</f>
        <v/>
      </c>
      <c r="C78" s="21">
        <f>C77+B78</f>
        <v/>
      </c>
      <c r="D78" s="21">
        <f>1-C78</f>
        <v/>
      </c>
      <c r="E78" s="8">
        <f>E77-D77</f>
        <v/>
      </c>
      <c r="F78" s="8">
        <f>F77-E78</f>
        <v/>
      </c>
    </row>
    <row r="79">
      <c r="A79" s="6" t="n">
        <v>52</v>
      </c>
      <c r="B79" s="21">
        <f>($B$19/A79)*($C$13*B78+$C$14*B77+$C$15*B75)</f>
        <v/>
      </c>
      <c r="C79" s="21">
        <f>C78+B79</f>
        <v/>
      </c>
      <c r="D79" s="21">
        <f>1-C79</f>
        <v/>
      </c>
      <c r="E79" s="8">
        <f>E78-D78</f>
        <v/>
      </c>
      <c r="F79" s="8">
        <f>F78-E79</f>
        <v/>
      </c>
    </row>
    <row r="80">
      <c r="A80" s="6" t="n">
        <v>53</v>
      </c>
      <c r="B80" s="21">
        <f>($B$19/A80)*($C$13*B79+$C$14*B78+$C$15*B76)</f>
        <v/>
      </c>
      <c r="C80" s="21">
        <f>C79+B80</f>
        <v/>
      </c>
      <c r="D80" s="21">
        <f>1-C80</f>
        <v/>
      </c>
      <c r="E80" s="8">
        <f>E79-D79</f>
        <v/>
      </c>
      <c r="F80" s="8">
        <f>F79-E80</f>
        <v/>
      </c>
    </row>
    <row r="81">
      <c r="A81" s="6" t="n">
        <v>54</v>
      </c>
      <c r="B81" s="21">
        <f>($B$19/A81)*($C$13*B80+$C$14*B79+$C$15*B77)</f>
        <v/>
      </c>
      <c r="C81" s="21">
        <f>C80+B81</f>
        <v/>
      </c>
      <c r="D81" s="21">
        <f>1-C81</f>
        <v/>
      </c>
      <c r="E81" s="8">
        <f>E80-D80</f>
        <v/>
      </c>
      <c r="F81" s="8">
        <f>F80-E81</f>
        <v/>
      </c>
    </row>
    <row r="82">
      <c r="A82" s="6" t="n">
        <v>55</v>
      </c>
      <c r="B82" s="21">
        <f>($B$19/A82)*($C$13*B81+$C$14*B80+$C$15*B78)</f>
        <v/>
      </c>
      <c r="C82" s="21">
        <f>C81+B82</f>
        <v/>
      </c>
      <c r="D82" s="21">
        <f>1-C82</f>
        <v/>
      </c>
      <c r="E82" s="8">
        <f>E81-D81</f>
        <v/>
      </c>
      <c r="F82" s="8">
        <f>F81-E82</f>
        <v/>
      </c>
    </row>
    <row r="83">
      <c r="A83" s="6" t="n">
        <v>56</v>
      </c>
      <c r="B83" s="21">
        <f>($B$19/A83)*($C$13*B82+$C$14*B81+$C$15*B79)</f>
        <v/>
      </c>
      <c r="C83" s="21">
        <f>C82+B83</f>
        <v/>
      </c>
      <c r="D83" s="21">
        <f>1-C83</f>
        <v/>
      </c>
      <c r="E83" s="8">
        <f>E82-D82</f>
        <v/>
      </c>
      <c r="F83" s="8">
        <f>F82-E83</f>
        <v/>
      </c>
    </row>
    <row r="84">
      <c r="A84" s="6" t="n">
        <v>57</v>
      </c>
      <c r="B84" s="21">
        <f>($B$19/A84)*($C$13*B83+$C$14*B82+$C$15*B80)</f>
        <v/>
      </c>
      <c r="C84" s="21">
        <f>C83+B84</f>
        <v/>
      </c>
      <c r="D84" s="21">
        <f>1-C84</f>
        <v/>
      </c>
      <c r="E84" s="8">
        <f>E83-D83</f>
        <v/>
      </c>
      <c r="F84" s="8">
        <f>F83-E84</f>
        <v/>
      </c>
    </row>
    <row r="85">
      <c r="A85" s="6" t="n">
        <v>58</v>
      </c>
      <c r="B85" s="21">
        <f>($B$19/A85)*($C$13*B84+$C$14*B83+$C$15*B81)</f>
        <v/>
      </c>
      <c r="C85" s="21">
        <f>C84+B85</f>
        <v/>
      </c>
      <c r="D85" s="21">
        <f>1-C85</f>
        <v/>
      </c>
      <c r="E85" s="8">
        <f>E84-D84</f>
        <v/>
      </c>
      <c r="F85" s="8">
        <f>F84-E85</f>
        <v/>
      </c>
    </row>
    <row r="86">
      <c r="A86" s="6" t="n">
        <v>59</v>
      </c>
      <c r="B86" s="21">
        <f>($B$19/A86)*($C$13*B85+$C$14*B84+$C$15*B82)</f>
        <v/>
      </c>
      <c r="C86" s="21">
        <f>C85+B86</f>
        <v/>
      </c>
      <c r="D86" s="21">
        <f>1-C86</f>
        <v/>
      </c>
      <c r="E86" s="8">
        <f>E85-D85</f>
        <v/>
      </c>
      <c r="F86" s="8">
        <f>F85-E86</f>
        <v/>
      </c>
    </row>
    <row r="87">
      <c r="A87" s="6" t="n">
        <v>60</v>
      </c>
      <c r="B87" s="21">
        <f>($B$19/A87)*($C$13*B86+$C$14*B85+$C$15*B83)</f>
        <v/>
      </c>
      <c r="C87" s="21">
        <f>C86+B87</f>
        <v/>
      </c>
      <c r="D87" s="21">
        <f>1-C87</f>
        <v/>
      </c>
      <c r="E87" s="8">
        <f>E86-D86</f>
        <v/>
      </c>
      <c r="F87" s="8">
        <f>F86-E87</f>
        <v/>
      </c>
    </row>
    <row r="88">
      <c r="A88" s="6" t="n">
        <v>61</v>
      </c>
      <c r="B88" s="21">
        <f>($B$19/A88)*($C$13*B87+$C$14*B86+$C$15*B84)</f>
        <v/>
      </c>
      <c r="C88" s="21">
        <f>C87+B88</f>
        <v/>
      </c>
      <c r="D88" s="21">
        <f>1-C88</f>
        <v/>
      </c>
      <c r="E88" s="8">
        <f>E87-D87</f>
        <v/>
      </c>
      <c r="F88" s="8">
        <f>F87-E88</f>
        <v/>
      </c>
    </row>
    <row r="89">
      <c r="A89" s="6" t="n">
        <v>62</v>
      </c>
      <c r="B89" s="21">
        <f>($B$19/A89)*($C$13*B88+$C$14*B87+$C$15*B85)</f>
        <v/>
      </c>
      <c r="C89" s="21">
        <f>C88+B89</f>
        <v/>
      </c>
      <c r="D89" s="21">
        <f>1-C89</f>
        <v/>
      </c>
      <c r="E89" s="8">
        <f>E88-D88</f>
        <v/>
      </c>
      <c r="F89" s="8">
        <f>F88-E89</f>
        <v/>
      </c>
    </row>
    <row r="90">
      <c r="A90" s="6" t="n">
        <v>63</v>
      </c>
      <c r="B90" s="21">
        <f>($B$19/A90)*($C$13*B89+$C$14*B88+$C$15*B86)</f>
        <v/>
      </c>
      <c r="C90" s="21">
        <f>C89+B90</f>
        <v/>
      </c>
      <c r="D90" s="21">
        <f>1-C90</f>
        <v/>
      </c>
      <c r="E90" s="8">
        <f>E89-D89</f>
        <v/>
      </c>
      <c r="F90" s="8">
        <f>F89-E90</f>
        <v/>
      </c>
    </row>
    <row r="91">
      <c r="A91" s="6" t="n">
        <v>64</v>
      </c>
      <c r="B91" s="21">
        <f>($B$19/A91)*($C$13*B90+$C$14*B89+$C$15*B87)</f>
        <v/>
      </c>
      <c r="C91" s="21">
        <f>C90+B91</f>
        <v/>
      </c>
      <c r="D91" s="21">
        <f>1-C91</f>
        <v/>
      </c>
      <c r="E91" s="8">
        <f>E90-D90</f>
        <v/>
      </c>
      <c r="F91" s="8">
        <f>F90-E91</f>
        <v/>
      </c>
    </row>
    <row r="92">
      <c r="A92" s="6" t="n">
        <v>65</v>
      </c>
      <c r="B92" s="21">
        <f>($B$19/A92)*($C$13*B91+$C$14*B90+$C$15*B88)</f>
        <v/>
      </c>
      <c r="C92" s="21">
        <f>C91+B92</f>
        <v/>
      </c>
      <c r="D92" s="21">
        <f>1-C92</f>
        <v/>
      </c>
      <c r="E92" s="8">
        <f>E91-D91</f>
        <v/>
      </c>
      <c r="F92" s="8">
        <f>F91-E92</f>
        <v/>
      </c>
    </row>
    <row r="93">
      <c r="A93" s="6" t="n">
        <v>66</v>
      </c>
      <c r="B93" s="21">
        <f>($B$19/A93)*($C$13*B92+$C$14*B91+$C$15*B89)</f>
        <v/>
      </c>
      <c r="C93" s="21">
        <f>C92+B93</f>
        <v/>
      </c>
      <c r="D93" s="21">
        <f>1-C93</f>
        <v/>
      </c>
      <c r="E93" s="8">
        <f>E92-D92</f>
        <v/>
      </c>
      <c r="F93" s="8">
        <f>F92-E93</f>
        <v/>
      </c>
    </row>
    <row r="94">
      <c r="A94" s="6" t="n">
        <v>67</v>
      </c>
      <c r="B94" s="21">
        <f>($B$19/A94)*($C$13*B93+$C$14*B92+$C$15*B90)</f>
        <v/>
      </c>
      <c r="C94" s="21">
        <f>C93+B94</f>
        <v/>
      </c>
      <c r="D94" s="21">
        <f>1-C94</f>
        <v/>
      </c>
      <c r="E94" s="8">
        <f>E93-D93</f>
        <v/>
      </c>
      <c r="F94" s="8">
        <f>F93-E94</f>
        <v/>
      </c>
    </row>
    <row r="95">
      <c r="A95" s="6" t="n">
        <v>68</v>
      </c>
      <c r="B95" s="21">
        <f>($B$19/A95)*($C$13*B94+$C$14*B93+$C$15*B91)</f>
        <v/>
      </c>
      <c r="C95" s="21">
        <f>C94+B95</f>
        <v/>
      </c>
      <c r="D95" s="21">
        <f>1-C95</f>
        <v/>
      </c>
      <c r="E95" s="8">
        <f>E94-D94</f>
        <v/>
      </c>
      <c r="F95" s="8">
        <f>F94-E95</f>
        <v/>
      </c>
    </row>
    <row r="96">
      <c r="A96" s="6" t="n">
        <v>69</v>
      </c>
      <c r="B96" s="21">
        <f>($B$19/A96)*($C$13*B95+$C$14*B94+$C$15*B92)</f>
        <v/>
      </c>
      <c r="C96" s="21">
        <f>C95+B96</f>
        <v/>
      </c>
      <c r="D96" s="21">
        <f>1-C96</f>
        <v/>
      </c>
      <c r="E96" s="8">
        <f>E95-D95</f>
        <v/>
      </c>
      <c r="F96" s="8">
        <f>F95-E96</f>
        <v/>
      </c>
    </row>
    <row r="97">
      <c r="A97" s="6" t="n">
        <v>70</v>
      </c>
      <c r="B97" s="21">
        <f>($B$19/A97)*($C$13*B96+$C$14*B95+$C$15*B93)</f>
        <v/>
      </c>
      <c r="C97" s="21">
        <f>C96+B97</f>
        <v/>
      </c>
      <c r="D97" s="21">
        <f>1-C97</f>
        <v/>
      </c>
      <c r="E97" s="8">
        <f>E96-D96</f>
        <v/>
      </c>
      <c r="F97" s="8">
        <f>F96-E97</f>
        <v/>
      </c>
    </row>
    <row r="98">
      <c r="A98" s="6" t="n">
        <v>71</v>
      </c>
      <c r="B98" s="21">
        <f>($B$19/A98)*($C$13*B97+$C$14*B96+$C$15*B94)</f>
        <v/>
      </c>
      <c r="C98" s="21">
        <f>C97+B98</f>
        <v/>
      </c>
      <c r="D98" s="21">
        <f>1-C98</f>
        <v/>
      </c>
      <c r="E98" s="8">
        <f>E97-D97</f>
        <v/>
      </c>
      <c r="F98" s="8">
        <f>F97-E98</f>
        <v/>
      </c>
    </row>
    <row r="99">
      <c r="A99" s="6" t="n">
        <v>72</v>
      </c>
      <c r="B99" s="21">
        <f>($B$19/A99)*($C$13*B98+$C$14*B97+$C$15*B95)</f>
        <v/>
      </c>
      <c r="C99" s="21">
        <f>C98+B99</f>
        <v/>
      </c>
      <c r="D99" s="21">
        <f>1-C99</f>
        <v/>
      </c>
      <c r="E99" s="8">
        <f>E98-D98</f>
        <v/>
      </c>
      <c r="F99" s="8">
        <f>F98-E99</f>
        <v/>
      </c>
    </row>
    <row r="100">
      <c r="A100" s="6" t="n">
        <v>73</v>
      </c>
      <c r="B100" s="21">
        <f>($B$19/A100)*($C$13*B99+$C$14*B98+$C$15*B96)</f>
        <v/>
      </c>
      <c r="C100" s="21">
        <f>C99+B100</f>
        <v/>
      </c>
      <c r="D100" s="21">
        <f>1-C100</f>
        <v/>
      </c>
      <c r="E100" s="8">
        <f>E99-D99</f>
        <v/>
      </c>
      <c r="F100" s="8">
        <f>F99-E100</f>
        <v/>
      </c>
    </row>
    <row r="101">
      <c r="A101" s="6" t="n">
        <v>74</v>
      </c>
      <c r="B101" s="21">
        <f>($B$19/A101)*($C$13*B100+$C$14*B99+$C$15*B97)</f>
        <v/>
      </c>
      <c r="C101" s="21">
        <f>C100+B101</f>
        <v/>
      </c>
      <c r="D101" s="21">
        <f>1-C101</f>
        <v/>
      </c>
      <c r="E101" s="8">
        <f>E100-D100</f>
        <v/>
      </c>
      <c r="F101" s="8">
        <f>F100-E101</f>
        <v/>
      </c>
    </row>
    <row r="102">
      <c r="A102" s="6" t="n">
        <v>75</v>
      </c>
      <c r="B102" s="21">
        <f>($B$19/A102)*($C$13*B101+$C$14*B100+$C$15*B98)</f>
        <v/>
      </c>
      <c r="C102" s="21">
        <f>C101+B102</f>
        <v/>
      </c>
      <c r="D102" s="21">
        <f>1-C102</f>
        <v/>
      </c>
      <c r="E102" s="8">
        <f>E101-D101</f>
        <v/>
      </c>
      <c r="F102" s="8">
        <f>F101-E102</f>
        <v/>
      </c>
    </row>
    <row r="103">
      <c r="A103" s="6" t="n">
        <v>76</v>
      </c>
      <c r="B103" s="21">
        <f>($B$19/A103)*($C$13*B102+$C$14*B101+$C$15*B99)</f>
        <v/>
      </c>
      <c r="C103" s="21">
        <f>C102+B103</f>
        <v/>
      </c>
      <c r="D103" s="21">
        <f>1-C103</f>
        <v/>
      </c>
      <c r="E103" s="8">
        <f>E102-D102</f>
        <v/>
      </c>
      <c r="F103" s="8">
        <f>F102-E103</f>
        <v/>
      </c>
    </row>
    <row r="104">
      <c r="A104" s="6" t="n">
        <v>77</v>
      </c>
      <c r="B104" s="21">
        <f>($B$19/A104)*($C$13*B103+$C$14*B102+$C$15*B100)</f>
        <v/>
      </c>
      <c r="C104" s="21">
        <f>C103+B104</f>
        <v/>
      </c>
      <c r="D104" s="21">
        <f>1-C104</f>
        <v/>
      </c>
      <c r="E104" s="8">
        <f>E103-D103</f>
        <v/>
      </c>
      <c r="F104" s="8">
        <f>F103-E104</f>
        <v/>
      </c>
    </row>
    <row r="105">
      <c r="A105" s="6" t="n">
        <v>78</v>
      </c>
      <c r="B105" s="21">
        <f>($B$19/A105)*($C$13*B104+$C$14*B103+$C$15*B101)</f>
        <v/>
      </c>
      <c r="C105" s="21">
        <f>C104+B105</f>
        <v/>
      </c>
      <c r="D105" s="21">
        <f>1-C105</f>
        <v/>
      </c>
      <c r="E105" s="8">
        <f>E104-D104</f>
        <v/>
      </c>
      <c r="F105" s="8">
        <f>F104-E105</f>
        <v/>
      </c>
    </row>
    <row r="106">
      <c r="A106" s="6" t="n">
        <v>79</v>
      </c>
      <c r="B106" s="21">
        <f>($B$19/A106)*($C$13*B105+$C$14*B104+$C$15*B102)</f>
        <v/>
      </c>
      <c r="C106" s="21">
        <f>C105+B106</f>
        <v/>
      </c>
      <c r="D106" s="21">
        <f>1-C106</f>
        <v/>
      </c>
      <c r="E106" s="8">
        <f>E105-D105</f>
        <v/>
      </c>
      <c r="F106" s="8">
        <f>F105-E106</f>
        <v/>
      </c>
    </row>
    <row r="107">
      <c r="A107" s="6" t="n">
        <v>80</v>
      </c>
      <c r="B107" s="21">
        <f>($B$19/A107)*($C$13*B106+$C$14*B105+$C$15*B103)</f>
        <v/>
      </c>
      <c r="C107" s="21">
        <f>C106+B107</f>
        <v/>
      </c>
      <c r="D107" s="21">
        <f>1-C107</f>
        <v/>
      </c>
      <c r="E107" s="8">
        <f>E106-D106</f>
        <v/>
      </c>
      <c r="F107" s="8">
        <f>F106-E107</f>
        <v/>
      </c>
    </row>
    <row r="108">
      <c r="A108" s="6" t="n">
        <v>81</v>
      </c>
      <c r="B108" s="21">
        <f>($B$19/A108)*($C$13*B107+$C$14*B106+$C$15*B104)</f>
        <v/>
      </c>
      <c r="C108" s="21">
        <f>C107+B108</f>
        <v/>
      </c>
      <c r="D108" s="21">
        <f>1-C108</f>
        <v/>
      </c>
      <c r="E108" s="8">
        <f>E107-D107</f>
        <v/>
      </c>
      <c r="F108" s="8">
        <f>F107-E108</f>
        <v/>
      </c>
    </row>
    <row r="109">
      <c r="A109" s="6" t="n">
        <v>82</v>
      </c>
      <c r="B109" s="21">
        <f>($B$19/A109)*($C$13*B108+$C$14*B107+$C$15*B105)</f>
        <v/>
      </c>
      <c r="C109" s="21">
        <f>C108+B109</f>
        <v/>
      </c>
      <c r="D109" s="21">
        <f>1-C109</f>
        <v/>
      </c>
      <c r="E109" s="8">
        <f>E108-D108</f>
        <v/>
      </c>
      <c r="F109" s="8">
        <f>F108-E109</f>
        <v/>
      </c>
    </row>
    <row r="110">
      <c r="A110" s="6" t="n">
        <v>83</v>
      </c>
      <c r="B110" s="21">
        <f>($B$19/A110)*($C$13*B109+$C$14*B108+$C$15*B106)</f>
        <v/>
      </c>
      <c r="C110" s="21">
        <f>C109+B110</f>
        <v/>
      </c>
      <c r="D110" s="21">
        <f>1-C110</f>
        <v/>
      </c>
      <c r="E110" s="8">
        <f>E109-D109</f>
        <v/>
      </c>
      <c r="F110" s="8">
        <f>F109-E110</f>
        <v/>
      </c>
    </row>
    <row r="111">
      <c r="A111" s="6" t="n">
        <v>84</v>
      </c>
      <c r="B111" s="21">
        <f>($B$19/A111)*($C$13*B110+$C$14*B109+$C$15*B107)</f>
        <v/>
      </c>
      <c r="C111" s="21">
        <f>C110+B111</f>
        <v/>
      </c>
      <c r="D111" s="21">
        <f>1-C111</f>
        <v/>
      </c>
      <c r="E111" s="8">
        <f>E110-D110</f>
        <v/>
      </c>
      <c r="F111" s="8">
        <f>F110-E111</f>
        <v/>
      </c>
    </row>
    <row r="112">
      <c r="A112" s="6" t="n">
        <v>85</v>
      </c>
      <c r="B112" s="21">
        <f>($B$19/A112)*($C$13*B111+$C$14*B110+$C$15*B108)</f>
        <v/>
      </c>
      <c r="C112" s="21">
        <f>C111+B112</f>
        <v/>
      </c>
      <c r="D112" s="21">
        <f>1-C112</f>
        <v/>
      </c>
      <c r="E112" s="8">
        <f>E111-D111</f>
        <v/>
      </c>
      <c r="F112" s="8">
        <f>F111-E112</f>
        <v/>
      </c>
    </row>
    <row r="113">
      <c r="A113" s="6" t="n">
        <v>86</v>
      </c>
      <c r="B113" s="21">
        <f>($B$19/A113)*($C$13*B112+$C$14*B111+$C$15*B109)</f>
        <v/>
      </c>
      <c r="C113" s="21">
        <f>C112+B113</f>
        <v/>
      </c>
      <c r="D113" s="21">
        <f>1-C113</f>
        <v/>
      </c>
      <c r="E113" s="8">
        <f>E112-D112</f>
        <v/>
      </c>
      <c r="F113" s="8">
        <f>F112-E113</f>
        <v/>
      </c>
    </row>
    <row r="114">
      <c r="A114" s="6" t="n">
        <v>87</v>
      </c>
      <c r="B114" s="21">
        <f>($B$19/A114)*($C$13*B113+$C$14*B112+$C$15*B110)</f>
        <v/>
      </c>
      <c r="C114" s="21">
        <f>C113+B114</f>
        <v/>
      </c>
      <c r="D114" s="21">
        <f>1-C114</f>
        <v/>
      </c>
      <c r="E114" s="8">
        <f>E113-D113</f>
        <v/>
      </c>
      <c r="F114" s="8">
        <f>F113-E114</f>
        <v/>
      </c>
    </row>
    <row r="115">
      <c r="A115" s="6" t="n">
        <v>88</v>
      </c>
      <c r="B115" s="21">
        <f>($B$19/A115)*($C$13*B114+$C$14*B113+$C$15*B111)</f>
        <v/>
      </c>
      <c r="C115" s="21">
        <f>C114+B115</f>
        <v/>
      </c>
      <c r="D115" s="21">
        <f>1-C115</f>
        <v/>
      </c>
      <c r="E115" s="8">
        <f>E114-D114</f>
        <v/>
      </c>
      <c r="F115" s="8">
        <f>F114-E115</f>
        <v/>
      </c>
    </row>
    <row r="116">
      <c r="A116" s="6" t="n">
        <v>89</v>
      </c>
      <c r="B116" s="21">
        <f>($B$19/A116)*($C$13*B115+$C$14*B114+$C$15*B112)</f>
        <v/>
      </c>
      <c r="C116" s="21">
        <f>C115+B116</f>
        <v/>
      </c>
      <c r="D116" s="21">
        <f>1-C116</f>
        <v/>
      </c>
      <c r="E116" s="8">
        <f>E115-D115</f>
        <v/>
      </c>
      <c r="F116" s="8">
        <f>F115-E116</f>
        <v/>
      </c>
    </row>
    <row r="117">
      <c r="A117" s="6" t="n">
        <v>90</v>
      </c>
      <c r="B117" s="21">
        <f>($B$19/A117)*($C$13*B116+$C$14*B115+$C$15*B113)</f>
        <v/>
      </c>
      <c r="C117" s="21">
        <f>C116+B117</f>
        <v/>
      </c>
      <c r="D117" s="21">
        <f>1-C117</f>
        <v/>
      </c>
      <c r="E117" s="8">
        <f>E116-D116</f>
        <v/>
      </c>
      <c r="F117" s="8">
        <f>F116-E117</f>
        <v/>
      </c>
    </row>
    <row r="118">
      <c r="A118" s="6" t="n">
        <v>91</v>
      </c>
      <c r="B118" s="21">
        <f>($B$19/A118)*($C$13*B117+$C$14*B116+$C$15*B114)</f>
        <v/>
      </c>
      <c r="C118" s="21">
        <f>C117+B118</f>
        <v/>
      </c>
      <c r="D118" s="21">
        <f>1-C118</f>
        <v/>
      </c>
      <c r="E118" s="8">
        <f>E117-D117</f>
        <v/>
      </c>
      <c r="F118" s="8">
        <f>F117-E118</f>
        <v/>
      </c>
    </row>
    <row r="119">
      <c r="A119" s="6" t="n">
        <v>92</v>
      </c>
      <c r="B119" s="21">
        <f>($B$19/A119)*($C$13*B118+$C$14*B117+$C$15*B115)</f>
        <v/>
      </c>
      <c r="C119" s="21">
        <f>C118+B119</f>
        <v/>
      </c>
      <c r="D119" s="21">
        <f>1-C119</f>
        <v/>
      </c>
      <c r="E119" s="8">
        <f>E118-D118</f>
        <v/>
      </c>
      <c r="F119" s="8">
        <f>F118-E119</f>
        <v/>
      </c>
    </row>
    <row r="120">
      <c r="A120" s="6" t="n">
        <v>93</v>
      </c>
      <c r="B120" s="21">
        <f>($B$19/A120)*($C$13*B119+$C$14*B118+$C$15*B116)</f>
        <v/>
      </c>
      <c r="C120" s="21">
        <f>C119+B120</f>
        <v/>
      </c>
      <c r="D120" s="21">
        <f>1-C120</f>
        <v/>
      </c>
      <c r="E120" s="8">
        <f>E119-D119</f>
        <v/>
      </c>
      <c r="F120" s="8">
        <f>F119-E120</f>
        <v/>
      </c>
    </row>
    <row r="121">
      <c r="A121" s="6" t="n">
        <v>94</v>
      </c>
      <c r="B121" s="21">
        <f>($B$19/A121)*($C$13*B120+$C$14*B119+$C$15*B117)</f>
        <v/>
      </c>
      <c r="C121" s="21">
        <f>C120+B121</f>
        <v/>
      </c>
      <c r="D121" s="21">
        <f>1-C121</f>
        <v/>
      </c>
      <c r="E121" s="8">
        <f>E120-D120</f>
        <v/>
      </c>
      <c r="F121" s="8">
        <f>F120-E121</f>
        <v/>
      </c>
    </row>
    <row r="122">
      <c r="A122" s="6" t="n">
        <v>95</v>
      </c>
      <c r="B122" s="21">
        <f>($B$19/A122)*($C$13*B121+$C$14*B120+$C$15*B118)</f>
        <v/>
      </c>
      <c r="C122" s="21">
        <f>C121+B122</f>
        <v/>
      </c>
      <c r="D122" s="21">
        <f>1-C122</f>
        <v/>
      </c>
      <c r="E122" s="8">
        <f>E121-D121</f>
        <v/>
      </c>
      <c r="F122" s="8">
        <f>F121-E122</f>
        <v/>
      </c>
    </row>
    <row r="123">
      <c r="A123" s="6" t="n">
        <v>96</v>
      </c>
      <c r="B123" s="21">
        <f>($B$19/A123)*($C$13*B122+$C$14*B121+$C$15*B119)</f>
        <v/>
      </c>
      <c r="C123" s="21">
        <f>C122+B123</f>
        <v/>
      </c>
      <c r="D123" s="21">
        <f>1-C123</f>
        <v/>
      </c>
      <c r="E123" s="8">
        <f>E122-D122</f>
        <v/>
      </c>
      <c r="F123" s="8">
        <f>F122-E123</f>
        <v/>
      </c>
    </row>
    <row r="124">
      <c r="A124" s="6" t="n">
        <v>97</v>
      </c>
      <c r="B124" s="21">
        <f>($B$19/A124)*($C$13*B123+$C$14*B122+$C$15*B120)</f>
        <v/>
      </c>
      <c r="C124" s="21">
        <f>C123+B124</f>
        <v/>
      </c>
      <c r="D124" s="21">
        <f>1-C124</f>
        <v/>
      </c>
      <c r="E124" s="8">
        <f>E123-D123</f>
        <v/>
      </c>
      <c r="F124" s="8">
        <f>F123-E124</f>
        <v/>
      </c>
    </row>
    <row r="125">
      <c r="A125" s="6" t="n">
        <v>98</v>
      </c>
      <c r="B125" s="21">
        <f>($B$19/A125)*($C$13*B124+$C$14*B123+$C$15*B121)</f>
        <v/>
      </c>
      <c r="C125" s="21">
        <f>C124+B125</f>
        <v/>
      </c>
      <c r="D125" s="21">
        <f>1-C125</f>
        <v/>
      </c>
      <c r="E125" s="8">
        <f>E124-D124</f>
        <v/>
      </c>
      <c r="F125" s="8">
        <f>F124-E125</f>
        <v/>
      </c>
    </row>
    <row r="126">
      <c r="A126" s="6" t="n">
        <v>99</v>
      </c>
      <c r="B126" s="21">
        <f>($B$19/A126)*($C$13*B125+$C$14*B124+$C$15*B122)</f>
        <v/>
      </c>
      <c r="C126" s="21">
        <f>C125+B126</f>
        <v/>
      </c>
      <c r="D126" s="21">
        <f>1-C126</f>
        <v/>
      </c>
      <c r="E126" s="8">
        <f>E125-D125</f>
        <v/>
      </c>
      <c r="F126" s="8">
        <f>F125-E126</f>
        <v/>
      </c>
    </row>
    <row r="127">
      <c r="A127" s="6" t="n">
        <v>100</v>
      </c>
      <c r="B127" s="21">
        <f>($B$19/A127)*($C$13*B126+$C$14*B125+$C$15*B123)</f>
        <v/>
      </c>
      <c r="C127" s="21">
        <f>C126+B127</f>
        <v/>
      </c>
      <c r="D127" s="21">
        <f>1-C127</f>
        <v/>
      </c>
      <c r="E127" s="8">
        <f>E126-D126</f>
        <v/>
      </c>
      <c r="F127" s="8">
        <f>F126-E127</f>
        <v/>
      </c>
    </row>
    <row r="128">
      <c r="A128" s="6" t="n">
        <v>101</v>
      </c>
      <c r="B128" s="21">
        <f>($B$19/A128)*($C$13*B127+$C$14*B126+$C$15*B124)</f>
        <v/>
      </c>
      <c r="C128" s="21">
        <f>C127+B128</f>
        <v/>
      </c>
      <c r="D128" s="21">
        <f>1-C128</f>
        <v/>
      </c>
      <c r="E128" s="8">
        <f>E127-D127</f>
        <v/>
      </c>
      <c r="F128" s="8">
        <f>F127-E128</f>
        <v/>
      </c>
    </row>
    <row r="129">
      <c r="A129" s="6" t="n">
        <v>102</v>
      </c>
      <c r="B129" s="21">
        <f>($B$19/A129)*($C$13*B128+$C$14*B127+$C$15*B125)</f>
        <v/>
      </c>
      <c r="C129" s="21">
        <f>C128+B129</f>
        <v/>
      </c>
      <c r="D129" s="21">
        <f>1-C129</f>
        <v/>
      </c>
      <c r="E129" s="8">
        <f>E128-D128</f>
        <v/>
      </c>
      <c r="F129" s="8">
        <f>F128-E129</f>
        <v/>
      </c>
    </row>
    <row r="130">
      <c r="A130" s="6" t="n">
        <v>103</v>
      </c>
      <c r="B130" s="21">
        <f>($B$19/A130)*($C$13*B129+$C$14*B128+$C$15*B126)</f>
        <v/>
      </c>
      <c r="C130" s="21">
        <f>C129+B130</f>
        <v/>
      </c>
      <c r="D130" s="21">
        <f>1-C130</f>
        <v/>
      </c>
      <c r="E130" s="8">
        <f>E129-D129</f>
        <v/>
      </c>
      <c r="F130" s="8">
        <f>F129-E130</f>
        <v/>
      </c>
    </row>
    <row r="131">
      <c r="A131" s="6" t="n">
        <v>104</v>
      </c>
      <c r="B131" s="21">
        <f>($B$19/A131)*($C$13*B130+$C$14*B129+$C$15*B127)</f>
        <v/>
      </c>
      <c r="C131" s="21">
        <f>C130+B131</f>
        <v/>
      </c>
      <c r="D131" s="21">
        <f>1-C131</f>
        <v/>
      </c>
      <c r="E131" s="8">
        <f>E130-D130</f>
        <v/>
      </c>
      <c r="F131" s="8">
        <f>F130-E131</f>
        <v/>
      </c>
    </row>
    <row r="132">
      <c r="A132" s="6" t="n">
        <v>105</v>
      </c>
      <c r="B132" s="21">
        <f>($B$19/A132)*($C$13*B131+$C$14*B130+$C$15*B128)</f>
        <v/>
      </c>
      <c r="C132" s="21">
        <f>C131+B132</f>
        <v/>
      </c>
      <c r="D132" s="21">
        <f>1-C132</f>
        <v/>
      </c>
      <c r="E132" s="8">
        <f>E131-D131</f>
        <v/>
      </c>
      <c r="F132" s="8">
        <f>F131-E132</f>
        <v/>
      </c>
    </row>
    <row r="133">
      <c r="A133" s="6" t="n">
        <v>106</v>
      </c>
      <c r="B133" s="21">
        <f>($B$19/A133)*($C$13*B132+$C$14*B131+$C$15*B129)</f>
        <v/>
      </c>
      <c r="C133" s="21">
        <f>C132+B133</f>
        <v/>
      </c>
      <c r="D133" s="21">
        <f>1-C133</f>
        <v/>
      </c>
      <c r="E133" s="8">
        <f>E132-D132</f>
        <v/>
      </c>
      <c r="F133" s="8">
        <f>F132-E133</f>
        <v/>
      </c>
    </row>
    <row r="134">
      <c r="A134" s="6" t="n">
        <v>107</v>
      </c>
      <c r="B134" s="21">
        <f>($B$19/A134)*($C$13*B133+$C$14*B132+$C$15*B130)</f>
        <v/>
      </c>
      <c r="C134" s="21">
        <f>C133+B134</f>
        <v/>
      </c>
      <c r="D134" s="21">
        <f>1-C134</f>
        <v/>
      </c>
      <c r="E134" s="8">
        <f>E133-D133</f>
        <v/>
      </c>
      <c r="F134" s="8">
        <f>F133-E134</f>
        <v/>
      </c>
    </row>
    <row r="135">
      <c r="A135" s="6" t="n">
        <v>108</v>
      </c>
      <c r="B135" s="21">
        <f>($B$19/A135)*($C$13*B134+$C$14*B133+$C$15*B131)</f>
        <v/>
      </c>
      <c r="C135" s="21">
        <f>C134+B135</f>
        <v/>
      </c>
      <c r="D135" s="21">
        <f>1-C135</f>
        <v/>
      </c>
      <c r="E135" s="8">
        <f>E134-D134</f>
        <v/>
      </c>
      <c r="F135" s="8">
        <f>F134-E135</f>
        <v/>
      </c>
    </row>
    <row r="136">
      <c r="A136" s="6" t="n">
        <v>109</v>
      </c>
      <c r="B136" s="21">
        <f>($B$19/A136)*($C$13*B135+$C$14*B134+$C$15*B132)</f>
        <v/>
      </c>
      <c r="C136" s="21">
        <f>C135+B136</f>
        <v/>
      </c>
      <c r="D136" s="21">
        <f>1-C136</f>
        <v/>
      </c>
      <c r="E136" s="8">
        <f>E135-D135</f>
        <v/>
      </c>
      <c r="F136" s="8">
        <f>F135-E136</f>
        <v/>
      </c>
    </row>
    <row r="137">
      <c r="A137" s="6" t="n">
        <v>110</v>
      </c>
      <c r="B137" s="21">
        <f>($B$19/A137)*($C$13*B136+$C$14*B135+$C$15*B133)</f>
        <v/>
      </c>
      <c r="C137" s="21">
        <f>C136+B137</f>
        <v/>
      </c>
      <c r="D137" s="21">
        <f>1-C137</f>
        <v/>
      </c>
      <c r="E137" s="8">
        <f>E136-D136</f>
        <v/>
      </c>
      <c r="F137" s="8">
        <f>F136-E137</f>
        <v/>
      </c>
    </row>
    <row r="138">
      <c r="A138" s="6" t="n">
        <v>111</v>
      </c>
      <c r="B138" s="21">
        <f>($B$19/A138)*($C$13*B137+$C$14*B136+$C$15*B134)</f>
        <v/>
      </c>
      <c r="C138" s="21">
        <f>C137+B138</f>
        <v/>
      </c>
      <c r="D138" s="21">
        <f>1-C138</f>
        <v/>
      </c>
      <c r="E138" s="8">
        <f>E137-D137</f>
        <v/>
      </c>
      <c r="F138" s="8">
        <f>F137-E138</f>
        <v/>
      </c>
    </row>
    <row r="139">
      <c r="A139" s="6" t="n">
        <v>112</v>
      </c>
      <c r="B139" s="21">
        <f>($B$19/A139)*($C$13*B138+$C$14*B137+$C$15*B135)</f>
        <v/>
      </c>
      <c r="C139" s="21">
        <f>C138+B139</f>
        <v/>
      </c>
      <c r="D139" s="21">
        <f>1-C139</f>
        <v/>
      </c>
      <c r="E139" s="8">
        <f>E138-D138</f>
        <v/>
      </c>
      <c r="F139" s="8">
        <f>F138-E139</f>
        <v/>
      </c>
    </row>
    <row r="140">
      <c r="A140" s="6" t="n">
        <v>113</v>
      </c>
      <c r="B140" s="21">
        <f>($B$19/A140)*($C$13*B139+$C$14*B138+$C$15*B136)</f>
        <v/>
      </c>
      <c r="C140" s="21">
        <f>C139+B140</f>
        <v/>
      </c>
      <c r="D140" s="21">
        <f>1-C140</f>
        <v/>
      </c>
      <c r="E140" s="8">
        <f>E139-D139</f>
        <v/>
      </c>
      <c r="F140" s="8">
        <f>F139-E140</f>
        <v/>
      </c>
    </row>
    <row r="141">
      <c r="A141" s="6" t="n">
        <v>114</v>
      </c>
      <c r="B141" s="21">
        <f>($B$19/A141)*($C$13*B140+$C$14*B139+$C$15*B137)</f>
        <v/>
      </c>
      <c r="C141" s="21">
        <f>C140+B141</f>
        <v/>
      </c>
      <c r="D141" s="21">
        <f>1-C141</f>
        <v/>
      </c>
      <c r="E141" s="8">
        <f>E140-D140</f>
        <v/>
      </c>
      <c r="F141" s="8">
        <f>F140-E141</f>
        <v/>
      </c>
    </row>
    <row r="142">
      <c r="A142" s="6" t="n">
        <v>115</v>
      </c>
      <c r="B142" s="21">
        <f>($B$19/A142)*($C$13*B141+$C$14*B140+$C$15*B138)</f>
        <v/>
      </c>
      <c r="C142" s="21">
        <f>C141+B142</f>
        <v/>
      </c>
      <c r="D142" s="21">
        <f>1-C142</f>
        <v/>
      </c>
      <c r="E142" s="8">
        <f>E141-D141</f>
        <v/>
      </c>
      <c r="F142" s="8">
        <f>F141-E142</f>
        <v/>
      </c>
    </row>
    <row r="143">
      <c r="A143" s="6" t="n">
        <v>116</v>
      </c>
      <c r="B143" s="21">
        <f>($B$19/A143)*($C$13*B142+$C$14*B141+$C$15*B139)</f>
        <v/>
      </c>
      <c r="C143" s="21">
        <f>C142+B143</f>
        <v/>
      </c>
      <c r="D143" s="21">
        <f>1-C143</f>
        <v/>
      </c>
      <c r="E143" s="8">
        <f>E142-D142</f>
        <v/>
      </c>
      <c r="F143" s="8">
        <f>F142-E143</f>
        <v/>
      </c>
    </row>
    <row r="144">
      <c r="A144" s="6" t="n">
        <v>117</v>
      </c>
      <c r="B144" s="21">
        <f>($B$19/A144)*($C$13*B143+$C$14*B142+$C$15*B140)</f>
        <v/>
      </c>
      <c r="C144" s="21">
        <f>C143+B144</f>
        <v/>
      </c>
      <c r="D144" s="21">
        <f>1-C144</f>
        <v/>
      </c>
      <c r="E144" s="8">
        <f>E143-D143</f>
        <v/>
      </c>
      <c r="F144" s="8">
        <f>F143-E144</f>
        <v/>
      </c>
    </row>
    <row r="145">
      <c r="A145" s="6" t="n">
        <v>118</v>
      </c>
      <c r="B145" s="21">
        <f>($B$19/A145)*($C$13*B144+$C$14*B143+$C$15*B141)</f>
        <v/>
      </c>
      <c r="C145" s="21">
        <f>C144+B145</f>
        <v/>
      </c>
      <c r="D145" s="21">
        <f>1-C145</f>
        <v/>
      </c>
      <c r="E145" s="8">
        <f>E144-D144</f>
        <v/>
      </c>
      <c r="F145" s="8">
        <f>F144-E145</f>
        <v/>
      </c>
    </row>
    <row r="146">
      <c r="A146" s="6" t="n">
        <v>119</v>
      </c>
      <c r="B146" s="21">
        <f>($B$19/A146)*($C$13*B145+$C$14*B144+$C$15*B142)</f>
        <v/>
      </c>
      <c r="C146" s="21">
        <f>C145+B146</f>
        <v/>
      </c>
      <c r="D146" s="21">
        <f>1-C146</f>
        <v/>
      </c>
      <c r="E146" s="8">
        <f>E145-D145</f>
        <v/>
      </c>
      <c r="F146" s="8">
        <f>F145-E146</f>
        <v/>
      </c>
    </row>
    <row r="147">
      <c r="A147" s="6" t="n">
        <v>120</v>
      </c>
      <c r="B147" s="21">
        <f>($B$19/A147)*($C$13*B146+$C$14*B145+$C$15*B143)</f>
        <v/>
      </c>
      <c r="C147" s="21">
        <f>C146+B147</f>
        <v/>
      </c>
      <c r="D147" s="21">
        <f>1-C147</f>
        <v/>
      </c>
      <c r="E147" s="8">
        <f>E146-D146</f>
        <v/>
      </c>
      <c r="F147" s="8">
        <f>F146-E147</f>
        <v/>
      </c>
    </row>
    <row r="148">
      <c r="A148" s="6" t="n">
        <v>121</v>
      </c>
      <c r="B148" s="21">
        <f>($B$19/A148)*($C$13*B147+$C$14*B146+$C$15*B144)</f>
        <v/>
      </c>
      <c r="C148" s="21">
        <f>C147+B148</f>
        <v/>
      </c>
      <c r="D148" s="21">
        <f>1-C148</f>
        <v/>
      </c>
      <c r="E148" s="8">
        <f>E147-D147</f>
        <v/>
      </c>
      <c r="F148" s="8">
        <f>F147-E148</f>
        <v/>
      </c>
    </row>
    <row r="149">
      <c r="A149" s="6" t="n">
        <v>122</v>
      </c>
      <c r="B149" s="21">
        <f>($B$19/A149)*($C$13*B148+$C$14*B147+$C$15*B145)</f>
        <v/>
      </c>
      <c r="C149" s="21">
        <f>C148+B149</f>
        <v/>
      </c>
      <c r="D149" s="21">
        <f>1-C149</f>
        <v/>
      </c>
      <c r="E149" s="8">
        <f>E148-D148</f>
        <v/>
      </c>
      <c r="F149" s="8">
        <f>F148-E149</f>
        <v/>
      </c>
    </row>
    <row r="150">
      <c r="A150" s="6" t="n">
        <v>123</v>
      </c>
      <c r="B150" s="21">
        <f>($B$19/A150)*($C$13*B149+$C$14*B148+$C$15*B146)</f>
        <v/>
      </c>
      <c r="C150" s="21">
        <f>C149+B150</f>
        <v/>
      </c>
      <c r="D150" s="21">
        <f>1-C150</f>
        <v/>
      </c>
      <c r="E150" s="8">
        <f>E149-D149</f>
        <v/>
      </c>
      <c r="F150" s="8">
        <f>F149-E150</f>
        <v/>
      </c>
    </row>
    <row r="151">
      <c r="A151" s="6" t="n">
        <v>124</v>
      </c>
      <c r="B151" s="21">
        <f>($B$19/A151)*($C$13*B150+$C$14*B149+$C$15*B147)</f>
        <v/>
      </c>
      <c r="C151" s="21">
        <f>C150+B151</f>
        <v/>
      </c>
      <c r="D151" s="21">
        <f>1-C151</f>
        <v/>
      </c>
      <c r="E151" s="8">
        <f>E150-D150</f>
        <v/>
      </c>
      <c r="F151" s="8">
        <f>F150-E151</f>
        <v/>
      </c>
    </row>
    <row r="152">
      <c r="A152" s="6" t="n">
        <v>125</v>
      </c>
      <c r="B152" s="21">
        <f>($B$19/A152)*($C$13*B151+$C$14*B150+$C$15*B148)</f>
        <v/>
      </c>
      <c r="C152" s="21">
        <f>C151+B152</f>
        <v/>
      </c>
      <c r="D152" s="21">
        <f>1-C152</f>
        <v/>
      </c>
      <c r="E152" s="8">
        <f>E151-D151</f>
        <v/>
      </c>
      <c r="F152" s="8">
        <f>F151-E152</f>
        <v/>
      </c>
    </row>
    <row r="153">
      <c r="A153" s="6" t="n">
        <v>126</v>
      </c>
      <c r="B153" s="21">
        <f>($B$19/A153)*($C$13*B152+$C$14*B151+$C$15*B149)</f>
        <v/>
      </c>
      <c r="C153" s="21">
        <f>C152+B153</f>
        <v/>
      </c>
      <c r="D153" s="21">
        <f>1-C153</f>
        <v/>
      </c>
      <c r="E153" s="8">
        <f>E152-D152</f>
        <v/>
      </c>
      <c r="F153" s="8">
        <f>F152-E153</f>
        <v/>
      </c>
    </row>
    <row r="154">
      <c r="A154" s="6" t="n">
        <v>127</v>
      </c>
      <c r="B154" s="21">
        <f>($B$19/A154)*($C$13*B153+$C$14*B152+$C$15*B150)</f>
        <v/>
      </c>
      <c r="C154" s="21">
        <f>C153+B154</f>
        <v/>
      </c>
      <c r="D154" s="21">
        <f>1-C154</f>
        <v/>
      </c>
      <c r="E154" s="8">
        <f>E153-D153</f>
        <v/>
      </c>
      <c r="F154" s="8">
        <f>F153-E154</f>
        <v/>
      </c>
    </row>
    <row r="155">
      <c r="A155" s="6" t="n">
        <v>128</v>
      </c>
      <c r="B155" s="21">
        <f>($B$19/A155)*($C$13*B154+$C$14*B153+$C$15*B151)</f>
        <v/>
      </c>
      <c r="C155" s="21">
        <f>C154+B155</f>
        <v/>
      </c>
      <c r="D155" s="21">
        <f>1-C155</f>
        <v/>
      </c>
      <c r="E155" s="8">
        <f>E154-D154</f>
        <v/>
      </c>
      <c r="F155" s="8">
        <f>F154-E155</f>
        <v/>
      </c>
    </row>
    <row r="156">
      <c r="A156" s="6" t="n">
        <v>129</v>
      </c>
      <c r="B156" s="21">
        <f>($B$19/A156)*($C$13*B155+$C$14*B154+$C$15*B152)</f>
        <v/>
      </c>
      <c r="C156" s="21">
        <f>C155+B156</f>
        <v/>
      </c>
      <c r="D156" s="21">
        <f>1-C156</f>
        <v/>
      </c>
      <c r="E156" s="8">
        <f>E155-D155</f>
        <v/>
      </c>
      <c r="F156" s="8">
        <f>F155-E156</f>
        <v/>
      </c>
    </row>
    <row r="157">
      <c r="A157" s="6" t="n">
        <v>130</v>
      </c>
      <c r="B157" s="21">
        <f>($B$19/A157)*($C$13*B156+$C$14*B155+$C$15*B153)</f>
        <v/>
      </c>
      <c r="C157" s="21">
        <f>C156+B157</f>
        <v/>
      </c>
      <c r="D157" s="21">
        <f>1-C157</f>
        <v/>
      </c>
      <c r="E157" s="8">
        <f>E156-D156</f>
        <v/>
      </c>
      <c r="F157" s="8">
        <f>F156-E157</f>
        <v/>
      </c>
    </row>
    <row r="158">
      <c r="A158" s="6" t="n">
        <v>131</v>
      </c>
      <c r="B158" s="21">
        <f>($B$19/A158)*($C$13*B157+$C$14*B156+$C$15*B154)</f>
        <v/>
      </c>
      <c r="C158" s="21">
        <f>C157+B158</f>
        <v/>
      </c>
      <c r="D158" s="21">
        <f>1-C158</f>
        <v/>
      </c>
      <c r="E158" s="8">
        <f>E157-D157</f>
        <v/>
      </c>
      <c r="F158" s="8">
        <f>F157-E158</f>
        <v/>
      </c>
    </row>
    <row r="159">
      <c r="A159" s="6" t="n">
        <v>132</v>
      </c>
      <c r="B159" s="21">
        <f>($B$19/A159)*($C$13*B158+$C$14*B157+$C$15*B155)</f>
        <v/>
      </c>
      <c r="C159" s="21">
        <f>C158+B159</f>
        <v/>
      </c>
      <c r="D159" s="21">
        <f>1-C159</f>
        <v/>
      </c>
      <c r="E159" s="8">
        <f>E158-D158</f>
        <v/>
      </c>
      <c r="F159" s="8">
        <f>F158-E159</f>
        <v/>
      </c>
    </row>
    <row r="160">
      <c r="A160" s="6" t="n">
        <v>133</v>
      </c>
      <c r="B160" s="21">
        <f>($B$19/A160)*($C$13*B159+$C$14*B158+$C$15*B156)</f>
        <v/>
      </c>
      <c r="C160" s="21">
        <f>C159+B160</f>
        <v/>
      </c>
      <c r="D160" s="21">
        <f>1-C160</f>
        <v/>
      </c>
      <c r="E160" s="8">
        <f>E159-D159</f>
        <v/>
      </c>
      <c r="F160" s="8">
        <f>F159-E160</f>
        <v/>
      </c>
    </row>
    <row r="161">
      <c r="A161" s="6" t="n">
        <v>134</v>
      </c>
      <c r="B161" s="21">
        <f>($B$19/A161)*($C$13*B160+$C$14*B159+$C$15*B157)</f>
        <v/>
      </c>
      <c r="C161" s="21">
        <f>C160+B161</f>
        <v/>
      </c>
      <c r="D161" s="21">
        <f>1-C161</f>
        <v/>
      </c>
      <c r="E161" s="8">
        <f>E160-D160</f>
        <v/>
      </c>
      <c r="F161" s="8">
        <f>F160-E161</f>
        <v/>
      </c>
    </row>
    <row r="162">
      <c r="A162" s="6" t="n">
        <v>135</v>
      </c>
      <c r="B162" s="21">
        <f>($B$19/A162)*($C$13*B161+$C$14*B160+$C$15*B158)</f>
        <v/>
      </c>
      <c r="C162" s="21">
        <f>C161+B162</f>
        <v/>
      </c>
      <c r="D162" s="21">
        <f>1-C162</f>
        <v/>
      </c>
      <c r="E162" s="8">
        <f>E161-D161</f>
        <v/>
      </c>
      <c r="F162" s="8">
        <f>F161-E162</f>
        <v/>
      </c>
    </row>
    <row r="163">
      <c r="A163" s="6" t="n">
        <v>136</v>
      </c>
      <c r="B163" s="21">
        <f>($B$19/A163)*($C$13*B162+$C$14*B161+$C$15*B159)</f>
        <v/>
      </c>
      <c r="C163" s="21">
        <f>C162+B163</f>
        <v/>
      </c>
      <c r="D163" s="21">
        <f>1-C163</f>
        <v/>
      </c>
      <c r="E163" s="8">
        <f>E162-D162</f>
        <v/>
      </c>
      <c r="F163" s="8">
        <f>F162-E163</f>
        <v/>
      </c>
    </row>
    <row r="164">
      <c r="A164" s="6" t="n">
        <v>137</v>
      </c>
      <c r="B164" s="21">
        <f>($B$19/A164)*($C$13*B163+$C$14*B162+$C$15*B160)</f>
        <v/>
      </c>
      <c r="C164" s="21">
        <f>C163+B164</f>
        <v/>
      </c>
      <c r="D164" s="21">
        <f>1-C164</f>
        <v/>
      </c>
      <c r="E164" s="8">
        <f>E163-D163</f>
        <v/>
      </c>
      <c r="F164" s="8">
        <f>F163-E164</f>
        <v/>
      </c>
    </row>
    <row r="165">
      <c r="A165" s="6" t="n">
        <v>138</v>
      </c>
      <c r="B165" s="21">
        <f>($B$19/A165)*($C$13*B164+$C$14*B163+$C$15*B161)</f>
        <v/>
      </c>
      <c r="C165" s="21">
        <f>C164+B165</f>
        <v/>
      </c>
      <c r="D165" s="21">
        <f>1-C165</f>
        <v/>
      </c>
      <c r="E165" s="8">
        <f>E164-D164</f>
        <v/>
      </c>
      <c r="F165" s="8">
        <f>F164-E165</f>
        <v/>
      </c>
    </row>
    <row r="166">
      <c r="A166" s="6" t="n">
        <v>139</v>
      </c>
      <c r="B166" s="21">
        <f>($B$19/A166)*($C$13*B165+$C$14*B164+$C$15*B162)</f>
        <v/>
      </c>
      <c r="C166" s="21">
        <f>C165+B166</f>
        <v/>
      </c>
      <c r="D166" s="21">
        <f>1-C166</f>
        <v/>
      </c>
      <c r="E166" s="8">
        <f>E165-D165</f>
        <v/>
      </c>
      <c r="F166" s="8">
        <f>F165-E166</f>
        <v/>
      </c>
    </row>
    <row r="167">
      <c r="A167" s="6" t="n">
        <v>140</v>
      </c>
      <c r="B167" s="21">
        <f>($B$19/A167)*($C$13*B166+$C$14*B165+$C$15*B163)</f>
        <v/>
      </c>
      <c r="C167" s="21">
        <f>C166+B167</f>
        <v/>
      </c>
      <c r="D167" s="21">
        <f>1-C167</f>
        <v/>
      </c>
      <c r="E167" s="8">
        <f>E166-D166</f>
        <v/>
      </c>
      <c r="F167" s="8">
        <f>F166-E167</f>
        <v/>
      </c>
    </row>
    <row r="168">
      <c r="A168" s="6" t="n">
        <v>141</v>
      </c>
      <c r="B168" s="21">
        <f>($B$19/A168)*($C$13*B167+$C$14*B166+$C$15*B164)</f>
        <v/>
      </c>
      <c r="C168" s="21">
        <f>C167+B168</f>
        <v/>
      </c>
      <c r="D168" s="21">
        <f>1-C168</f>
        <v/>
      </c>
      <c r="E168" s="8">
        <f>E167-D167</f>
        <v/>
      </c>
      <c r="F168" s="8">
        <f>F167-E168</f>
        <v/>
      </c>
    </row>
    <row r="169">
      <c r="A169" s="6" t="n">
        <v>142</v>
      </c>
      <c r="B169" s="21">
        <f>($B$19/A169)*($C$13*B168+$C$14*B167+$C$15*B165)</f>
        <v/>
      </c>
      <c r="C169" s="21">
        <f>C168+B169</f>
        <v/>
      </c>
      <c r="D169" s="21">
        <f>1-C169</f>
        <v/>
      </c>
      <c r="E169" s="8">
        <f>E168-D168</f>
        <v/>
      </c>
      <c r="F169" s="8">
        <f>F168-E169</f>
        <v/>
      </c>
    </row>
    <row r="170">
      <c r="A170" s="6" t="n">
        <v>143</v>
      </c>
      <c r="B170" s="21">
        <f>($B$19/A170)*($C$13*B169+$C$14*B168+$C$15*B166)</f>
        <v/>
      </c>
      <c r="C170" s="21">
        <f>C169+B170</f>
        <v/>
      </c>
      <c r="D170" s="21">
        <f>1-C170</f>
        <v/>
      </c>
      <c r="E170" s="8">
        <f>E169-D169</f>
        <v/>
      </c>
      <c r="F170" s="8">
        <f>F169-E170</f>
        <v/>
      </c>
    </row>
    <row r="171">
      <c r="A171" s="6" t="n">
        <v>144</v>
      </c>
      <c r="B171" s="21">
        <f>($B$19/A171)*($C$13*B170+$C$14*B169+$C$15*B167)</f>
        <v/>
      </c>
      <c r="C171" s="21">
        <f>C170+B171</f>
        <v/>
      </c>
      <c r="D171" s="21">
        <f>1-C171</f>
        <v/>
      </c>
      <c r="E171" s="8">
        <f>E170-D170</f>
        <v/>
      </c>
      <c r="F171" s="8">
        <f>F170-E171</f>
        <v/>
      </c>
    </row>
    <row r="172">
      <c r="A172" s="6" t="n">
        <v>145</v>
      </c>
      <c r="B172" s="21">
        <f>($B$19/A172)*($C$13*B171+$C$14*B170+$C$15*B168)</f>
        <v/>
      </c>
      <c r="C172" s="21">
        <f>C171+B172</f>
        <v/>
      </c>
      <c r="D172" s="21">
        <f>1-C172</f>
        <v/>
      </c>
      <c r="E172" s="8">
        <f>E171-D171</f>
        <v/>
      </c>
      <c r="F172" s="8">
        <f>F171-E172</f>
        <v/>
      </c>
    </row>
    <row r="173">
      <c r="A173" s="6" t="n">
        <v>146</v>
      </c>
      <c r="B173" s="21">
        <f>($B$19/A173)*($C$13*B172+$C$14*B171+$C$15*B169)</f>
        <v/>
      </c>
      <c r="C173" s="21">
        <f>C172+B173</f>
        <v/>
      </c>
      <c r="D173" s="21">
        <f>1-C173</f>
        <v/>
      </c>
      <c r="E173" s="8">
        <f>E172-D172</f>
        <v/>
      </c>
      <c r="F173" s="8">
        <f>F172-E173</f>
        <v/>
      </c>
    </row>
    <row r="174">
      <c r="A174" s="6" t="n">
        <v>147</v>
      </c>
      <c r="B174" s="21">
        <f>($B$19/A174)*($C$13*B173+$C$14*B172+$C$15*B170)</f>
        <v/>
      </c>
      <c r="C174" s="21">
        <f>C173+B174</f>
        <v/>
      </c>
      <c r="D174" s="21">
        <f>1-C174</f>
        <v/>
      </c>
      <c r="E174" s="8">
        <f>E173-D173</f>
        <v/>
      </c>
      <c r="F174" s="8">
        <f>F173-E174</f>
        <v/>
      </c>
    </row>
    <row r="175">
      <c r="A175" s="6" t="n">
        <v>148</v>
      </c>
      <c r="B175" s="21">
        <f>($B$19/A175)*($C$13*B174+$C$14*B173+$C$15*B171)</f>
        <v/>
      </c>
      <c r="C175" s="21">
        <f>C174+B175</f>
        <v/>
      </c>
      <c r="D175" s="21">
        <f>1-C175</f>
        <v/>
      </c>
      <c r="E175" s="8">
        <f>E174-D174</f>
        <v/>
      </c>
      <c r="F175" s="8">
        <f>F174-E175</f>
        <v/>
      </c>
    </row>
    <row r="176">
      <c r="A176" s="6" t="n">
        <v>149</v>
      </c>
      <c r="B176" s="21">
        <f>($B$19/A176)*($C$13*B175+$C$14*B174+$C$15*B172)</f>
        <v/>
      </c>
      <c r="C176" s="21">
        <f>C175+B176</f>
        <v/>
      </c>
      <c r="D176" s="21">
        <f>1-C176</f>
        <v/>
      </c>
      <c r="E176" s="8">
        <f>E175-D175</f>
        <v/>
      </c>
      <c r="F176" s="8">
        <f>F175-E176</f>
        <v/>
      </c>
    </row>
    <row r="177">
      <c r="A177" s="6" t="n">
        <v>150</v>
      </c>
      <c r="B177" s="21">
        <f>($B$19/A177)*($C$13*B176+$C$14*B175+$C$15*B173)</f>
        <v/>
      </c>
      <c r="C177" s="21">
        <f>C176+B177</f>
        <v/>
      </c>
      <c r="D177" s="21">
        <f>1-C177</f>
        <v/>
      </c>
      <c r="E177" s="8">
        <f>E176-D176</f>
        <v/>
      </c>
      <c r="F177" s="8">
        <f>F176-E177</f>
        <v/>
      </c>
    </row>
    <row r="178">
      <c r="A178" s="6" t="n">
        <v>151</v>
      </c>
      <c r="B178" s="21">
        <f>($B$19/A178)*($C$13*B177+$C$14*B176+$C$15*B174)</f>
        <v/>
      </c>
      <c r="C178" s="21">
        <f>C177+B178</f>
        <v/>
      </c>
      <c r="D178" s="21">
        <f>1-C178</f>
        <v/>
      </c>
      <c r="E178" s="8">
        <f>E177-D177</f>
        <v/>
      </c>
      <c r="F178" s="8">
        <f>F177-E178</f>
        <v/>
      </c>
    </row>
    <row r="179">
      <c r="A179" s="6" t="n">
        <v>152</v>
      </c>
      <c r="B179" s="21">
        <f>($B$19/A179)*($C$13*B178+$C$14*B177+$C$15*B175)</f>
        <v/>
      </c>
      <c r="C179" s="21">
        <f>C178+B179</f>
        <v/>
      </c>
      <c r="D179" s="21">
        <f>1-C179</f>
        <v/>
      </c>
      <c r="E179" s="8">
        <f>E178-D178</f>
        <v/>
      </c>
      <c r="F179" s="8">
        <f>F178-E179</f>
        <v/>
      </c>
    </row>
    <row r="180">
      <c r="A180" s="6" t="n">
        <v>153</v>
      </c>
      <c r="B180" s="21">
        <f>($B$19/A180)*($C$13*B179+$C$14*B178+$C$15*B176)</f>
        <v/>
      </c>
      <c r="C180" s="21">
        <f>C179+B180</f>
        <v/>
      </c>
      <c r="D180" s="21">
        <f>1-C180</f>
        <v/>
      </c>
      <c r="E180" s="8">
        <f>E179-D179</f>
        <v/>
      </c>
      <c r="F180" s="8">
        <f>F179-E180</f>
        <v/>
      </c>
    </row>
    <row r="181">
      <c r="A181" s="6" t="n">
        <v>154</v>
      </c>
      <c r="B181" s="21">
        <f>($B$19/A181)*($C$13*B180+$C$14*B179+$C$15*B177)</f>
        <v/>
      </c>
      <c r="C181" s="21">
        <f>C180+B181</f>
        <v/>
      </c>
      <c r="D181" s="21">
        <f>1-C181</f>
        <v/>
      </c>
      <c r="E181" s="8">
        <f>E180-D180</f>
        <v/>
      </c>
      <c r="F181" s="8">
        <f>F180-E181</f>
        <v/>
      </c>
    </row>
    <row r="182">
      <c r="A182" s="6" t="n">
        <v>155</v>
      </c>
      <c r="B182" s="21">
        <f>($B$19/A182)*($C$13*B181+$C$14*B180+$C$15*B178)</f>
        <v/>
      </c>
      <c r="C182" s="21">
        <f>C181+B182</f>
        <v/>
      </c>
      <c r="D182" s="21">
        <f>1-C182</f>
        <v/>
      </c>
      <c r="E182" s="8">
        <f>E181-D181</f>
        <v/>
      </c>
      <c r="F182" s="8">
        <f>F181-E182</f>
        <v/>
      </c>
    </row>
    <row r="183">
      <c r="A183" s="6" t="n">
        <v>156</v>
      </c>
      <c r="B183" s="21">
        <f>($B$19/A183)*($C$13*B182+$C$14*B181+$C$15*B179)</f>
        <v/>
      </c>
      <c r="C183" s="21">
        <f>C182+B183</f>
        <v/>
      </c>
      <c r="D183" s="21">
        <f>1-C183</f>
        <v/>
      </c>
      <c r="E183" s="8">
        <f>E182-D182</f>
        <v/>
      </c>
      <c r="F183" s="8">
        <f>F182-E183</f>
        <v/>
      </c>
    </row>
    <row r="184">
      <c r="A184" s="6" t="n">
        <v>157</v>
      </c>
      <c r="B184" s="21">
        <f>($B$19/A184)*($C$13*B183+$C$14*B182+$C$15*B180)</f>
        <v/>
      </c>
      <c r="C184" s="21">
        <f>C183+B184</f>
        <v/>
      </c>
      <c r="D184" s="21">
        <f>1-C184</f>
        <v/>
      </c>
      <c r="E184" s="8">
        <f>E183-D183</f>
        <v/>
      </c>
      <c r="F184" s="8">
        <f>F183-E184</f>
        <v/>
      </c>
    </row>
    <row r="185">
      <c r="A185" s="6" t="n">
        <v>158</v>
      </c>
      <c r="B185" s="21">
        <f>($B$19/A185)*($C$13*B184+$C$14*B183+$C$15*B181)</f>
        <v/>
      </c>
      <c r="C185" s="21">
        <f>C184+B185</f>
        <v/>
      </c>
      <c r="D185" s="21">
        <f>1-C185</f>
        <v/>
      </c>
      <c r="E185" s="8">
        <f>E184-D184</f>
        <v/>
      </c>
      <c r="F185" s="8">
        <f>F184-E185</f>
        <v/>
      </c>
    </row>
    <row r="186">
      <c r="A186" s="6" t="n">
        <v>159</v>
      </c>
      <c r="B186" s="21">
        <f>($B$19/A186)*($C$13*B185+$C$14*B184+$C$15*B182)</f>
        <v/>
      </c>
      <c r="C186" s="21">
        <f>C185+B186</f>
        <v/>
      </c>
      <c r="D186" s="21">
        <f>1-C186</f>
        <v/>
      </c>
      <c r="E186" s="8">
        <f>E185-D185</f>
        <v/>
      </c>
      <c r="F186" s="8">
        <f>F185-E186</f>
        <v/>
      </c>
    </row>
    <row r="187">
      <c r="A187" s="6" t="n">
        <v>160</v>
      </c>
      <c r="B187" s="21">
        <f>($B$19/A187)*($C$13*B186+$C$14*B185+$C$15*B183)</f>
        <v/>
      </c>
      <c r="C187" s="21">
        <f>C186+B187</f>
        <v/>
      </c>
      <c r="D187" s="21">
        <f>1-C187</f>
        <v/>
      </c>
      <c r="E187" s="8">
        <f>E186-D186</f>
        <v/>
      </c>
      <c r="F187" s="8">
        <f>F186-E187</f>
        <v/>
      </c>
    </row>
    <row r="188"/>
    <row r="189">
      <c r="A189" s="3" t="inlineStr">
        <is>
          <t>Checks</t>
        </is>
      </c>
    </row>
    <row r="190">
      <c r="A190" t="inlineStr">
        <is>
          <t>total mass</t>
        </is>
      </c>
      <c r="B190" s="22">
        <f>C187</f>
        <v/>
      </c>
    </row>
    <row r="191">
      <c r="A191" t="inlineStr">
        <is>
          <t>mean from the mass function</t>
        </is>
      </c>
      <c r="B191" s="8">
        <f>SUMPRODUCT(A27:A187,B27:B187)</f>
        <v/>
      </c>
    </row>
    <row r="192">
      <c r="A192" t="inlineStr">
        <is>
          <t>against theta</t>
        </is>
      </c>
      <c r="B192" s="8">
        <f>B191-$B$20</f>
        <v/>
      </c>
    </row>
    <row r="193">
      <c r="A193" s="2" t="inlineStr">
        <is>
          <t>The mass must sum to one and the mean it implies must return theta.</t>
        </is>
      </c>
    </row>
    <row r="194">
      <c r="A194" s="2" t="inlineStr">
        <is>
          <t>Neither is imposed. Both come out of the recursion, which is why they are checks.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Chapter8Models.xlsx</t>
        </is>
      </c>
    </row>
    <row r="2"/>
    <row r="3">
      <c r="A3" s="5" t="inlineStr">
        <is>
          <t>sheet</t>
        </is>
      </c>
      <c r="B3" s="5" t="inlineStr">
        <is>
          <t>what it is</t>
        </is>
      </c>
    </row>
    <row r="4">
      <c r="A4" s="14" t="inlineStr">
        <is>
          <t>Ledger</t>
        </is>
      </c>
      <c r="B4" t="inlineStr">
        <is>
          <t>@sec-continuousreview-policy. The policy traced through twelve events, with the position as a formula.</t>
        </is>
      </c>
    </row>
    <row r="5">
      <c r="A5" s="14" t="inlineStr">
        <is>
          <t>Evaluate</t>
        </is>
      </c>
      <c r="B5" t="inlineStr">
        <is>
          <t>@sec-continuousreview-batch. The four measures at any (r, Q), assuming nothing beyond the model.</t>
        </is>
      </c>
    </row>
    <row r="6">
      <c r="A6" s="14" t="inlineStr">
        <is>
          <t>Optimize</t>
        </is>
      </c>
      <c r="B6" t="inlineStr">
        <is>
          <t>@sec-continuousreview-algorithm. Algorithm Optimize_rq, one row per step, plus the checks of @sec-continuousreview-bounds.</t>
        </is>
      </c>
    </row>
    <row r="7">
      <c r="A7" s="14" t="inlineStr">
        <is>
          <t>Approximate</t>
        </is>
      </c>
      <c r="B7" t="inlineStr">
        <is>
          <t>@sec-continuousreview-approx. The classical iteration on a gamma, and the three diagnostics.</t>
        </is>
      </c>
    </row>
    <row r="8">
      <c r="A8" s="14" t="inlineStr">
        <is>
          <t>Service</t>
        </is>
      </c>
      <c r="B8" t="inlineStr">
        <is>
          <t>@sec-continuousreview-service. Both targets, the constrained program, and the imputed shortage cost.</t>
        </is>
      </c>
    </row>
    <row r="9">
      <c r="A9" s="14" t="inlineStr">
        <is>
          <t>Lumpy</t>
        </is>
      </c>
      <c r="B9" t="inlineStr">
        <is>
          <t>@sec-continuousreview-lumpy. Demand in lots, with the mass function built by Panjer's recursion.</t>
        </is>
      </c>
    </row>
    <row r="10">
      <c r="A10" s="14" t="inlineStr">
        <is>
          <t>Periodic</t>
        </is>
      </c>
      <c r="B10" t="inlineStr">
        <is>
          <t>@sec-continuousreview-periodic. The (R, S) policy, with the cycle averages on the three-point rule.</t>
        </is>
      </c>
    </row>
    <row r="11">
      <c r="A11" s="3" t="inlineStr">
        <is>
          <t>Two conventions hold across every sheet</t>
        </is>
      </c>
    </row>
    <row r="12">
      <c r="A12" s="2" t="inlineStr">
        <is>
          <t>It carries no macros. Every number can be traced by clicking the cell that made it.</t>
        </is>
      </c>
    </row>
    <row r="13">
      <c r="A13" s="2" t="inlineStr">
        <is>
          <t>It never models lead time demand with a normal distribution. See @sec-continuousreview-approx-family.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2026-09-19T16:40:40Z</dcterms:created>
  <dcterms:modified xsi:type="dcterms:W3CDTF">2026-09-21T18:09:48Z</dcterms:modified>
</cp:coreProperties>
</file>