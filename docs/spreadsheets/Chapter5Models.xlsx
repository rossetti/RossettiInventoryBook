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Data" sheetId="2" state="visible" r:id="rId2"/>
    <sheet name="Plans" sheetId="3" state="visible" r:id="rId3"/>
    <sheet name="WagnerWhitin" sheetId="4" state="visible" r:id="rId4"/>
    <sheet name="Heuristics" sheetId="5" state="visible" r:id="rId5"/>
    <sheet name="Solver" sheetId="6" state="visible" r:id="rId6"/>
  </sheets>
  <definedNames>
    <definedName name="Dls_t">'Data'!$A$31:$A$42</definedName>
    <definedName name="Dls_d">'Data'!$B$31:$B$42</definedName>
    <definedName name="Dls_k">'Data'!$C$31:$C$42</definedName>
    <definedName name="Dls_c">'Data'!$D$31:$D$42</definedName>
    <definedName name="Dls_h">'Data'!$E$31:$E$42</definedName>
    <definedName name="Dls_N">'Data'!$B$9</definedName>
  </definedNames>
  <calcPr calcId="124519" fullCalcOnLoad="1"/>
</workbook>
</file>

<file path=xl/styles.xml><?xml version="1.0" encoding="utf-8"?>
<styleSheet xmlns="http://schemas.openxmlformats.org/spreadsheetml/2006/main">
  <numFmts count="6">
    <numFmt numFmtId="164" formatCode="&quot;$&quot;#,##0.00"/>
    <numFmt numFmtId="165" formatCode="0.000"/>
    <numFmt numFmtId="166" formatCode="#,##0.0000"/>
    <numFmt numFmtId="167" formatCode="0.0000"/>
    <numFmt numFmtId="168" formatCode="#,##0.0"/>
    <numFmt numFmtId="169" formatCode="&quot;$&quot;#,##0"/>
  </numFmts>
  <fonts count="6">
    <font>
      <name val="Calibri"/>
      <family val="2"/>
      <color theme="1"/>
      <sz val="11"/>
      <scheme val="minor"/>
    </font>
    <font>
      <b val="1"/>
      <color rgb="00274060"/>
      <sz val="14"/>
    </font>
    <font>
      <i val="1"/>
      <color rgb="00666666"/>
      <sz val="9"/>
    </font>
    <font>
      <b val="1"/>
      <color rgb="00274060"/>
      <sz val="11"/>
    </font>
    <font>
      <b val="1"/>
      <sz val="10"/>
    </font>
    <font>
      <b val="1"/>
    </font>
  </fonts>
  <fills count="6">
    <fill>
      <patternFill/>
    </fill>
    <fill>
      <patternFill patternType="gray125"/>
    </fill>
    <fill>
      <patternFill patternType="solid">
        <fgColor rgb="00DCE6F1"/>
      </patternFill>
    </fill>
    <fill>
      <patternFill patternType="solid">
        <fgColor rgb="00F2F2F2"/>
      </patternFill>
    </fill>
    <fill>
      <patternFill patternType="solid">
        <fgColor rgb="00EDE3F2"/>
      </patternFill>
    </fill>
    <fill>
      <patternFill patternType="solid">
        <fgColor rgb="00FFF2CC"/>
      </patternFill>
    </fill>
  </fills>
  <borders count="4">
    <border>
      <left/>
      <right/>
      <top/>
      <bottom/>
      <diagonal/>
    </border>
    <border>
      <bottom style="thin">
        <color rgb="00999999"/>
      </bottom>
    </border>
    <border>
      <right style="medium">
        <color rgb="00999999"/>
      </right>
      <bottom style="thin">
        <color rgb="00999999"/>
      </bottom>
    </border>
    <border>
      <left/>
      <right style="medium">
        <color rgb="00999999"/>
      </right>
      <top/>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2" borderId="0" pivotButton="0" quotePrefix="0" xfId="0"/>
    <xf numFmtId="165" fontId="0" fillId="2" borderId="0" pivotButton="0" quotePrefix="0" xfId="0"/>
    <xf numFmtId="164" fontId="0" fillId="3" borderId="0" pivotButton="0" quotePrefix="0" xfId="0"/>
    <xf numFmtId="3" fontId="0" fillId="3" borderId="0" pivotButton="0" quotePrefix="0" xfId="0"/>
    <xf numFmtId="166" fontId="0" fillId="3" borderId="0" pivotButton="0" quotePrefix="0" xfId="0"/>
    <xf numFmtId="167" fontId="0" fillId="3" borderId="0" pivotButton="0" quotePrefix="0" xfId="0"/>
    <xf numFmtId="49" fontId="0" fillId="3" borderId="0" pivotButton="0" quotePrefix="0" xfId="0"/>
    <xf numFmtId="168" fontId="0" fillId="3" borderId="0" pivotButton="0" quotePrefix="0" xfId="0"/>
    <xf numFmtId="4" fontId="0" fillId="3" borderId="0" pivotButton="0" quotePrefix="0" xfId="0"/>
    <xf numFmtId="0" fontId="4" fillId="0" borderId="1" pivotButton="0" quotePrefix="0" xfId="0"/>
    <xf numFmtId="0" fontId="4" fillId="0" borderId="2" pivotButton="0" quotePrefix="0" xfId="0"/>
    <xf numFmtId="0" fontId="4" fillId="4" borderId="1" pivotButton="0" quotePrefix="0" xfId="0"/>
    <xf numFmtId="3" fontId="0" fillId="2" borderId="0" pivotButton="0" quotePrefix="0" xfId="0"/>
    <xf numFmtId="164" fontId="0" fillId="3" borderId="3" pivotButton="0" quotePrefix="0" xfId="0"/>
    <xf numFmtId="168" fontId="0" fillId="4" borderId="0" pivotButton="0" quotePrefix="0" xfId="0"/>
    <xf numFmtId="3" fontId="0" fillId="4" borderId="0" pivotButton="0" quotePrefix="0" xfId="0"/>
    <xf numFmtId="0" fontId="0" fillId="0" borderId="3" pivotButton="0" quotePrefix="0" xfId="0"/>
    <xf numFmtId="10" fontId="0" fillId="3" borderId="0" pivotButton="0" quotePrefix="0" xfId="0"/>
    <xf numFmtId="3" fontId="0" fillId="3" borderId="3" pivotButton="0" quotePrefix="0" xfId="0"/>
    <xf numFmtId="0" fontId="4" fillId="0" borderId="0" pivotButton="0" quotePrefix="0" xfId="0"/>
    <xf numFmtId="169" fontId="0" fillId="3" borderId="0" pivotButton="0" quotePrefix="0" xfId="0"/>
    <xf numFmtId="3" fontId="0" fillId="5" borderId="0" pivotButton="0" quotePrefix="0" xfId="0"/>
    <xf numFmtId="0" fontId="5" fillId="0" borderId="0" pivotButton="0" quotePrefix="0" xfId="0"/>
    <xf numFmtId="169" fontId="5" fillId="0" borderId="0" pivotButton="0" quotePrefix="0" xfId="0"/>
    <xf numFmtId="4" fontId="0" fillId="3" borderId="3" pivotButton="0" quotePrefix="0" xfId="0"/>
    <xf numFmtId="169" fontId="0" fillId="3" borderId="3" pivotButton="0" quotePrefix="0" xfId="0"/>
    <xf numFmtId="169" fontId="5"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drawing1.xml><?xml version="1.0" encoding="utf-8"?>
<xdr:wsDr xmlns:xdr="http://schemas.openxmlformats.org/drawingml/2006/spreadsheetDrawing" xmlns:a="http://schemas.openxmlformats.org/drawingml/2006/main">
  <xdr:twoCellAnchor>
    <xdr:from>
      <xdr:col>10</xdr:col>
      <xdr:colOff>0</xdr:colOff>
      <xdr:row>3</xdr:row>
      <xdr:rowOff>0</xdr:rowOff>
    </xdr:from>
    <xdr:to>
      <xdr:col>19</xdr:col>
      <xdr:colOff>0</xdr:colOff>
      <xdr:row>62</xdr:row>
      <xdr:rowOff>0</xdr:rowOff>
    </xdr:to>
    <xdr:sp macro="" textlink="">
      <xdr:nvSpPr>
        <xdr:cNvPr id="1024" name="TextBox 1"/>
        <xdr:cNvSpPr txBox="1"/>
      </xdr:nvSpPr>
      <xdr:spPr>
        <a:xfrm>
          <a:off x="7000000" y="571500"/>
          <a:ext cx="6300000" cy="11239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come first, then the results, then a check block, then the detail the results are computed from. The Chapter 4 workbook put the data LAST so that the block you edit could grow downward. Here the thing that grows is the horizon, and every block on every sheet is indexed by period, so a longer horizon lengthens all of them at once. That is why the horizon is fixed at twelve periods.</a:t>
          </a:r>
        </a:p>
        <a:p>
          <a:endParaRPr lang="en-US" sz="1100" baseline="0"/>
        </a:p>
        <a:p>
          <a:r>
            <a:rPr lang="en-US" sz="1100" b="1" baseline="0"/>
            <a:t>Changing the requirements</a:t>
          </a:r>
        </a:p>
        <a:p>
          <a:r>
            <a:rPr lang="en-US" sz="1100" baseline="0"/>
            <a:t>Type over column B of the Data sheet. Everything in the workbook reads that column through the named range Dls_d, so every sheet moves together. The costs beside it point at the input cells above, so a constant-cost problem is typed once.</a:t>
          </a:r>
        </a:p>
        <a:p>
          <a:endParaRPr lang="en-US" sz="1100" baseline="0"/>
        </a:p>
        <a:p>
          <a:r>
            <a:rPr lang="en-US" sz="1100" b="1" baseline="0"/>
            <a:t>Changing the length of the horizon</a:t>
          </a:r>
        </a:p>
        <a:p>
          <a:r>
            <a:rPr lang="en-US" sz="1100" baseline="0"/>
            <a:t>Do not. Rebuild the file instead, with scripts/build-ch5-workbook.py. Adding a period means adding a row and a column to the window matrix, a row and a column to the recursion, a column to the traceback and a row to four ledgers, and the blocks below would have to move down to make room. A horizon of zero for a period you do not want costs nothing and changes no answer.</a:t>
          </a:r>
        </a:p>
        <a:p>
          <a:endParaRPr lang="en-US" sz="1100" baseline="0"/>
        </a:p>
        <a:p>
          <a:r>
            <a:rPr lang="en-US" sz="1100" b="1" baseline="0"/>
            <a:t>Reading a sub-range of a named column</a:t>
          </a:r>
        </a:p>
        <a:p>
          <a:r>
            <a:rPr lang="en-US" sz="1100" baseline="0"/>
            <a:t>INDEX(Dls_d,a):INDEX(Dls_d,b) is the requirement of periods a through b. It is used in place of OFFSET, which recalculates on every edit anywhere in the workbook and shows the reader nothing about what it points at.</a:t>
          </a:r>
        </a:p>
        <a:p>
          <a:endParaRPr lang="en-US" sz="1100" baseline="0"/>
        </a:p>
        <a:p>
          <a:r>
            <a:rPr lang="en-US" sz="1100" b="1" baseline="0"/>
            <a:t>Colours</a:t>
          </a:r>
        </a:p>
        <a:p>
          <a:r>
            <a:rPr lang="en-US" sz="1100" baseline="0"/>
            <a:t>Blue cells are inputs and the only cells to type into. Grey cells are answers. Yellow cells are the ones a method picked: a stopping period, or a period that starts an order.</a:t>
          </a:r>
        </a:p>
        <a:p>
          <a:endParaRPr lang="en-US" sz="1100" baseline="0"/>
        </a:p>
        <a:p>
          <a:r>
            <a:rPr lang="en-US" sz="1100" b="1" baseline="0"/>
            <a:t>What this sheet does</a:t>
          </a:r>
        </a:p>
        <a:p>
          <a:r>
            <a:rPr lang="en-US" sz="1100" baseline="0"/>
            <a:t>It holds one item's requirements over twelve periods and the costs of ordering, buying and holding it. It is the only sheet with anything typed into it.</a:t>
          </a:r>
        </a:p>
        <a:p>
          <a:endParaRPr lang="en-US" sz="1100" baseline="0"/>
        </a:p>
        <a:p>
          <a:r>
            <a:rPr lang="en-US" sz="1100" b="1" baseline="0"/>
            <a:t>Why the costs are columns and not three cells</a:t>
          </a:r>
        </a:p>
        <a:p>
          <a:r>
            <a:rPr lang="en-US" sz="1100" baseline="0"/>
            <a:t>Nothing in Chapter 5 requires the costs to hold still. Writing them as columns that point at the inputs above costs nothing while they are constant, and it means a price rise is one number typed over one cell rather than a different workbook. Section 5.2.1 is the case where that matters.</a:t>
          </a:r>
        </a:p>
        <a:p>
          <a:endParaRPr lang="en-US" sz="1100" baseline="0"/>
        </a:p>
        <a:p>
          <a:r>
            <a:rPr lang="en-US" sz="1100" b="1" baseline="0"/>
            <a:t>The two helper columns</a:t>
          </a:r>
        </a:p>
        <a:p>
          <a:r>
            <a:rPr lang="en-US" sz="1100" baseline="0"/>
            <a:t>Column F holds the squared deviation of each requirement from the mean, and its total over N over the mean squared is the variability coefficient in B14. Column G holds the period number where the requirement is large enough to force an order, and nothing otherwise, so the smallest entry in it is B17. Both could be done with one array formula. They are columns so that you can see WHICH period did it. They are tinted, and a rule down the right of column E marks where the data stops and the derived columns start.</a:t>
          </a:r>
        </a:p>
        <a:p>
          <a:endParaRPr lang="en-US" sz="1100" baseline="0"/>
        </a:p>
        <a:p>
          <a:r>
            <a:rPr lang="en-US" sz="1100" b="1" baseline="0"/>
            <a:t>The variability coefficient</a:t>
          </a:r>
        </a:p>
        <a:p>
          <a:r>
            <a:rPr lang="en-US" sz="1100" baseline="0"/>
            <a:t>Below 0.2, Section 5.6 says an ordinary economic order quantity will serve and the rest of this workbook is an elaborate way of reproducing Chapter 3. The shipped data gives 0.6191. Notice that the threshold is a rule of thumb and not a theorem.</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3</xdr:row>
      <xdr:rowOff>0</xdr:rowOff>
    </xdr:from>
    <xdr:to>
      <xdr:col>25</xdr:col>
      <xdr:colOff>0</xdr:colOff>
      <xdr:row>58</xdr:row>
      <xdr:rowOff>0</xdr:rowOff>
    </xdr:to>
    <xdr:sp macro="" textlink="">
      <xdr:nvSpPr>
        <xdr:cNvPr id="1024" name="TextBox 1"/>
        <xdr:cNvSpPr txBox="1"/>
      </xdr:nvSpPr>
      <xdr:spPr>
        <a:xfrm>
          <a:off x="11200000" y="571500"/>
          <a:ext cx="6300000" cy="10477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come first, then the results, then a check block, then the detail the results are computed from. The Chapter 4 workbook put the data LAST so that the block you edit could grow downward. Here the thing that grows is the horizon, and every block on every sheet is indexed by period, so a longer horizon lengthens all of them at once. That is why the horizon is fixed at twelve periods.</a:t>
          </a:r>
        </a:p>
        <a:p>
          <a:endParaRPr lang="en-US" sz="1100" baseline="0"/>
        </a:p>
        <a:p>
          <a:r>
            <a:rPr lang="en-US" sz="1100" b="1" baseline="0"/>
            <a:t>Changing the requirements</a:t>
          </a:r>
        </a:p>
        <a:p>
          <a:r>
            <a:rPr lang="en-US" sz="1100" baseline="0"/>
            <a:t>Type over column B of the Data sheet. Everything in the workbook reads that column through the named range Dls_d, so every sheet moves together. The costs beside it point at the input cells above, so a constant-cost problem is typed once.</a:t>
          </a:r>
        </a:p>
        <a:p>
          <a:endParaRPr lang="en-US" sz="1100" baseline="0"/>
        </a:p>
        <a:p>
          <a:r>
            <a:rPr lang="en-US" sz="1100" b="1" baseline="0"/>
            <a:t>Changing the length of the horizon</a:t>
          </a:r>
        </a:p>
        <a:p>
          <a:r>
            <a:rPr lang="en-US" sz="1100" baseline="0"/>
            <a:t>Do not. Rebuild the file instead, with scripts/build-ch5-workbook.py. Adding a period means adding a row and a column to the window matrix, a row and a column to the recursion, a column to the traceback and a row to four ledgers, and the blocks below would have to move down to make room. A horizon of zero for a period you do not want costs nothing and changes no answer.</a:t>
          </a:r>
        </a:p>
        <a:p>
          <a:endParaRPr lang="en-US" sz="1100" baseline="0"/>
        </a:p>
        <a:p>
          <a:r>
            <a:rPr lang="en-US" sz="1100" b="1" baseline="0"/>
            <a:t>Reading a sub-range of a named column</a:t>
          </a:r>
        </a:p>
        <a:p>
          <a:r>
            <a:rPr lang="en-US" sz="1100" baseline="0"/>
            <a:t>INDEX(Dls_d,a):INDEX(Dls_d,b) is the requirement of periods a through b. It is used in place of OFFSET, which recalculates on every edit anywhere in the workbook and shows the reader nothing about what it points at.</a:t>
          </a:r>
        </a:p>
        <a:p>
          <a:endParaRPr lang="en-US" sz="1100" baseline="0"/>
        </a:p>
        <a:p>
          <a:r>
            <a:rPr lang="en-US" sz="1100" b="1" baseline="0"/>
            <a:t>Colours</a:t>
          </a:r>
        </a:p>
        <a:p>
          <a:r>
            <a:rPr lang="en-US" sz="1100" baseline="0"/>
            <a:t>Blue cells are inputs and the only cells to type into. Grey cells are answers. Yellow cells are the ones a method picked: a stopping period, or a period that starts an order.</a:t>
          </a:r>
        </a:p>
        <a:p>
          <a:endParaRPr lang="en-US" sz="1100" baseline="0"/>
        </a:p>
        <a:p>
          <a:r>
            <a:rPr lang="en-US" sz="1100" b="1" baseline="0"/>
            <a:t>What this sheet does</a:t>
          </a:r>
        </a:p>
        <a:p>
          <a:r>
            <a:rPr lang="en-US" sz="1100" baseline="0"/>
            <a:t>It costs a plan you choose. Type order quantities into a blue column and the block above it reports the orders placed, the setup, the carrying, the purchase cost and the penalty against the optimum on the WagnerWhitin sheet.</a:t>
          </a:r>
        </a:p>
        <a:p>
          <a:endParaRPr lang="en-US" sz="1100" baseline="0"/>
        </a:p>
        <a:p>
          <a:r>
            <a:rPr lang="en-US" sz="1100" b="1" baseline="0"/>
            <a:t>The four columns</a:t>
          </a:r>
        </a:p>
        <a:p>
          <a:r>
            <a:rPr lang="en-US" sz="1100" baseline="0"/>
            <a:t>Lot-for-lot, an economic order quantity adjusted to whole periods, a periodic order quantity at a two period time supply, and one to type over. The first three ship the plans Table 5.3 reports, so you can check the sheet against the chapter before trusting it with a plan of your own.</a:t>
          </a:r>
        </a:p>
        <a:p>
          <a:endParaRPr lang="en-US" sz="1100" baseline="0"/>
        </a:p>
        <a:p>
          <a:r>
            <a:rPr lang="en-US" sz="1100" b="1" baseline="0"/>
            <a:t>The sheet does not check feasibility</a:t>
          </a:r>
        </a:p>
        <a:p>
          <a:r>
            <a:rPr lang="en-US" sz="1100" baseline="0"/>
            <a:t>An ending balance is previous end plus order minus requirement. A negative one is a shortage, which Section 5.1 forbids, and nothing here stops you typing a plan that produces one. Look at the End column. A plan with a negative entry in it is not a plan and its cost means nothing.</a:t>
          </a:r>
        </a:p>
        <a:p>
          <a:endParaRPr lang="en-US" sz="1100" baseline="0"/>
        </a:p>
        <a:p>
          <a:r>
            <a:rPr lang="en-US" sz="1100" b="1" baseline="0"/>
            <a:t>Why carrying charges the ending balance</a:t>
          </a:r>
        </a:p>
        <a:p>
          <a:r>
            <a:rPr lang="en-US" sz="1100" baseline="0"/>
            <a:t>A unit that arrives in a period and is consumed in that period is never held. Some treatments charge holding on the average of the beginning and ending balances and get a different answer to the same problem. This workbook charges the ending balance, which is what an MRP record does and what Chapter 6 inherits.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3</xdr:row>
      <xdr:rowOff>0</xdr:rowOff>
    </xdr:from>
    <xdr:to>
      <xdr:col>24</xdr:col>
      <xdr:colOff>0</xdr:colOff>
      <xdr:row>76</xdr:row>
      <xdr:rowOff>0</xdr:rowOff>
    </xdr:to>
    <xdr:sp macro="" textlink="">
      <xdr:nvSpPr>
        <xdr:cNvPr id="1024" name="TextBox 1"/>
        <xdr:cNvSpPr txBox="1"/>
      </xdr:nvSpPr>
      <xdr:spPr>
        <a:xfrm>
          <a:off x="10500000" y="571500"/>
          <a:ext cx="6300000" cy="13906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come first, then the results, then a check block, then the detail the results are computed from. The Chapter 4 workbook put the data LAST so that the block you edit could grow downward. Here the thing that grows is the horizon, and every block on every sheet is indexed by period, so a longer horizon lengthens all of them at once. That is why the horizon is fixed at twelve periods.</a:t>
          </a:r>
        </a:p>
        <a:p>
          <a:endParaRPr lang="en-US" sz="1100" baseline="0"/>
        </a:p>
        <a:p>
          <a:r>
            <a:rPr lang="en-US" sz="1100" b="1" baseline="0"/>
            <a:t>Changing the requirements</a:t>
          </a:r>
        </a:p>
        <a:p>
          <a:r>
            <a:rPr lang="en-US" sz="1100" baseline="0"/>
            <a:t>Type over column B of the Data sheet. Everything in the workbook reads that column through the named range Dls_d, so every sheet moves together. The costs beside it point at the input cells above, so a constant-cost problem is typed once.</a:t>
          </a:r>
        </a:p>
        <a:p>
          <a:endParaRPr lang="en-US" sz="1100" baseline="0"/>
        </a:p>
        <a:p>
          <a:r>
            <a:rPr lang="en-US" sz="1100" b="1" baseline="0"/>
            <a:t>Changing the length of the horizon</a:t>
          </a:r>
        </a:p>
        <a:p>
          <a:r>
            <a:rPr lang="en-US" sz="1100" baseline="0"/>
            <a:t>Do not. Rebuild the file instead, with scripts/build-ch5-workbook.py. Adding a period means adding a row and a column to the window matrix, a row and a column to the recursion, a column to the traceback and a row to four ledgers, and the blocks below would have to move down to make room. A horizon of zero for a period you do not want costs nothing and changes no answer.</a:t>
          </a:r>
        </a:p>
        <a:p>
          <a:endParaRPr lang="en-US" sz="1100" baseline="0"/>
        </a:p>
        <a:p>
          <a:r>
            <a:rPr lang="en-US" sz="1100" b="1" baseline="0"/>
            <a:t>Reading a sub-range of a named column</a:t>
          </a:r>
        </a:p>
        <a:p>
          <a:r>
            <a:rPr lang="en-US" sz="1100" baseline="0"/>
            <a:t>INDEX(Dls_d,a):INDEX(Dls_d,b) is the requirement of periods a through b. It is used in place of OFFSET, which recalculates on every edit anywhere in the workbook and shows the reader nothing about what it points at.</a:t>
          </a:r>
        </a:p>
        <a:p>
          <a:endParaRPr lang="en-US" sz="1100" baseline="0"/>
        </a:p>
        <a:p>
          <a:r>
            <a:rPr lang="en-US" sz="1100" b="1" baseline="0"/>
            <a:t>Colours</a:t>
          </a:r>
        </a:p>
        <a:p>
          <a:r>
            <a:rPr lang="en-US" sz="1100" baseline="0"/>
            <a:t>Blue cells are inputs and the only cells to type into. Grey cells are answers. Yellow cells are the ones a method picked: a stopping period, or a period that starts an order.</a:t>
          </a:r>
        </a:p>
        <a:p>
          <a:endParaRPr lang="en-US" sz="1100" baseline="0"/>
        </a:p>
        <a:p>
          <a:r>
            <a:rPr lang="en-US" sz="1100" b="1" baseline="0"/>
            <a:t>What this sheet does</a:t>
          </a:r>
        </a:p>
        <a:p>
          <a:r>
            <a:rPr lang="en-US" sz="1100" baseline="0"/>
            <a:t>It solves the problem exactly. Nothing on it is typed. The three blocks are the three blocks of the algorithm: the window costs, the recursion, and the traceback that reads the plan off the recursion.</a:t>
          </a:r>
        </a:p>
        <a:p>
          <a:endParaRPr lang="en-US" sz="1100" baseline="0"/>
        </a:p>
        <a:p>
          <a:r>
            <a:rPr lang="en-US" sz="1100" b="1" baseline="0"/>
            <a:t>The window costs</a:t>
          </a:r>
        </a:p>
        <a:p>
          <a:r>
            <a:rPr lang="en-US" sz="1100" baseline="0"/>
            <a:t>w(t,u) is what a replenishment in period t costs if it covers through period u. Each cell adds one period to the cell on its left, so the whole triangle is one short formula filled right and down. Notice that these numbers depend on no decision. That is what lets them be computed once, before any search.</a:t>
          </a:r>
        </a:p>
        <a:p>
          <a:endParaRPr lang="en-US" sz="1100" baseline="0"/>
        </a:p>
        <a:p>
          <a:r>
            <a:rPr lang="en-US" sz="1100" b="1" baseline="0"/>
            <a:t>The recursion</a:t>
          </a:r>
        </a:p>
        <a:p>
          <a:r>
            <a:rPr lang="en-US" sz="1100" baseline="0"/>
            <a:t>V(u) is the least cost of covering periods 1 through u and arriving at u+1 empty. The candidate block below holds V(t-1) + w(t,u) for every period t that could hold the last order. V(u) is the MIN down that column and S(u) is the MATCH of that minimum in the same column.</a:t>
          </a:r>
        </a:p>
        <a:p>
          <a:endParaRPr lang="en-US" sz="1100" baseline="0"/>
        </a:p>
        <a:p>
          <a:r>
            <a:rPr lang="en-US" sz="1100" b="1" baseline="0"/>
            <a:t>Why the candidates are laid out and not collapsed</a:t>
          </a:r>
        </a:p>
        <a:p>
          <a:r>
            <a:rPr lang="en-US" sz="1100" baseline="0"/>
            <a:t>One formula per period would compute the same V. The block exists so you can see which alternatives were considered and by how much the winner won. A column whose entries are nearly equal is a period where the plan is nearly indifferent, and that is worth knowing before you commit to it.</a:t>
          </a:r>
        </a:p>
        <a:p>
          <a:endParaRPr lang="en-US" sz="1100" baseline="0"/>
        </a:p>
        <a:p>
          <a:r>
            <a:rPr lang="en-US" sz="1100" b="1" baseline="0"/>
            <a:t>Ties</a:t>
          </a:r>
        </a:p>
        <a:p>
          <a:r>
            <a:rPr lang="en-US" sz="1100" baseline="0"/>
            <a:t>MATCH returns the FIRST period achieving the minimum, so a tie is broken toward the earlier order. The Kotlin package does the same. Two artifacts that disagree about a tie report different plans of identical cost, which is a confusing thing to debug.</a:t>
          </a:r>
        </a:p>
        <a:p>
          <a:endParaRPr lang="en-US" sz="1100" baseline="0"/>
        </a:p>
        <a:p>
          <a:r>
            <a:rPr lang="en-US" sz="1100" b="1" baseline="0"/>
            <a:t>The traceback</a:t>
          </a:r>
        </a:p>
        <a:p>
          <a:r>
            <a:rPr lang="en-US" sz="1100" baseline="0"/>
            <a:t>It walks backward. The last order starts in S(N) and covers through N. The one before it covers through S(N)-1 and starts in S(S(N)-1). Each step reads the pointer of the period before the one the previous step started in, and it stops when a step starts in period 1.</a:t>
          </a:r>
        </a:p>
        <a:p>
          <a:endParaRPr lang="en-US" sz="1100" baseline="0"/>
        </a:p>
        <a:p>
          <a:r>
            <a:rPr lang="en-US" sz="1100" b="1" baseline="0"/>
            <a:t>The arithmetic check</a:t>
          </a:r>
        </a:p>
        <a:p>
          <a:r>
            <a:rPr lang="en-US" sz="1100" baseline="0"/>
            <a:t>The setup and carrying totals at the bottom of the plan block must add to V(N) in the results block at the top. The recursion and the ledger are two readings of the same numbers, so if they disagree, one of them has been edited.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30</xdr:col>
      <xdr:colOff>0</xdr:colOff>
      <xdr:row>3</xdr:row>
      <xdr:rowOff>0</xdr:rowOff>
    </xdr:from>
    <xdr:to>
      <xdr:col>39</xdr:col>
      <xdr:colOff>0</xdr:colOff>
      <xdr:row>76</xdr:row>
      <xdr:rowOff>0</xdr:rowOff>
    </xdr:to>
    <xdr:sp macro="" textlink="">
      <xdr:nvSpPr>
        <xdr:cNvPr id="1024" name="TextBox 1"/>
        <xdr:cNvSpPr txBox="1"/>
      </xdr:nvSpPr>
      <xdr:spPr>
        <a:xfrm>
          <a:off x="21000000" y="571500"/>
          <a:ext cx="6300000" cy="13906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come first, then the results, then a check block, then the detail the results are computed from. The Chapter 4 workbook put the data LAST so that the block you edit could grow downward. Here the thing that grows is the horizon, and every block on every sheet is indexed by period, so a longer horizon lengthens all of them at once. That is why the horizon is fixed at twelve periods.</a:t>
          </a:r>
        </a:p>
        <a:p>
          <a:endParaRPr lang="en-US" sz="1100" baseline="0"/>
        </a:p>
        <a:p>
          <a:r>
            <a:rPr lang="en-US" sz="1100" b="1" baseline="0"/>
            <a:t>Changing the requirements</a:t>
          </a:r>
        </a:p>
        <a:p>
          <a:r>
            <a:rPr lang="en-US" sz="1100" baseline="0"/>
            <a:t>Type over column B of the Data sheet. Everything in the workbook reads that column through the named range Dls_d, so every sheet moves together. The costs beside it point at the input cells above, so a constant-cost problem is typed once.</a:t>
          </a:r>
        </a:p>
        <a:p>
          <a:endParaRPr lang="en-US" sz="1100" baseline="0"/>
        </a:p>
        <a:p>
          <a:r>
            <a:rPr lang="en-US" sz="1100" b="1" baseline="0"/>
            <a:t>Changing the length of the horizon</a:t>
          </a:r>
        </a:p>
        <a:p>
          <a:r>
            <a:rPr lang="en-US" sz="1100" baseline="0"/>
            <a:t>Do not. Rebuild the file instead, with scripts/build-ch5-workbook.py. Adding a period means adding a row and a column to the window matrix, a row and a column to the recursion, a column to the traceback and a row to four ledgers, and the blocks below would have to move down to make room. A horizon of zero for a period you do not want costs nothing and changes no answer.</a:t>
          </a:r>
        </a:p>
        <a:p>
          <a:endParaRPr lang="en-US" sz="1100" baseline="0"/>
        </a:p>
        <a:p>
          <a:r>
            <a:rPr lang="en-US" sz="1100" b="1" baseline="0"/>
            <a:t>Reading a sub-range of a named column</a:t>
          </a:r>
        </a:p>
        <a:p>
          <a:r>
            <a:rPr lang="en-US" sz="1100" baseline="0"/>
            <a:t>INDEX(Dls_d,a):INDEX(Dls_d,b) is the requirement of periods a through b. It is used in place of OFFSET, which recalculates on every edit anywhere in the workbook and shows the reader nothing about what it points at.</a:t>
          </a:r>
        </a:p>
        <a:p>
          <a:endParaRPr lang="en-US" sz="1100" baseline="0"/>
        </a:p>
        <a:p>
          <a:r>
            <a:rPr lang="en-US" sz="1100" b="1" baseline="0"/>
            <a:t>Colours</a:t>
          </a:r>
        </a:p>
        <a:p>
          <a:r>
            <a:rPr lang="en-US" sz="1100" baseline="0"/>
            <a:t>Blue cells are inputs and the only cells to type into. Grey cells are answers. Yellow cells are the ones a method picked: a stopping period, or a period that starts an order.</a:t>
          </a:r>
        </a:p>
        <a:p>
          <a:endParaRPr lang="en-US" sz="1100" baseline="0"/>
        </a:p>
        <a:p>
          <a:r>
            <a:rPr lang="en-US" sz="1100" b="1" baseline="0"/>
            <a:t>What this sheet does</a:t>
          </a:r>
        </a:p>
        <a:p>
          <a:r>
            <a:rPr lang="en-US" sz="1100" baseline="0"/>
            <a:t>It runs Silver-Meal, least unit cost and part-period balancing against the same window costs the WagnerWhitin sheet used, and reports what each of them costs.</a:t>
          </a:r>
        </a:p>
        <a:p>
          <a:endParaRPr lang="en-US" sz="1100" baseline="0"/>
        </a:p>
        <a:p>
          <a:r>
            <a:rPr lang="en-US" sz="1100" b="1" baseline="0"/>
            <a:t>Three rules, one procedure</a:t>
          </a:r>
        </a:p>
        <a:p>
          <a:r>
            <a:rPr lang="en-US" sz="1100" baseline="0"/>
            <a:t>Every rule here starts an order in period 1, extends the window one period at a time, scores the window, and stops when the score stops improving. They differ in the score alone. That is the claim of Section 5.5, and the three blocks below are laid out identically so that you can see it rather than take it on faith.</a:t>
          </a:r>
        </a:p>
        <a:p>
          <a:endParaRPr lang="en-US" sz="1100" baseline="0"/>
        </a:p>
        <a:p>
          <a:r>
            <a:rPr lang="en-US" sz="1100" b="1" baseline="0"/>
            <a:t>The stopping test</a:t>
          </a:r>
        </a:p>
        <a:p>
          <a:r>
            <a:rPr lang="en-US" sz="1100" baseline="0"/>
            <a:t>Beside each score triangle is a triangle of ones and zeros answering: does the rule stop here? The stop period for an order placed in period t is MATCH(1, ...) along row t, the first period whose answer is one.</a:t>
          </a:r>
        </a:p>
        <a:p>
          <a:endParaRPr lang="en-US" sz="1100" baseline="0"/>
        </a:p>
        <a:p>
          <a:r>
            <a:rPr lang="en-US" sz="1100" b="1" baseline="0"/>
            <a:t>Why part-period balancing is different</a:t>
          </a:r>
        </a:p>
        <a:p>
          <a:r>
            <a:rPr lang="en-US" sz="1100" baseline="0"/>
            <a:t>Its score is what the window carries, which only ever grows, so the last period at or under k is an ordinary ascending MATCH and no triangle of ones is needed. It then compares the two neighbours and keeps whichever comes closer to k, so it can step BACK. A score that can fall, as Silver-Meal's can, cannot be looked up that way. The Kotlin package draws the line in the same place.</a:t>
          </a:r>
        </a:p>
        <a:p>
          <a:endParaRPr lang="en-US" sz="1100" baseline="0"/>
        </a:p>
        <a:p>
          <a:r>
            <a:rPr lang="en-US" sz="1100" b="1" baseline="0"/>
            <a:t>The chains</a:t>
          </a:r>
        </a:p>
        <a:p>
          <a:r>
            <a:rPr lang="en-US" sz="1100" baseline="0"/>
            <a:t>The first order falls in period 1. Each order after it starts where the previous one stopped. A blank means the previous order already reached period N, so the plan needs no further order.</a:t>
          </a:r>
        </a:p>
        <a:p>
          <a:endParaRPr lang="en-US" sz="1100" baseline="0"/>
        </a:p>
        <a:p>
          <a:r>
            <a:rPr lang="en-US" sz="1100" b="1" baseline="0"/>
            <a:t>What to look at</a:t>
          </a:r>
        </a:p>
        <a:p>
          <a:r>
            <a:rPr lang="en-US" sz="1100" baseline="0"/>
            <a:t>Row 5 of the Silver-Meal block, columns for u = 5 through 10. The score falls all the way to period 9 and only then rises, so the rule covers five periods in one order of 840 belts. Months 6 through 8 fall away and month 9 needs nothing, so each period added costs almost nothing and lengthens the window by one. The average falls because the window is getting longer and not because the plan is getting better. That is the failure mode of a cost-per-period rule.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3</xdr:row>
      <xdr:rowOff>0</xdr:rowOff>
    </xdr:from>
    <xdr:to>
      <xdr:col>19</xdr:col>
      <xdr:colOff>0</xdr:colOff>
      <xdr:row>58</xdr:row>
      <xdr:rowOff>0</xdr:rowOff>
    </xdr:to>
    <xdr:sp macro="" textlink="">
      <xdr:nvSpPr>
        <xdr:cNvPr id="1024" name="TextBox 1"/>
        <xdr:cNvSpPr txBox="1"/>
      </xdr:nvSpPr>
      <xdr:spPr>
        <a:xfrm>
          <a:off x="7000000" y="571500"/>
          <a:ext cx="6300000" cy="10477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Inputs come first, then the results, then a check block, then the detail the results are computed from. The Chapter 4 workbook put the data LAST so that the block you edit could grow downward. Here the thing that grows is the horizon, and every block on every sheet is indexed by period, so a longer horizon lengthens all of them at once. That is why the horizon is fixed at twelve periods.</a:t>
          </a:r>
        </a:p>
        <a:p>
          <a:endParaRPr lang="en-US" sz="1100" baseline="0"/>
        </a:p>
        <a:p>
          <a:r>
            <a:rPr lang="en-US" sz="1100" b="1" baseline="0"/>
            <a:t>Changing the requirements</a:t>
          </a:r>
        </a:p>
        <a:p>
          <a:r>
            <a:rPr lang="en-US" sz="1100" baseline="0"/>
            <a:t>Type over column B of the Data sheet. Everything in the workbook reads that column through the named range Dls_d, so every sheet moves together. The costs beside it point at the input cells above, so a constant-cost problem is typed once.</a:t>
          </a:r>
        </a:p>
        <a:p>
          <a:endParaRPr lang="en-US" sz="1100" baseline="0"/>
        </a:p>
        <a:p>
          <a:r>
            <a:rPr lang="en-US" sz="1100" b="1" baseline="0"/>
            <a:t>Changing the length of the horizon</a:t>
          </a:r>
        </a:p>
        <a:p>
          <a:r>
            <a:rPr lang="en-US" sz="1100" baseline="0"/>
            <a:t>Do not. Rebuild the file instead, with scripts/build-ch5-workbook.py. Adding a period means adding a row and a column to the window matrix, a row and a column to the recursion, a column to the traceback and a row to four ledgers, and the blocks below would have to move down to make room. A horizon of zero for a period you do not want costs nothing and changes no answer.</a:t>
          </a:r>
        </a:p>
        <a:p>
          <a:endParaRPr lang="en-US" sz="1100" baseline="0"/>
        </a:p>
        <a:p>
          <a:r>
            <a:rPr lang="en-US" sz="1100" b="1" baseline="0"/>
            <a:t>Reading a sub-range of a named column</a:t>
          </a:r>
        </a:p>
        <a:p>
          <a:r>
            <a:rPr lang="en-US" sz="1100" baseline="0"/>
            <a:t>INDEX(Dls_d,a):INDEX(Dls_d,b) is the requirement of periods a through b. It is used in place of OFFSET, which recalculates on every edit anywhere in the workbook and shows the reader nothing about what it points at.</a:t>
          </a:r>
        </a:p>
        <a:p>
          <a:endParaRPr lang="en-US" sz="1100" baseline="0"/>
        </a:p>
        <a:p>
          <a:r>
            <a:rPr lang="en-US" sz="1100" b="1" baseline="0"/>
            <a:t>Colours</a:t>
          </a:r>
        </a:p>
        <a:p>
          <a:r>
            <a:rPr lang="en-US" sz="1100" baseline="0"/>
            <a:t>Blue cells are inputs and the only cells to type into. Grey cells are answers. Yellow cells are the ones a method picked: a stopping period, or a period that starts an order.</a:t>
          </a:r>
        </a:p>
        <a:p>
          <a:endParaRPr lang="en-US" sz="1100" baseline="0"/>
        </a:p>
        <a:p>
          <a:r>
            <a:rPr lang="en-US" sz="1100" b="1" baseline="0"/>
            <a:t>What this sheet does</a:t>
          </a:r>
        </a:p>
        <a:p>
          <a:r>
            <a:rPr lang="en-US" sz="1100" baseline="0"/>
            <a:t>It states the same problem as a mixed integer program, for Solver to run. The recursion on the WagnerWhitin sheet is the better way to solve it. This formulation is here because it takes constraints the recursion cannot.</a:t>
          </a:r>
        </a:p>
        <a:p>
          <a:endParaRPr lang="en-US" sz="1100" baseline="0"/>
        </a:p>
        <a:p>
          <a:r>
            <a:rPr lang="en-US" sz="1100" b="1" baseline="0"/>
            <a:t>Running it</a:t>
          </a:r>
        </a:p>
        <a:p>
          <a:r>
            <a:rPr lang="en-US" sz="1100" baseline="0"/>
            <a:t>Data &gt; Solver. Set objective B5 to Min by changing C14:D25. Constraints: D14:D25 binary, C14:C25 at least 0, E14:E25 at least 0, H14:H25 at most 0. Choose Simplex LP. The sheet ships holding the optimal plan, so B5 already reads 2,480 and B6 reads zero. Clear the two changing columns and Solver should find its way back.</a:t>
          </a:r>
        </a:p>
        <a:p>
          <a:endParaRPr lang="en-US" sz="1100" baseline="0"/>
        </a:p>
        <a:p>
          <a:r>
            <a:rPr lang="en-US" sz="1100" b="1" baseline="0"/>
            <a:t>Why it is linear</a:t>
          </a:r>
        </a:p>
        <a:p>
          <a:r>
            <a:rPr lang="en-US" sz="1100" baseline="0"/>
            <a:t>The cost of ordering is not a linear function of the order quantity. It is zero at zero and jumps to k the moment anything is ordered. The binary flag y and the constraint Q &lt;= My are what make it linear: y = 0 forces Q to zero, and y = 1 lets Q be anything up to M. The objective is then linear in the pair.</a:t>
          </a:r>
        </a:p>
        <a:p>
          <a:endParaRPr lang="en-US" sz="1100" baseline="0"/>
        </a:p>
        <a:p>
          <a:r>
            <a:rPr lang="en-US" sz="1100" b="1" baseline="0"/>
            <a:t>The big constant</a:t>
          </a:r>
        </a:p>
        <a:p>
          <a:r>
            <a:rPr lang="en-US" sz="1100" baseline="0"/>
            <a:t>M is 1,840, the whole horizon's requirement, because no order in a feasible plan ever carries more than that. Make it as small as is safe. A needlessly large M weakens the linear relaxation and the branch and bound search takes longer for no benefit.</a:t>
          </a:r>
        </a:p>
        <a:p>
          <a:endParaRPr lang="en-US" sz="1100" baseline="0"/>
        </a:p>
        <a:p>
          <a:r>
            <a:rPr lang="en-US" sz="1100" b="1" baseline="0"/>
            <a:t>What to try</a:t>
          </a:r>
        </a:p>
        <a:p>
          <a:r>
            <a:rPr lang="en-US" sz="1100" baseline="0"/>
            <a:t>Add the constraint that no single order may exceed 400 units. The answer rises to 2,540. Month 5 needs 420 and can receive at most 400, so 20 have to be carried in from an earlier order, and the plan now both holds stock and orders in the same period. That breaks the zero-inventory property of Section 5.3, which is exactly why the recursion cannot answer it and this sheet can.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8" customWidth="1" min="1" max="1"/>
  </cols>
  <sheetData>
    <row r="1">
      <c r="A1" s="1" t="inlineStr">
        <is>
          <t>Chapter 5, Dynamic Lot Sizing</t>
        </is>
      </c>
    </row>
    <row r="2">
      <c r="A2" t="inlineStr"/>
    </row>
    <row r="3">
      <c r="A3" t="inlineStr">
        <is>
          <t>One item, twelve months of known but time-varying requirements, and several ways to plan them.</t>
        </is>
      </c>
    </row>
    <row r="4">
      <c r="A4" t="inlineStr"/>
    </row>
    <row r="5">
      <c r="A5" t="inlineStr">
        <is>
          <t>Sheets, in the order to read them:</t>
        </is>
      </c>
    </row>
    <row r="6">
      <c r="A6" t="inlineStr">
        <is>
          <t xml:space="preserve">   Data          the requirements and the costs. The only cells anyone types into.</t>
        </is>
      </c>
    </row>
    <row r="7">
      <c r="A7" t="inlineStr">
        <is>
          <t xml:space="preserve">   Plans         four plans side by side. Type over a plan's order column and read what it costs.</t>
        </is>
      </c>
    </row>
    <row r="8">
      <c r="A8" t="inlineStr">
        <is>
          <t xml:space="preserve">   WagnerWhitin  the window costs, the recursion, and the traceback that reads the optimal plan off it.</t>
        </is>
      </c>
    </row>
    <row r="9">
      <c r="A9" t="inlineStr">
        <is>
          <t xml:space="preserve">   Heuristics    Silver-Meal, least unit cost and part-period balancing against the same windows.</t>
        </is>
      </c>
    </row>
    <row r="10">
      <c r="A10" t="inlineStr">
        <is>
          <t xml:space="preserve">   Solver        the same problem as a mixed integer program, for Solver to run.</t>
        </is>
      </c>
    </row>
    <row r="11">
      <c r="A11" t="inlineStr"/>
    </row>
    <row r="12">
      <c r="A12" t="inlineStr">
        <is>
          <t>Conventions:</t>
        </is>
      </c>
    </row>
    <row r="13">
      <c r="A13" t="inlineStr">
        <is>
          <t xml:space="preserve">   Blue cells are inputs. Grey cells are computed and should not be typed over.</t>
        </is>
      </c>
    </row>
    <row r="14">
      <c r="A14" t="inlineStr">
        <is>
          <t xml:space="preserve">   Every sheet ends with a check block giving what the shipped data should produce.</t>
        </is>
      </c>
    </row>
    <row r="15">
      <c r="A15" t="inlineStr">
        <is>
          <t xml:space="preserve">   A sub-range of the requirements is written INDEX(Dls_d,a):INDEX(Dls_d,b), which is the</t>
        </is>
      </c>
    </row>
    <row r="16">
      <c r="A16" t="inlineStr">
        <is>
          <t xml:space="preserve">   months a through b. It reads as what it is, and it does not recalculate on every edit.</t>
        </is>
      </c>
    </row>
    <row r="17">
      <c r="A17" t="inlineStr">
        <is>
          <t xml:space="preserve">   Periods run down the rows. Chapter 6 lays an MRP record out with periods across the</t>
        </is>
      </c>
    </row>
    <row r="18">
      <c r="A18" t="inlineStr">
        <is>
          <t xml:space="preserve">   columns instead, because that is the universal format for a requirements record.</t>
        </is>
      </c>
    </row>
    <row r="19">
      <c r="A19" t="inlineStr"/>
    </row>
    <row r="20">
      <c r="A20" t="inlineStr">
        <is>
          <t>Rebuild this file with scripts/build-ch5-workbook.py and check it with scripts/check-ch5-workbook.py.</t>
        </is>
      </c>
    </row>
  </sheetData>
  <pageMargins left="0.75" right="0.75" top="1" bottom="1" header="0.5" footer="0.5"/>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40" customWidth="1" min="1" max="1"/>
    <col width="17" customWidth="1" min="2" max="2"/>
    <col width="15" customWidth="1" min="3" max="3"/>
    <col width="14" customWidth="1" min="4" max="4"/>
    <col width="15" customWidth="1" min="5" max="5"/>
    <col width="16" customWidth="1" min="6" max="6"/>
    <col width="10" customWidth="1" min="7" max="7"/>
  </cols>
  <sheetData>
    <row r="1">
      <c r="A1" s="1" t="inlineStr">
        <is>
          <t>The item and its requirements</t>
        </is>
      </c>
    </row>
    <row r="2">
      <c r="A2" s="2" t="inlineStr">
        <is>
          <t>Chapter 5, section 5.1.</t>
        </is>
      </c>
    </row>
    <row r="4">
      <c r="A4" s="3" t="inlineStr">
        <is>
          <t>INPUTS</t>
        </is>
      </c>
    </row>
    <row r="5">
      <c r="A5" t="inlineStr">
        <is>
          <t>Order cost, k</t>
        </is>
      </c>
      <c r="B5" s="4" t="n">
        <v>300</v>
      </c>
      <c r="C5" s="2" t="inlineStr">
        <is>
          <t>dollars per order</t>
        </is>
      </c>
    </row>
    <row r="6">
      <c r="A6" t="inlineStr">
        <is>
          <t>Unit cost, c</t>
        </is>
      </c>
      <c r="B6" s="4" t="n">
        <v>50</v>
      </c>
      <c r="C6" s="2" t="inlineStr">
        <is>
          <t>dollars per belt</t>
        </is>
      </c>
    </row>
    <row r="7">
      <c r="A7" t="inlineStr">
        <is>
          <t>Carrying charge, i</t>
        </is>
      </c>
      <c r="B7" s="5" t="n">
        <v>0.02</v>
      </c>
      <c r="C7" s="2" t="inlineStr">
        <is>
          <t>per dollar per month</t>
        </is>
      </c>
    </row>
    <row r="8">
      <c r="A8" t="inlineStr">
        <is>
          <t>Holding rate, h = ic</t>
        </is>
      </c>
      <c r="B8" s="6">
        <f>B6*B7</f>
        <v/>
      </c>
    </row>
    <row r="9">
      <c r="A9" t="inlineStr">
        <is>
          <t>Periods in the horizon, N</t>
        </is>
      </c>
      <c r="B9" s="7">
        <f>COUNT(Dls_d)</f>
        <v/>
      </c>
    </row>
    <row r="11">
      <c r="A11" s="3" t="inlineStr">
        <is>
          <t>WHAT THE PATTERN LOOKS LIKE</t>
        </is>
      </c>
    </row>
    <row r="12">
      <c r="A12" t="inlineStr">
        <is>
          <t>Total requirement</t>
        </is>
      </c>
      <c r="B12" s="7">
        <f>SUM(Dls_d)</f>
        <v/>
      </c>
    </row>
    <row r="13">
      <c r="A13" t="inlineStr">
        <is>
          <t>Average requirement per month</t>
        </is>
      </c>
      <c r="B13" s="8">
        <f>B12/B9</f>
        <v/>
      </c>
    </row>
    <row r="14">
      <c r="A14" t="inlineStr">
        <is>
          <t>Variability coefficient</t>
        </is>
      </c>
      <c r="B14" s="9">
        <f>SUM(F31:F42)/B9/B13^2</f>
        <v/>
      </c>
    </row>
    <row r="15">
      <c r="A15" t="inlineStr">
        <is>
          <t>Use a heuristic?</t>
        </is>
      </c>
      <c r="B15" s="10">
        <f>IF(B14&gt;=0.2,"yes, the pattern varies enough","no, an ordinary EOQ will serve")</f>
        <v/>
      </c>
    </row>
    <row r="16">
      <c r="A16" t="inlineStr">
        <is>
          <t>k / h, the carrying a single order buys</t>
        </is>
      </c>
      <c r="B16" s="7">
        <f>B5/B8</f>
        <v/>
      </c>
    </row>
    <row r="17">
      <c r="A17" t="inlineStr">
        <is>
          <t>First month whose requirement forces an order</t>
        </is>
      </c>
      <c r="B17" s="7">
        <f>IF(COUNT(G31:G42)=0,"none",MIN(G31:G42))</f>
        <v/>
      </c>
    </row>
    <row r="18">
      <c r="A18" s="2" t="inlineStr">
        <is>
          <t>Section 5.3: a requirement larger than k/h cannot be carried in from any earlier month.</t>
        </is>
      </c>
    </row>
    <row r="20">
      <c r="A20" s="3" t="inlineStr">
        <is>
          <t>THE ECONOMIC ORDER QUANTITY, FOR COMPARISON</t>
        </is>
      </c>
    </row>
    <row r="21">
      <c r="A21" t="inlineStr">
        <is>
          <t>EOQ on the average requirement</t>
        </is>
      </c>
      <c r="B21" s="11">
        <f>SQRT(2*B5*B13/B8)</f>
        <v/>
      </c>
    </row>
    <row r="22">
      <c r="A22" t="inlineStr">
        <is>
          <t>As a time supply, months</t>
        </is>
      </c>
      <c r="B22" s="12">
        <f>B21/B13</f>
        <v/>
      </c>
    </row>
    <row r="23">
      <c r="A23" t="inlineStr">
        <is>
          <t>Rounded to whole months</t>
        </is>
      </c>
      <c r="B23" s="7">
        <f>MAX(1,ROUND(B22,0))</f>
        <v/>
      </c>
    </row>
    <row r="25">
      <c r="A25" s="3" t="inlineStr">
        <is>
          <t>CHECK      with the data as shipped</t>
        </is>
      </c>
    </row>
    <row r="26">
      <c r="A26" s="2" t="inlineStr">
        <is>
          <t>Total 1,840 belts; average 153.3333; variability coefficient 0.6191; k/h = 300;</t>
        </is>
      </c>
    </row>
    <row r="27">
      <c r="A27" s="2" t="inlineStr">
        <is>
          <t>the first forced month is 5; EOQ 303.3 belts, 1.98 months, rounding to 2.</t>
        </is>
      </c>
    </row>
    <row r="29">
      <c r="A29" s="3" t="inlineStr">
        <is>
          <t>REQUIREMENTS      type over column B to change the pattern</t>
        </is>
      </c>
    </row>
    <row r="30">
      <c r="A30" s="13" t="inlineStr">
        <is>
          <t>Month t</t>
        </is>
      </c>
      <c r="B30" s="13" t="inlineStr">
        <is>
          <t>Requirement d(t)</t>
        </is>
      </c>
      <c r="C30" s="13" t="inlineStr">
        <is>
          <t>Order cost k(t)</t>
        </is>
      </c>
      <c r="D30" s="13" t="inlineStr">
        <is>
          <t>Unit cost c(t)</t>
        </is>
      </c>
      <c r="E30" s="14" t="inlineStr">
        <is>
          <t>Holding rate h(t)</t>
        </is>
      </c>
      <c r="F30" s="15" t="inlineStr">
        <is>
          <t>(d(t) - mean)^2</t>
        </is>
      </c>
      <c r="G30" s="15" t="inlineStr">
        <is>
          <t>Forced?</t>
        </is>
      </c>
    </row>
    <row r="31">
      <c r="A31" t="n">
        <v>1</v>
      </c>
      <c r="B31" s="16" t="n">
        <v>40</v>
      </c>
      <c r="C31" s="6">
        <f>$B$5</f>
        <v/>
      </c>
      <c r="D31" s="6">
        <f>$B$6</f>
        <v/>
      </c>
      <c r="E31" s="17">
        <f>$B$8</f>
        <v/>
      </c>
      <c r="F31" s="18">
        <f>(B31-$B$13)^2</f>
        <v/>
      </c>
      <c r="G31" s="19">
        <f>IF(B31*$B$8&gt;$B$5,A31,"")</f>
        <v/>
      </c>
    </row>
    <row r="32">
      <c r="A32" t="n">
        <v>2</v>
      </c>
      <c r="B32" s="16" t="n">
        <v>60</v>
      </c>
      <c r="C32" s="6">
        <f>$B$5</f>
        <v/>
      </c>
      <c r="D32" s="6">
        <f>$B$6</f>
        <v/>
      </c>
      <c r="E32" s="17">
        <f>$B$8</f>
        <v/>
      </c>
      <c r="F32" s="18">
        <f>(B32-$B$13)^2</f>
        <v/>
      </c>
      <c r="G32" s="19">
        <f>IF(B32*$B$8&gt;$B$5,A32,"")</f>
        <v/>
      </c>
    </row>
    <row r="33">
      <c r="A33" t="n">
        <v>3</v>
      </c>
      <c r="B33" s="16" t="n">
        <v>120</v>
      </c>
      <c r="C33" s="6">
        <f>$B$5</f>
        <v/>
      </c>
      <c r="D33" s="6">
        <f>$B$6</f>
        <v/>
      </c>
      <c r="E33" s="17">
        <f>$B$8</f>
        <v/>
      </c>
      <c r="F33" s="18">
        <f>(B33-$B$13)^2</f>
        <v/>
      </c>
      <c r="G33" s="19">
        <f>IF(B33*$B$8&gt;$B$5,A33,"")</f>
        <v/>
      </c>
    </row>
    <row r="34">
      <c r="A34" t="n">
        <v>4</v>
      </c>
      <c r="B34" s="16" t="n">
        <v>300</v>
      </c>
      <c r="C34" s="6">
        <f>$B$5</f>
        <v/>
      </c>
      <c r="D34" s="6">
        <f>$B$6</f>
        <v/>
      </c>
      <c r="E34" s="17">
        <f>$B$8</f>
        <v/>
      </c>
      <c r="F34" s="18">
        <f>(B34-$B$13)^2</f>
        <v/>
      </c>
      <c r="G34" s="19">
        <f>IF(B34*$B$8&gt;$B$5,A34,"")</f>
        <v/>
      </c>
    </row>
    <row r="35">
      <c r="A35" t="n">
        <v>5</v>
      </c>
      <c r="B35" s="16" t="n">
        <v>420</v>
      </c>
      <c r="C35" s="6">
        <f>$B$5</f>
        <v/>
      </c>
      <c r="D35" s="6">
        <f>$B$6</f>
        <v/>
      </c>
      <c r="E35" s="17">
        <f>$B$8</f>
        <v/>
      </c>
      <c r="F35" s="18">
        <f>(B35-$B$13)^2</f>
        <v/>
      </c>
      <c r="G35" s="19">
        <f>IF(B35*$B$8&gt;$B$5,A35,"")</f>
        <v/>
      </c>
    </row>
    <row r="36">
      <c r="A36" t="n">
        <v>6</v>
      </c>
      <c r="B36" s="16" t="n">
        <v>260</v>
      </c>
      <c r="C36" s="6">
        <f>$B$5</f>
        <v/>
      </c>
      <c r="D36" s="6">
        <f>$B$6</f>
        <v/>
      </c>
      <c r="E36" s="17">
        <f>$B$8</f>
        <v/>
      </c>
      <c r="F36" s="18">
        <f>(B36-$B$13)^2</f>
        <v/>
      </c>
      <c r="G36" s="19">
        <f>IF(B36*$B$8&gt;$B$5,A36,"")</f>
        <v/>
      </c>
    </row>
    <row r="37">
      <c r="A37" t="n">
        <v>7</v>
      </c>
      <c r="B37" s="16" t="n">
        <v>120</v>
      </c>
      <c r="C37" s="6">
        <f>$B$5</f>
        <v/>
      </c>
      <c r="D37" s="6">
        <f>$B$6</f>
        <v/>
      </c>
      <c r="E37" s="17">
        <f>$B$8</f>
        <v/>
      </c>
      <c r="F37" s="18">
        <f>(B37-$B$13)^2</f>
        <v/>
      </c>
      <c r="G37" s="19">
        <f>IF(B37*$B$8&gt;$B$5,A37,"")</f>
        <v/>
      </c>
    </row>
    <row r="38">
      <c r="A38" t="n">
        <v>8</v>
      </c>
      <c r="B38" s="16" t="n">
        <v>40</v>
      </c>
      <c r="C38" s="6">
        <f>$B$5</f>
        <v/>
      </c>
      <c r="D38" s="6">
        <f>$B$6</f>
        <v/>
      </c>
      <c r="E38" s="17">
        <f>$B$8</f>
        <v/>
      </c>
      <c r="F38" s="18">
        <f>(B38-$B$13)^2</f>
        <v/>
      </c>
      <c r="G38" s="19">
        <f>IF(B38*$B$8&gt;$B$5,A38,"")</f>
        <v/>
      </c>
    </row>
    <row r="39">
      <c r="A39" t="n">
        <v>9</v>
      </c>
      <c r="B39" s="16" t="n">
        <v>0</v>
      </c>
      <c r="C39" s="6">
        <f>$B$5</f>
        <v/>
      </c>
      <c r="D39" s="6">
        <f>$B$6</f>
        <v/>
      </c>
      <c r="E39" s="17">
        <f>$B$8</f>
        <v/>
      </c>
      <c r="F39" s="18">
        <f>(B39-$B$13)^2</f>
        <v/>
      </c>
      <c r="G39" s="19">
        <f>IF(B39*$B$8&gt;$B$5,A39,"")</f>
        <v/>
      </c>
    </row>
    <row r="40">
      <c r="A40" t="n">
        <v>10</v>
      </c>
      <c r="B40" s="16" t="n">
        <v>80</v>
      </c>
      <c r="C40" s="6">
        <f>$B$5</f>
        <v/>
      </c>
      <c r="D40" s="6">
        <f>$B$6</f>
        <v/>
      </c>
      <c r="E40" s="17">
        <f>$B$8</f>
        <v/>
      </c>
      <c r="F40" s="18">
        <f>(B40-$B$13)^2</f>
        <v/>
      </c>
      <c r="G40" s="19">
        <f>IF(B40*$B$8&gt;$B$5,A40,"")</f>
        <v/>
      </c>
    </row>
    <row r="41">
      <c r="A41" t="n">
        <v>11</v>
      </c>
      <c r="B41" s="16" t="n">
        <v>180</v>
      </c>
      <c r="C41" s="6">
        <f>$B$5</f>
        <v/>
      </c>
      <c r="D41" s="6">
        <f>$B$6</f>
        <v/>
      </c>
      <c r="E41" s="17">
        <f>$B$8</f>
        <v/>
      </c>
      <c r="F41" s="18">
        <f>(B41-$B$13)^2</f>
        <v/>
      </c>
      <c r="G41" s="19">
        <f>IF(B41*$B$8&gt;$B$5,A41,"")</f>
        <v/>
      </c>
    </row>
    <row r="42">
      <c r="A42" t="n">
        <v>12</v>
      </c>
      <c r="B42" s="16" t="n">
        <v>220</v>
      </c>
      <c r="C42" s="6">
        <f>$B$5</f>
        <v/>
      </c>
      <c r="D42" s="6">
        <f>$B$6</f>
        <v/>
      </c>
      <c r="E42" s="17">
        <f>$B$8</f>
        <v/>
      </c>
      <c r="F42" s="18">
        <f>(B42-$B$13)^2</f>
        <v/>
      </c>
      <c r="G42" s="19">
        <f>IF(B42*$B$8&gt;$B$5,A42,"")</f>
        <v/>
      </c>
    </row>
    <row r="44">
      <c r="A44" s="2" t="inlineStr">
        <is>
          <t>The cost columns point at the inputs above, so a constant-cost problem is typed once.</t>
        </is>
      </c>
    </row>
    <row r="45">
      <c r="A45" s="2" t="inlineStr">
        <is>
          <t>Type a number over one of them to make that month's cost differ, which is the case of Section 5.2.</t>
        </is>
      </c>
    </row>
    <row r="46">
      <c r="A46" s="2" t="inlineStr">
        <is>
          <t>Columns F and G feed the variability coefficient and the forced month. They are not data.</t>
        </is>
      </c>
    </row>
  </sheetData>
  <pageMargins left="0.75" right="0.75" top="1" bottom="1" header="0.5" footer="0.5"/>
  <drawing r:id="rId1"/>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3"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s>
  <sheetData>
    <row r="1">
      <c r="A1" s="1" t="inlineStr">
        <is>
          <t>What a plan costs</t>
        </is>
      </c>
    </row>
    <row r="2">
      <c r="A2" s="2" t="inlineStr">
        <is>
          <t>Chapter 5, section 5.2. Each plan owns an order column. Type over one and the results above it move.</t>
        </is>
      </c>
    </row>
    <row r="4">
      <c r="A4" s="3" t="inlineStr">
        <is>
          <t>RESULTS</t>
        </is>
      </c>
    </row>
    <row r="5">
      <c r="B5" s="20" t="n"/>
      <c r="C5" s="13" t="inlineStr">
        <is>
          <t>Lot-for-lot</t>
        </is>
      </c>
      <c r="D5" s="20" t="n"/>
      <c r="E5" s="13" t="inlineStr">
        <is>
          <t>Adjusted EOQ</t>
        </is>
      </c>
      <c r="F5" s="20" t="n"/>
      <c r="G5" s="13" t="inlineStr">
        <is>
          <t>Periodic, T = 2</t>
        </is>
      </c>
      <c r="H5" s="20" t="n"/>
      <c r="I5" s="13" t="inlineStr">
        <is>
          <t>Your plan</t>
        </is>
      </c>
    </row>
    <row r="6">
      <c r="A6" t="inlineStr">
        <is>
          <t>Orders placed</t>
        </is>
      </c>
      <c r="B6" s="20" t="n"/>
      <c r="C6" s="7">
        <f>COUNTIF(C19:C30,"&gt;0")</f>
        <v/>
      </c>
      <c r="D6" s="20" t="n"/>
      <c r="E6" s="7">
        <f>COUNTIF(E19:E30,"&gt;0")</f>
        <v/>
      </c>
      <c r="F6" s="20" t="n"/>
      <c r="G6" s="7">
        <f>COUNTIF(G19:G30,"&gt;0")</f>
        <v/>
      </c>
      <c r="H6" s="20" t="n"/>
      <c r="I6" s="7">
        <f>COUNTIF(I19:I30,"&gt;0")</f>
        <v/>
      </c>
    </row>
    <row r="7">
      <c r="A7" t="inlineStr">
        <is>
          <t>Setup cost</t>
        </is>
      </c>
      <c r="B7" s="20" t="n"/>
      <c r="C7" s="6">
        <f>Data!$B$5*COUNTIF(C19:C30,"&gt;0")</f>
        <v/>
      </c>
      <c r="D7" s="20" t="n"/>
      <c r="E7" s="6">
        <f>Data!$B$5*COUNTIF(E19:E30,"&gt;0")</f>
        <v/>
      </c>
      <c r="F7" s="20" t="n"/>
      <c r="G7" s="6">
        <f>Data!$B$5*COUNTIF(G19:G30,"&gt;0")</f>
        <v/>
      </c>
      <c r="H7" s="20" t="n"/>
      <c r="I7" s="6">
        <f>Data!$B$5*COUNTIF(I19:I30,"&gt;0")</f>
        <v/>
      </c>
    </row>
    <row r="8">
      <c r="A8" t="inlineStr">
        <is>
          <t>Carrying cost</t>
        </is>
      </c>
      <c r="B8" s="20" t="n"/>
      <c r="C8" s="6">
        <f>SUMPRODUCT(Dls_h,D19:D30)</f>
        <v/>
      </c>
      <c r="D8" s="20" t="n"/>
      <c r="E8" s="6">
        <f>SUMPRODUCT(Dls_h,F19:F30)</f>
        <v/>
      </c>
      <c r="F8" s="20" t="n"/>
      <c r="G8" s="6">
        <f>SUMPRODUCT(Dls_h,H19:H30)</f>
        <v/>
      </c>
      <c r="H8" s="20" t="n"/>
      <c r="I8" s="6">
        <f>SUMPRODUCT(Dls_h,J19:J30)</f>
        <v/>
      </c>
    </row>
    <row r="9">
      <c r="A9" t="inlineStr">
        <is>
          <t>Purchase cost</t>
        </is>
      </c>
      <c r="B9" s="20" t="n"/>
      <c r="C9" s="6">
        <f>SUMPRODUCT(Dls_c,C19:C30)</f>
        <v/>
      </c>
      <c r="D9" s="20" t="n"/>
      <c r="E9" s="6">
        <f>SUMPRODUCT(Dls_c,E19:E30)</f>
        <v/>
      </c>
      <c r="F9" s="20" t="n"/>
      <c r="G9" s="6">
        <f>SUMPRODUCT(Dls_c,G19:G30)</f>
        <v/>
      </c>
      <c r="H9" s="20" t="n"/>
      <c r="I9" s="6">
        <f>SUMPRODUCT(Dls_c,I19:I30)</f>
        <v/>
      </c>
    </row>
    <row r="10">
      <c r="A10" t="inlineStr">
        <is>
          <t>Relevant cost</t>
        </is>
      </c>
      <c r="B10" s="20" t="n"/>
      <c r="C10" s="6">
        <f>C7+C8</f>
        <v/>
      </c>
      <c r="D10" s="20" t="n"/>
      <c r="E10" s="6">
        <f>E7+E8</f>
        <v/>
      </c>
      <c r="F10" s="20" t="n"/>
      <c r="G10" s="6">
        <f>G7+G8</f>
        <v/>
      </c>
      <c r="H10" s="20" t="n"/>
      <c r="I10" s="6">
        <f>I7+I8</f>
        <v/>
      </c>
    </row>
    <row r="11">
      <c r="A11" t="inlineStr">
        <is>
          <t>Total cost</t>
        </is>
      </c>
      <c r="B11" s="20" t="n"/>
      <c r="C11" s="6">
        <f>C10+C9</f>
        <v/>
      </c>
      <c r="D11" s="20" t="n"/>
      <c r="E11" s="6">
        <f>E10+E9</f>
        <v/>
      </c>
      <c r="F11" s="20" t="n"/>
      <c r="G11" s="6">
        <f>G10+G9</f>
        <v/>
      </c>
      <c r="H11" s="20" t="n"/>
      <c r="I11" s="6">
        <f>I10+I9</f>
        <v/>
      </c>
    </row>
    <row r="12">
      <c r="A12" t="inlineStr">
        <is>
          <t>Penalty against the optimum</t>
        </is>
      </c>
      <c r="B12" s="20" t="n"/>
      <c r="C12" s="21">
        <f>C10/WagnerWhitin!$B$5-1</f>
        <v/>
      </c>
      <c r="D12" s="20" t="n"/>
      <c r="E12" s="21">
        <f>E10/WagnerWhitin!$B$5-1</f>
        <v/>
      </c>
      <c r="F12" s="20" t="n"/>
      <c r="G12" s="21">
        <f>G10/WagnerWhitin!$B$5-1</f>
        <v/>
      </c>
      <c r="H12" s="20" t="n"/>
      <c r="I12" s="21">
        <f>I10/WagnerWhitin!$B$5-1</f>
        <v/>
      </c>
    </row>
    <row r="14">
      <c r="A14" s="3" t="inlineStr">
        <is>
          <t>CHECK      with the data as shipped</t>
        </is>
      </c>
    </row>
    <row r="15">
      <c r="A15" s="2" t="inlineStr">
        <is>
          <t>Lot-for-lot: eleven orders, $3,300 of setup, nothing carried, 33.06% above the optimum.</t>
        </is>
      </c>
    </row>
    <row r="16">
      <c r="A16" s="2" t="inlineStr">
        <is>
          <t>Adjusted EOQ: six orders, $1,800 and $800, for $2,600 and 4.84%. Periodic: $1,800 and $960, for $2,760 and 11.29%.</t>
        </is>
      </c>
    </row>
    <row r="17">
      <c r="A17" s="3" t="inlineStr">
        <is>
          <t>THE LEDGER      one row per month</t>
        </is>
      </c>
    </row>
    <row r="18">
      <c r="A18" s="13" t="inlineStr">
        <is>
          <t>Month</t>
        </is>
      </c>
      <c r="B18" s="14" t="inlineStr">
        <is>
          <t>Requirement</t>
        </is>
      </c>
      <c r="C18" s="13" t="inlineStr">
        <is>
          <t>Order</t>
        </is>
      </c>
      <c r="D18" s="14" t="inlineStr">
        <is>
          <t>End</t>
        </is>
      </c>
      <c r="E18" s="13" t="inlineStr">
        <is>
          <t>Order</t>
        </is>
      </c>
      <c r="F18" s="14" t="inlineStr">
        <is>
          <t>End</t>
        </is>
      </c>
      <c r="G18" s="13" t="inlineStr">
        <is>
          <t>Order</t>
        </is>
      </c>
      <c r="H18" s="14" t="inlineStr">
        <is>
          <t>End</t>
        </is>
      </c>
      <c r="I18" s="13" t="inlineStr">
        <is>
          <t>Order</t>
        </is>
      </c>
      <c r="J18" s="13" t="inlineStr">
        <is>
          <t>End</t>
        </is>
      </c>
    </row>
    <row r="19">
      <c r="A19" s="7">
        <f>INDEX(Dls_t,1)</f>
        <v/>
      </c>
      <c r="B19" s="22">
        <f>INDEX(Dls_d,1)</f>
        <v/>
      </c>
      <c r="C19" s="16" t="n">
        <v>40</v>
      </c>
      <c r="D19" s="22">
        <f>0+C19-$B19</f>
        <v/>
      </c>
      <c r="E19" s="16" t="n">
        <v>220</v>
      </c>
      <c r="F19" s="22">
        <f>0+E19-$B19</f>
        <v/>
      </c>
      <c r="G19" s="16" t="n">
        <v>100</v>
      </c>
      <c r="H19" s="22">
        <f>0+G19-$B19</f>
        <v/>
      </c>
      <c r="I19" s="16" t="n">
        <v>40</v>
      </c>
      <c r="J19" s="7">
        <f>0+I19-$B19</f>
        <v/>
      </c>
    </row>
    <row r="20">
      <c r="A20" s="7">
        <f>INDEX(Dls_t,2)</f>
        <v/>
      </c>
      <c r="B20" s="22">
        <f>INDEX(Dls_d,2)</f>
        <v/>
      </c>
      <c r="C20" s="16" t="n">
        <v>60</v>
      </c>
      <c r="D20" s="22">
        <f>D19+C20-$B20</f>
        <v/>
      </c>
      <c r="E20" s="16" t="n">
        <v>0</v>
      </c>
      <c r="F20" s="22">
        <f>F19+E20-$B20</f>
        <v/>
      </c>
      <c r="G20" s="16" t="n">
        <v>0</v>
      </c>
      <c r="H20" s="22">
        <f>H19+G20-$B20</f>
        <v/>
      </c>
      <c r="I20" s="16" t="n">
        <v>60</v>
      </c>
      <c r="J20" s="7">
        <f>J19+I20-$B20</f>
        <v/>
      </c>
    </row>
    <row r="21">
      <c r="A21" s="7">
        <f>INDEX(Dls_t,3)</f>
        <v/>
      </c>
      <c r="B21" s="22">
        <f>INDEX(Dls_d,3)</f>
        <v/>
      </c>
      <c r="C21" s="16" t="n">
        <v>120</v>
      </c>
      <c r="D21" s="22">
        <f>D20+C21-$B21</f>
        <v/>
      </c>
      <c r="E21" s="16" t="n">
        <v>0</v>
      </c>
      <c r="F21" s="22">
        <f>F20+E21-$B21</f>
        <v/>
      </c>
      <c r="G21" s="16" t="n">
        <v>420</v>
      </c>
      <c r="H21" s="22">
        <f>H20+G21-$B21</f>
        <v/>
      </c>
      <c r="I21" s="16" t="n">
        <v>120</v>
      </c>
      <c r="J21" s="7">
        <f>J20+I21-$B21</f>
        <v/>
      </c>
    </row>
    <row r="22">
      <c r="A22" s="7">
        <f>INDEX(Dls_t,4)</f>
        <v/>
      </c>
      <c r="B22" s="22">
        <f>INDEX(Dls_d,4)</f>
        <v/>
      </c>
      <c r="C22" s="16" t="n">
        <v>300</v>
      </c>
      <c r="D22" s="22">
        <f>D21+C22-$B22</f>
        <v/>
      </c>
      <c r="E22" s="16" t="n">
        <v>300</v>
      </c>
      <c r="F22" s="22">
        <f>F21+E22-$B22</f>
        <v/>
      </c>
      <c r="G22" s="16" t="n">
        <v>0</v>
      </c>
      <c r="H22" s="22">
        <f>H21+G22-$B22</f>
        <v/>
      </c>
      <c r="I22" s="16" t="n">
        <v>300</v>
      </c>
      <c r="J22" s="7">
        <f>J21+I22-$B22</f>
        <v/>
      </c>
    </row>
    <row r="23">
      <c r="A23" s="7">
        <f>INDEX(Dls_t,5)</f>
        <v/>
      </c>
      <c r="B23" s="22">
        <f>INDEX(Dls_d,5)</f>
        <v/>
      </c>
      <c r="C23" s="16" t="n">
        <v>420</v>
      </c>
      <c r="D23" s="22">
        <f>D22+C23-$B23</f>
        <v/>
      </c>
      <c r="E23" s="16" t="n">
        <v>420</v>
      </c>
      <c r="F23" s="22">
        <f>F22+E23-$B23</f>
        <v/>
      </c>
      <c r="G23" s="16" t="n">
        <v>680</v>
      </c>
      <c r="H23" s="22">
        <f>H22+G23-$B23</f>
        <v/>
      </c>
      <c r="I23" s="16" t="n">
        <v>420</v>
      </c>
      <c r="J23" s="7">
        <f>J22+I23-$B23</f>
        <v/>
      </c>
    </row>
    <row r="24">
      <c r="A24" s="7">
        <f>INDEX(Dls_t,6)</f>
        <v/>
      </c>
      <c r="B24" s="22">
        <f>INDEX(Dls_d,6)</f>
        <v/>
      </c>
      <c r="C24" s="16" t="n">
        <v>260</v>
      </c>
      <c r="D24" s="22">
        <f>D23+C24-$B24</f>
        <v/>
      </c>
      <c r="E24" s="16" t="n">
        <v>260</v>
      </c>
      <c r="F24" s="22">
        <f>F23+E24-$B24</f>
        <v/>
      </c>
      <c r="G24" s="16" t="n">
        <v>0</v>
      </c>
      <c r="H24" s="22">
        <f>H23+G24-$B24</f>
        <v/>
      </c>
      <c r="I24" s="16" t="n">
        <v>260</v>
      </c>
      <c r="J24" s="7">
        <f>J23+I24-$B24</f>
        <v/>
      </c>
    </row>
    <row r="25">
      <c r="A25" s="7">
        <f>INDEX(Dls_t,7)</f>
        <v/>
      </c>
      <c r="B25" s="22">
        <f>INDEX(Dls_d,7)</f>
        <v/>
      </c>
      <c r="C25" s="16" t="n">
        <v>120</v>
      </c>
      <c r="D25" s="22">
        <f>D24+C25-$B25</f>
        <v/>
      </c>
      <c r="E25" s="16" t="n">
        <v>240</v>
      </c>
      <c r="F25" s="22">
        <f>F24+E25-$B25</f>
        <v/>
      </c>
      <c r="G25" s="16" t="n">
        <v>160</v>
      </c>
      <c r="H25" s="22">
        <f>H24+G25-$B25</f>
        <v/>
      </c>
      <c r="I25" s="16" t="n">
        <v>120</v>
      </c>
      <c r="J25" s="7">
        <f>J24+I25-$B25</f>
        <v/>
      </c>
    </row>
    <row r="26">
      <c r="A26" s="7">
        <f>INDEX(Dls_t,8)</f>
        <v/>
      </c>
      <c r="B26" s="22">
        <f>INDEX(Dls_d,8)</f>
        <v/>
      </c>
      <c r="C26" s="16" t="n">
        <v>40</v>
      </c>
      <c r="D26" s="22">
        <f>D25+C26-$B26</f>
        <v/>
      </c>
      <c r="E26" s="16" t="n">
        <v>0</v>
      </c>
      <c r="F26" s="22">
        <f>F25+E26-$B26</f>
        <v/>
      </c>
      <c r="G26" s="16" t="n">
        <v>0</v>
      </c>
      <c r="H26" s="22">
        <f>H25+G26-$B26</f>
        <v/>
      </c>
      <c r="I26" s="16" t="n">
        <v>40</v>
      </c>
      <c r="J26" s="7">
        <f>J25+I26-$B26</f>
        <v/>
      </c>
    </row>
    <row r="27">
      <c r="A27" s="7">
        <f>INDEX(Dls_t,9)</f>
        <v/>
      </c>
      <c r="B27" s="22">
        <f>INDEX(Dls_d,9)</f>
        <v/>
      </c>
      <c r="C27" s="16" t="n">
        <v>0</v>
      </c>
      <c r="D27" s="22">
        <f>D26+C27-$B27</f>
        <v/>
      </c>
      <c r="E27" s="16" t="n">
        <v>0</v>
      </c>
      <c r="F27" s="22">
        <f>F26+E27-$B27</f>
        <v/>
      </c>
      <c r="G27" s="16" t="n">
        <v>80</v>
      </c>
      <c r="H27" s="22">
        <f>H26+G27-$B27</f>
        <v/>
      </c>
      <c r="I27" s="16" t="n">
        <v>0</v>
      </c>
      <c r="J27" s="7">
        <f>J26+I27-$B27</f>
        <v/>
      </c>
    </row>
    <row r="28">
      <c r="A28" s="7">
        <f>INDEX(Dls_t,10)</f>
        <v/>
      </c>
      <c r="B28" s="22">
        <f>INDEX(Dls_d,10)</f>
        <v/>
      </c>
      <c r="C28" s="16" t="n">
        <v>80</v>
      </c>
      <c r="D28" s="22">
        <f>D27+C28-$B28</f>
        <v/>
      </c>
      <c r="E28" s="16" t="n">
        <v>0</v>
      </c>
      <c r="F28" s="22">
        <f>F27+E28-$B28</f>
        <v/>
      </c>
      <c r="G28" s="16" t="n">
        <v>0</v>
      </c>
      <c r="H28" s="22">
        <f>H27+G28-$B28</f>
        <v/>
      </c>
      <c r="I28" s="16" t="n">
        <v>80</v>
      </c>
      <c r="J28" s="7">
        <f>J27+I28-$B28</f>
        <v/>
      </c>
    </row>
    <row r="29">
      <c r="A29" s="7">
        <f>INDEX(Dls_t,11)</f>
        <v/>
      </c>
      <c r="B29" s="22">
        <f>INDEX(Dls_d,11)</f>
        <v/>
      </c>
      <c r="C29" s="16" t="n">
        <v>180</v>
      </c>
      <c r="D29" s="22">
        <f>D28+C29-$B29</f>
        <v/>
      </c>
      <c r="E29" s="16" t="n">
        <v>400</v>
      </c>
      <c r="F29" s="22">
        <f>F28+E29-$B29</f>
        <v/>
      </c>
      <c r="G29" s="16" t="n">
        <v>400</v>
      </c>
      <c r="H29" s="22">
        <f>H28+G29-$B29</f>
        <v/>
      </c>
      <c r="I29" s="16" t="n">
        <v>180</v>
      </c>
      <c r="J29" s="7">
        <f>J28+I29-$B29</f>
        <v/>
      </c>
    </row>
    <row r="30">
      <c r="A30" s="7">
        <f>INDEX(Dls_t,12)</f>
        <v/>
      </c>
      <c r="B30" s="22">
        <f>INDEX(Dls_d,12)</f>
        <v/>
      </c>
      <c r="C30" s="16" t="n">
        <v>220</v>
      </c>
      <c r="D30" s="22">
        <f>D29+C30-$B30</f>
        <v/>
      </c>
      <c r="E30" s="16" t="n">
        <v>0</v>
      </c>
      <c r="F30" s="22">
        <f>F29+E30-$B30</f>
        <v/>
      </c>
      <c r="G30" s="16" t="n">
        <v>0</v>
      </c>
      <c r="H30" s="22">
        <f>H29+G30-$B30</f>
        <v/>
      </c>
      <c r="I30" s="16" t="n">
        <v>220</v>
      </c>
      <c r="J30" s="7">
        <f>J29+I30-$B30</f>
        <v/>
      </c>
    </row>
    <row r="31">
      <c r="A31" s="2" t="inlineStr">
        <is>
          <t>End = previous end + order - requirement. A negative end is a shortage, which section 5.1 forbids.</t>
        </is>
      </c>
    </row>
    <row r="32">
      <c r="A32" s="2" t="inlineStr">
        <is>
          <t>Carrying cost charges the end-of-month balance, so a plan that orders only when empty carries nothing.</t>
        </is>
      </c>
    </row>
  </sheetData>
  <pageMargins left="0.75" right="0.75" top="1" bottom="1" header="0.5" footer="0.5"/>
  <drawing r:id="rId1"/>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M71"/>
  <sheetViews>
    <sheetView workbookViewId="0">
      <selection activeCell="A1" sqref="A1"/>
    </sheetView>
  </sheetViews>
  <sheetFormatPr baseColWidth="8" defaultRowHeight="15"/>
  <cols>
    <col width="4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s>
  <sheetData>
    <row r="1">
      <c r="A1" s="1" t="inlineStr">
        <is>
          <t>The optimal plan</t>
        </is>
      </c>
    </row>
    <row r="2">
      <c r="A2" s="2" t="inlineStr">
        <is>
          <t>Chapter 5, section 5.4. Nothing here is typed; everything reads the Data sheet.</t>
        </is>
      </c>
    </row>
    <row r="4">
      <c r="A4" s="3" t="inlineStr">
        <is>
          <t>RESULTS</t>
        </is>
      </c>
    </row>
    <row r="5">
      <c r="A5" t="inlineStr">
        <is>
          <t>Optimal relevant cost, V(N)</t>
        </is>
      </c>
      <c r="B5" s="6">
        <f>M32</f>
        <v/>
      </c>
    </row>
    <row r="6">
      <c r="A6" t="inlineStr">
        <is>
          <t>Orders placed</t>
        </is>
      </c>
      <c r="B6" s="7">
        <f>COUNTIF(C58:C69,"&gt;0")</f>
        <v/>
      </c>
    </row>
    <row r="7">
      <c r="A7" t="inlineStr">
        <is>
          <t>Setup cost</t>
        </is>
      </c>
      <c r="B7" s="6">
        <f>E70</f>
        <v/>
      </c>
    </row>
    <row r="8">
      <c r="A8" t="inlineStr">
        <is>
          <t>Carrying cost</t>
        </is>
      </c>
      <c r="B8" s="6">
        <f>F70</f>
        <v/>
      </c>
    </row>
    <row r="9">
      <c r="A9" t="inlineStr">
        <is>
          <t>Setup plus carrying, which must equal V(N)</t>
        </is>
      </c>
      <c r="B9" s="6">
        <f>B7+B8</f>
        <v/>
      </c>
    </row>
    <row r="11">
      <c r="A11" s="3" t="inlineStr">
        <is>
          <t>CHECK      with the data as shipped</t>
        </is>
      </c>
    </row>
    <row r="12">
      <c r="A12" s="2" t="inlineStr">
        <is>
          <t>V(12) = $2,480 in six orders: $1,800 of setup and $680 of carrying.</t>
        </is>
      </c>
    </row>
    <row r="13">
      <c r="A13" s="2" t="inlineStr">
        <is>
          <t>The orders fall in months 1, 4, 5, 6, 10 and 12, for 220, 300, 420, 420, 260 and 220 belts.</t>
        </is>
      </c>
    </row>
    <row r="14">
      <c r="A14" s="3" t="inlineStr">
        <is>
          <t>WINDOW COSTS w(t,u)      order in month t, cover through month u</t>
        </is>
      </c>
    </row>
    <row r="15">
      <c r="A15" s="23" t="inlineStr">
        <is>
          <t>t \ u</t>
        </is>
      </c>
      <c r="B15" s="13" t="n">
        <v>1</v>
      </c>
      <c r="C15" s="13" t="n">
        <v>2</v>
      </c>
      <c r="D15" s="13" t="n">
        <v>3</v>
      </c>
      <c r="E15" s="13" t="n">
        <v>4</v>
      </c>
      <c r="F15" s="13" t="n">
        <v>5</v>
      </c>
      <c r="G15" s="13" t="n">
        <v>6</v>
      </c>
      <c r="H15" s="13" t="n">
        <v>7</v>
      </c>
      <c r="I15" s="13" t="n">
        <v>8</v>
      </c>
      <c r="J15" s="13" t="n">
        <v>9</v>
      </c>
      <c r="K15" s="13" t="n">
        <v>10</v>
      </c>
      <c r="L15" s="13" t="n">
        <v>11</v>
      </c>
      <c r="M15" s="13" t="n">
        <v>12</v>
      </c>
    </row>
    <row r="16">
      <c r="A16" s="23" t="n">
        <v>1</v>
      </c>
      <c r="B16" s="24">
        <f>INDEX(Dls_k,1)</f>
        <v/>
      </c>
      <c r="C16" s="24">
        <f>B16+INDEX(Dls_d,2)*SUM(INDEX(Dls_h,2):INDEX(Dls_h,2))</f>
        <v/>
      </c>
      <c r="D16" s="24">
        <f>C16+INDEX(Dls_d,3)*SUM(INDEX(Dls_h,2):INDEX(Dls_h,3))</f>
        <v/>
      </c>
      <c r="E16" s="24">
        <f>D16+INDEX(Dls_d,4)*SUM(INDEX(Dls_h,2):INDEX(Dls_h,4))</f>
        <v/>
      </c>
      <c r="F16" s="24">
        <f>E16+INDEX(Dls_d,5)*SUM(INDEX(Dls_h,2):INDEX(Dls_h,5))</f>
        <v/>
      </c>
      <c r="G16" s="24">
        <f>F16+INDEX(Dls_d,6)*SUM(INDEX(Dls_h,2):INDEX(Dls_h,6))</f>
        <v/>
      </c>
      <c r="H16" s="24">
        <f>G16+INDEX(Dls_d,7)*SUM(INDEX(Dls_h,2):INDEX(Dls_h,7))</f>
        <v/>
      </c>
      <c r="I16" s="24">
        <f>H16+INDEX(Dls_d,8)*SUM(INDEX(Dls_h,2):INDEX(Dls_h,8))</f>
        <v/>
      </c>
      <c r="J16" s="24">
        <f>I16+INDEX(Dls_d,9)*SUM(INDEX(Dls_h,2):INDEX(Dls_h,9))</f>
        <v/>
      </c>
      <c r="K16" s="24">
        <f>J16+INDEX(Dls_d,10)*SUM(INDEX(Dls_h,2):INDEX(Dls_h,10))</f>
        <v/>
      </c>
      <c r="L16" s="24">
        <f>K16+INDEX(Dls_d,11)*SUM(INDEX(Dls_h,2):INDEX(Dls_h,11))</f>
        <v/>
      </c>
      <c r="M16" s="24">
        <f>L16+INDEX(Dls_d,12)*SUM(INDEX(Dls_h,2):INDEX(Dls_h,12))</f>
        <v/>
      </c>
    </row>
    <row r="17">
      <c r="A17" s="23" t="n">
        <v>2</v>
      </c>
      <c r="C17" s="24">
        <f>INDEX(Dls_k,2)</f>
        <v/>
      </c>
      <c r="D17" s="24">
        <f>C17+INDEX(Dls_d,3)*SUM(INDEX(Dls_h,3):INDEX(Dls_h,3))</f>
        <v/>
      </c>
      <c r="E17" s="24">
        <f>D17+INDEX(Dls_d,4)*SUM(INDEX(Dls_h,3):INDEX(Dls_h,4))</f>
        <v/>
      </c>
      <c r="F17" s="24">
        <f>E17+INDEX(Dls_d,5)*SUM(INDEX(Dls_h,3):INDEX(Dls_h,5))</f>
        <v/>
      </c>
      <c r="G17" s="24">
        <f>F17+INDEX(Dls_d,6)*SUM(INDEX(Dls_h,3):INDEX(Dls_h,6))</f>
        <v/>
      </c>
      <c r="H17" s="24">
        <f>G17+INDEX(Dls_d,7)*SUM(INDEX(Dls_h,3):INDEX(Dls_h,7))</f>
        <v/>
      </c>
      <c r="I17" s="24">
        <f>H17+INDEX(Dls_d,8)*SUM(INDEX(Dls_h,3):INDEX(Dls_h,8))</f>
        <v/>
      </c>
      <c r="J17" s="24">
        <f>I17+INDEX(Dls_d,9)*SUM(INDEX(Dls_h,3):INDEX(Dls_h,9))</f>
        <v/>
      </c>
      <c r="K17" s="24">
        <f>J17+INDEX(Dls_d,10)*SUM(INDEX(Dls_h,3):INDEX(Dls_h,10))</f>
        <v/>
      </c>
      <c r="L17" s="24">
        <f>K17+INDEX(Dls_d,11)*SUM(INDEX(Dls_h,3):INDEX(Dls_h,11))</f>
        <v/>
      </c>
      <c r="M17" s="24">
        <f>L17+INDEX(Dls_d,12)*SUM(INDEX(Dls_h,3):INDEX(Dls_h,12))</f>
        <v/>
      </c>
    </row>
    <row r="18">
      <c r="A18" s="23" t="n">
        <v>3</v>
      </c>
      <c r="D18" s="24">
        <f>INDEX(Dls_k,3)</f>
        <v/>
      </c>
      <c r="E18" s="24">
        <f>D18+INDEX(Dls_d,4)*SUM(INDEX(Dls_h,4):INDEX(Dls_h,4))</f>
        <v/>
      </c>
      <c r="F18" s="24">
        <f>E18+INDEX(Dls_d,5)*SUM(INDEX(Dls_h,4):INDEX(Dls_h,5))</f>
        <v/>
      </c>
      <c r="G18" s="24">
        <f>F18+INDEX(Dls_d,6)*SUM(INDEX(Dls_h,4):INDEX(Dls_h,6))</f>
        <v/>
      </c>
      <c r="H18" s="24">
        <f>G18+INDEX(Dls_d,7)*SUM(INDEX(Dls_h,4):INDEX(Dls_h,7))</f>
        <v/>
      </c>
      <c r="I18" s="24">
        <f>H18+INDEX(Dls_d,8)*SUM(INDEX(Dls_h,4):INDEX(Dls_h,8))</f>
        <v/>
      </c>
      <c r="J18" s="24">
        <f>I18+INDEX(Dls_d,9)*SUM(INDEX(Dls_h,4):INDEX(Dls_h,9))</f>
        <v/>
      </c>
      <c r="K18" s="24">
        <f>J18+INDEX(Dls_d,10)*SUM(INDEX(Dls_h,4):INDEX(Dls_h,10))</f>
        <v/>
      </c>
      <c r="L18" s="24">
        <f>K18+INDEX(Dls_d,11)*SUM(INDEX(Dls_h,4):INDEX(Dls_h,11))</f>
        <v/>
      </c>
      <c r="M18" s="24">
        <f>L18+INDEX(Dls_d,12)*SUM(INDEX(Dls_h,4):INDEX(Dls_h,12))</f>
        <v/>
      </c>
    </row>
    <row r="19">
      <c r="A19" s="23" t="n">
        <v>4</v>
      </c>
      <c r="E19" s="24">
        <f>INDEX(Dls_k,4)</f>
        <v/>
      </c>
      <c r="F19" s="24">
        <f>E19+INDEX(Dls_d,5)*SUM(INDEX(Dls_h,5):INDEX(Dls_h,5))</f>
        <v/>
      </c>
      <c r="G19" s="24">
        <f>F19+INDEX(Dls_d,6)*SUM(INDEX(Dls_h,5):INDEX(Dls_h,6))</f>
        <v/>
      </c>
      <c r="H19" s="24">
        <f>G19+INDEX(Dls_d,7)*SUM(INDEX(Dls_h,5):INDEX(Dls_h,7))</f>
        <v/>
      </c>
      <c r="I19" s="24">
        <f>H19+INDEX(Dls_d,8)*SUM(INDEX(Dls_h,5):INDEX(Dls_h,8))</f>
        <v/>
      </c>
      <c r="J19" s="24">
        <f>I19+INDEX(Dls_d,9)*SUM(INDEX(Dls_h,5):INDEX(Dls_h,9))</f>
        <v/>
      </c>
      <c r="K19" s="24">
        <f>J19+INDEX(Dls_d,10)*SUM(INDEX(Dls_h,5):INDEX(Dls_h,10))</f>
        <v/>
      </c>
      <c r="L19" s="24">
        <f>K19+INDEX(Dls_d,11)*SUM(INDEX(Dls_h,5):INDEX(Dls_h,11))</f>
        <v/>
      </c>
      <c r="M19" s="24">
        <f>L19+INDEX(Dls_d,12)*SUM(INDEX(Dls_h,5):INDEX(Dls_h,12))</f>
        <v/>
      </c>
    </row>
    <row r="20">
      <c r="A20" s="23" t="n">
        <v>5</v>
      </c>
      <c r="F20" s="24">
        <f>INDEX(Dls_k,5)</f>
        <v/>
      </c>
      <c r="G20" s="24">
        <f>F20+INDEX(Dls_d,6)*SUM(INDEX(Dls_h,6):INDEX(Dls_h,6))</f>
        <v/>
      </c>
      <c r="H20" s="24">
        <f>G20+INDEX(Dls_d,7)*SUM(INDEX(Dls_h,6):INDEX(Dls_h,7))</f>
        <v/>
      </c>
      <c r="I20" s="24">
        <f>H20+INDEX(Dls_d,8)*SUM(INDEX(Dls_h,6):INDEX(Dls_h,8))</f>
        <v/>
      </c>
      <c r="J20" s="24">
        <f>I20+INDEX(Dls_d,9)*SUM(INDEX(Dls_h,6):INDEX(Dls_h,9))</f>
        <v/>
      </c>
      <c r="K20" s="24">
        <f>J20+INDEX(Dls_d,10)*SUM(INDEX(Dls_h,6):INDEX(Dls_h,10))</f>
        <v/>
      </c>
      <c r="L20" s="24">
        <f>K20+INDEX(Dls_d,11)*SUM(INDEX(Dls_h,6):INDEX(Dls_h,11))</f>
        <v/>
      </c>
      <c r="M20" s="24">
        <f>L20+INDEX(Dls_d,12)*SUM(INDEX(Dls_h,6):INDEX(Dls_h,12))</f>
        <v/>
      </c>
    </row>
    <row r="21">
      <c r="A21" s="23" t="n">
        <v>6</v>
      </c>
      <c r="G21" s="24">
        <f>INDEX(Dls_k,6)</f>
        <v/>
      </c>
      <c r="H21" s="24">
        <f>G21+INDEX(Dls_d,7)*SUM(INDEX(Dls_h,7):INDEX(Dls_h,7))</f>
        <v/>
      </c>
      <c r="I21" s="24">
        <f>H21+INDEX(Dls_d,8)*SUM(INDEX(Dls_h,7):INDEX(Dls_h,8))</f>
        <v/>
      </c>
      <c r="J21" s="24">
        <f>I21+INDEX(Dls_d,9)*SUM(INDEX(Dls_h,7):INDEX(Dls_h,9))</f>
        <v/>
      </c>
      <c r="K21" s="24">
        <f>J21+INDEX(Dls_d,10)*SUM(INDEX(Dls_h,7):INDEX(Dls_h,10))</f>
        <v/>
      </c>
      <c r="L21" s="24">
        <f>K21+INDEX(Dls_d,11)*SUM(INDEX(Dls_h,7):INDEX(Dls_h,11))</f>
        <v/>
      </c>
      <c r="M21" s="24">
        <f>L21+INDEX(Dls_d,12)*SUM(INDEX(Dls_h,7):INDEX(Dls_h,12))</f>
        <v/>
      </c>
    </row>
    <row r="22">
      <c r="A22" s="23" t="n">
        <v>7</v>
      </c>
      <c r="H22" s="24">
        <f>INDEX(Dls_k,7)</f>
        <v/>
      </c>
      <c r="I22" s="24">
        <f>H22+INDEX(Dls_d,8)*SUM(INDEX(Dls_h,8):INDEX(Dls_h,8))</f>
        <v/>
      </c>
      <c r="J22" s="24">
        <f>I22+INDEX(Dls_d,9)*SUM(INDEX(Dls_h,8):INDEX(Dls_h,9))</f>
        <v/>
      </c>
      <c r="K22" s="24">
        <f>J22+INDEX(Dls_d,10)*SUM(INDEX(Dls_h,8):INDEX(Dls_h,10))</f>
        <v/>
      </c>
      <c r="L22" s="24">
        <f>K22+INDEX(Dls_d,11)*SUM(INDEX(Dls_h,8):INDEX(Dls_h,11))</f>
        <v/>
      </c>
      <c r="M22" s="24">
        <f>L22+INDEX(Dls_d,12)*SUM(INDEX(Dls_h,8):INDEX(Dls_h,12))</f>
        <v/>
      </c>
    </row>
    <row r="23">
      <c r="A23" s="23" t="n">
        <v>8</v>
      </c>
      <c r="I23" s="24">
        <f>INDEX(Dls_k,8)</f>
        <v/>
      </c>
      <c r="J23" s="24">
        <f>I23+INDEX(Dls_d,9)*SUM(INDEX(Dls_h,9):INDEX(Dls_h,9))</f>
        <v/>
      </c>
      <c r="K23" s="24">
        <f>J23+INDEX(Dls_d,10)*SUM(INDEX(Dls_h,9):INDEX(Dls_h,10))</f>
        <v/>
      </c>
      <c r="L23" s="24">
        <f>K23+INDEX(Dls_d,11)*SUM(INDEX(Dls_h,9):INDEX(Dls_h,11))</f>
        <v/>
      </c>
      <c r="M23" s="24">
        <f>L23+INDEX(Dls_d,12)*SUM(INDEX(Dls_h,9):INDEX(Dls_h,12))</f>
        <v/>
      </c>
    </row>
    <row r="24">
      <c r="A24" s="23" t="n">
        <v>9</v>
      </c>
      <c r="J24" s="24">
        <f>INDEX(Dls_k,9)</f>
        <v/>
      </c>
      <c r="K24" s="24">
        <f>J24+INDEX(Dls_d,10)*SUM(INDEX(Dls_h,10):INDEX(Dls_h,10))</f>
        <v/>
      </c>
      <c r="L24" s="24">
        <f>K24+INDEX(Dls_d,11)*SUM(INDEX(Dls_h,10):INDEX(Dls_h,11))</f>
        <v/>
      </c>
      <c r="M24" s="24">
        <f>L24+INDEX(Dls_d,12)*SUM(INDEX(Dls_h,10):INDEX(Dls_h,12))</f>
        <v/>
      </c>
    </row>
    <row r="25">
      <c r="A25" s="23" t="n">
        <v>10</v>
      </c>
      <c r="K25" s="24">
        <f>INDEX(Dls_k,10)</f>
        <v/>
      </c>
      <c r="L25" s="24">
        <f>K25+INDEX(Dls_d,11)*SUM(INDEX(Dls_h,11):INDEX(Dls_h,11))</f>
        <v/>
      </c>
      <c r="M25" s="24">
        <f>L25+INDEX(Dls_d,12)*SUM(INDEX(Dls_h,11):INDEX(Dls_h,12))</f>
        <v/>
      </c>
    </row>
    <row r="26">
      <c r="A26" s="23" t="n">
        <v>11</v>
      </c>
      <c r="L26" s="24">
        <f>INDEX(Dls_k,11)</f>
        <v/>
      </c>
      <c r="M26" s="24">
        <f>L26+INDEX(Dls_d,12)*SUM(INDEX(Dls_h,12):INDEX(Dls_h,12))</f>
        <v/>
      </c>
    </row>
    <row r="27">
      <c r="A27" s="23" t="n">
        <v>12</v>
      </c>
      <c r="M27" s="24">
        <f>INDEX(Dls_k,12)</f>
        <v/>
      </c>
    </row>
    <row r="28">
      <c r="A28" s="2" t="inlineStr">
        <is>
          <t>Each cell adds one month to the cell on its left: the new requirement, carried from the order month.</t>
        </is>
      </c>
    </row>
    <row r="29">
      <c r="A29" s="3" t="inlineStr">
        <is>
          <t>THE RECURSION      V(u) = the least of V(t-1) + w(t,u) over the months t that could start the last order</t>
        </is>
      </c>
    </row>
    <row r="31">
      <c r="A31" s="23" t="inlineStr">
        <is>
          <t>month u</t>
        </is>
      </c>
      <c r="B31" s="13" t="n">
        <v>1</v>
      </c>
      <c r="C31" s="13" t="n">
        <v>2</v>
      </c>
      <c r="D31" s="13" t="n">
        <v>3</v>
      </c>
      <c r="E31" s="13" t="n">
        <v>4</v>
      </c>
      <c r="F31" s="13" t="n">
        <v>5</v>
      </c>
      <c r="G31" s="13" t="n">
        <v>6</v>
      </c>
      <c r="H31" s="13" t="n">
        <v>7</v>
      </c>
      <c r="I31" s="13" t="n">
        <v>8</v>
      </c>
      <c r="J31" s="13" t="n">
        <v>9</v>
      </c>
      <c r="K31" s="13" t="n">
        <v>10</v>
      </c>
      <c r="L31" s="13" t="n">
        <v>11</v>
      </c>
      <c r="M31" s="13" t="n">
        <v>12</v>
      </c>
    </row>
    <row r="32">
      <c r="A32" s="23" t="inlineStr">
        <is>
          <t>V(u), the least cost through month u</t>
        </is>
      </c>
      <c r="B32" s="24">
        <f>MIN(B37:B48)</f>
        <v/>
      </c>
      <c r="C32" s="24">
        <f>MIN(C37:C48)</f>
        <v/>
      </c>
      <c r="D32" s="24">
        <f>MIN(D37:D48)</f>
        <v/>
      </c>
      <c r="E32" s="24">
        <f>MIN(E37:E48)</f>
        <v/>
      </c>
      <c r="F32" s="24">
        <f>MIN(F37:F48)</f>
        <v/>
      </c>
      <c r="G32" s="24">
        <f>MIN(G37:G48)</f>
        <v/>
      </c>
      <c r="H32" s="24">
        <f>MIN(H37:H48)</f>
        <v/>
      </c>
      <c r="I32" s="24">
        <f>MIN(I37:I48)</f>
        <v/>
      </c>
      <c r="J32" s="24">
        <f>MIN(J37:J48)</f>
        <v/>
      </c>
      <c r="K32" s="24">
        <f>MIN(K37:K48)</f>
        <v/>
      </c>
      <c r="L32" s="24">
        <f>MIN(L37:L48)</f>
        <v/>
      </c>
      <c r="M32" s="24">
        <f>MIN(M37:M48)</f>
        <v/>
      </c>
    </row>
    <row r="33">
      <c r="A33" s="23" t="inlineStr">
        <is>
          <t>S(u), the month that last order starts in</t>
        </is>
      </c>
      <c r="B33" s="7">
        <f>MATCH(B32,B37:B48,0)</f>
        <v/>
      </c>
      <c r="C33" s="7">
        <f>MATCH(C32,C37:C48,0)</f>
        <v/>
      </c>
      <c r="D33" s="7">
        <f>MATCH(D32,D37:D48,0)</f>
        <v/>
      </c>
      <c r="E33" s="7">
        <f>MATCH(E32,E37:E48,0)</f>
        <v/>
      </c>
      <c r="F33" s="7">
        <f>MATCH(F32,F37:F48,0)</f>
        <v/>
      </c>
      <c r="G33" s="7">
        <f>MATCH(G32,G37:G48,0)</f>
        <v/>
      </c>
      <c r="H33" s="7">
        <f>MATCH(H32,H37:H48,0)</f>
        <v/>
      </c>
      <c r="I33" s="7">
        <f>MATCH(I32,I37:I48,0)</f>
        <v/>
      </c>
      <c r="J33" s="7">
        <f>MATCH(J32,J37:J48,0)</f>
        <v/>
      </c>
      <c r="K33" s="7">
        <f>MATCH(K32,K37:K48,0)</f>
        <v/>
      </c>
      <c r="L33" s="7">
        <f>MATCH(L32,L37:L48,0)</f>
        <v/>
      </c>
      <c r="M33" s="7">
        <f>MATCH(M32,M37:M48,0)</f>
        <v/>
      </c>
    </row>
    <row r="34">
      <c r="A34" s="2" t="inlineStr">
        <is>
          <t>MATCH returns the first month achieving the least cost, which breaks a tie toward the earlier order.</t>
        </is>
      </c>
    </row>
    <row r="36">
      <c r="A36" s="23" t="inlineStr">
        <is>
          <t>candidate V(t-1) + w(t,u)</t>
        </is>
      </c>
      <c r="B36" s="13" t="n">
        <v>1</v>
      </c>
      <c r="C36" s="13" t="n">
        <v>2</v>
      </c>
      <c r="D36" s="13" t="n">
        <v>3</v>
      </c>
      <c r="E36" s="13" t="n">
        <v>4</v>
      </c>
      <c r="F36" s="13" t="n">
        <v>5</v>
      </c>
      <c r="G36" s="13" t="n">
        <v>6</v>
      </c>
      <c r="H36" s="13" t="n">
        <v>7</v>
      </c>
      <c r="I36" s="13" t="n">
        <v>8</v>
      </c>
      <c r="J36" s="13" t="n">
        <v>9</v>
      </c>
      <c r="K36" s="13" t="n">
        <v>10</v>
      </c>
      <c r="L36" s="13" t="n">
        <v>11</v>
      </c>
      <c r="M36" s="13" t="n">
        <v>12</v>
      </c>
    </row>
    <row r="37">
      <c r="A37" s="23" t="inlineStr">
        <is>
          <t>last order starts in month 1</t>
        </is>
      </c>
      <c r="B37" s="24">
        <f>0+B16</f>
        <v/>
      </c>
      <c r="C37" s="24">
        <f>0+C16</f>
        <v/>
      </c>
      <c r="D37" s="24">
        <f>0+D16</f>
        <v/>
      </c>
      <c r="E37" s="24">
        <f>0+E16</f>
        <v/>
      </c>
      <c r="F37" s="24">
        <f>0+F16</f>
        <v/>
      </c>
      <c r="G37" s="24">
        <f>0+G16</f>
        <v/>
      </c>
      <c r="H37" s="24">
        <f>0+H16</f>
        <v/>
      </c>
      <c r="I37" s="24">
        <f>0+I16</f>
        <v/>
      </c>
      <c r="J37" s="24">
        <f>0+J16</f>
        <v/>
      </c>
      <c r="K37" s="24">
        <f>0+K16</f>
        <v/>
      </c>
      <c r="L37" s="24">
        <f>0+L16</f>
        <v/>
      </c>
      <c r="M37" s="24">
        <f>0+M16</f>
        <v/>
      </c>
    </row>
    <row r="38">
      <c r="A38" s="23" t="inlineStr">
        <is>
          <t>last order starts in month 2</t>
        </is>
      </c>
      <c r="C38" s="24">
        <f>$B$32+C17</f>
        <v/>
      </c>
      <c r="D38" s="24">
        <f>$B$32+D17</f>
        <v/>
      </c>
      <c r="E38" s="24">
        <f>$B$32+E17</f>
        <v/>
      </c>
      <c r="F38" s="24">
        <f>$B$32+F17</f>
        <v/>
      </c>
      <c r="G38" s="24">
        <f>$B$32+G17</f>
        <v/>
      </c>
      <c r="H38" s="24">
        <f>$B$32+H17</f>
        <v/>
      </c>
      <c r="I38" s="24">
        <f>$B$32+I17</f>
        <v/>
      </c>
      <c r="J38" s="24">
        <f>$B$32+J17</f>
        <v/>
      </c>
      <c r="K38" s="24">
        <f>$B$32+K17</f>
        <v/>
      </c>
      <c r="L38" s="24">
        <f>$B$32+L17</f>
        <v/>
      </c>
      <c r="M38" s="24">
        <f>$B$32+M17</f>
        <v/>
      </c>
    </row>
    <row r="39">
      <c r="A39" s="23" t="inlineStr">
        <is>
          <t>last order starts in month 3</t>
        </is>
      </c>
      <c r="D39" s="24">
        <f>$C$32+D18</f>
        <v/>
      </c>
      <c r="E39" s="24">
        <f>$C$32+E18</f>
        <v/>
      </c>
      <c r="F39" s="24">
        <f>$C$32+F18</f>
        <v/>
      </c>
      <c r="G39" s="24">
        <f>$C$32+G18</f>
        <v/>
      </c>
      <c r="H39" s="24">
        <f>$C$32+H18</f>
        <v/>
      </c>
      <c r="I39" s="24">
        <f>$C$32+I18</f>
        <v/>
      </c>
      <c r="J39" s="24">
        <f>$C$32+J18</f>
        <v/>
      </c>
      <c r="K39" s="24">
        <f>$C$32+K18</f>
        <v/>
      </c>
      <c r="L39" s="24">
        <f>$C$32+L18</f>
        <v/>
      </c>
      <c r="M39" s="24">
        <f>$C$32+M18</f>
        <v/>
      </c>
    </row>
    <row r="40">
      <c r="A40" s="23" t="inlineStr">
        <is>
          <t>last order starts in month 4</t>
        </is>
      </c>
      <c r="E40" s="24">
        <f>$D$32+E19</f>
        <v/>
      </c>
      <c r="F40" s="24">
        <f>$D$32+F19</f>
        <v/>
      </c>
      <c r="G40" s="24">
        <f>$D$32+G19</f>
        <v/>
      </c>
      <c r="H40" s="24">
        <f>$D$32+H19</f>
        <v/>
      </c>
      <c r="I40" s="24">
        <f>$D$32+I19</f>
        <v/>
      </c>
      <c r="J40" s="24">
        <f>$D$32+J19</f>
        <v/>
      </c>
      <c r="K40" s="24">
        <f>$D$32+K19</f>
        <v/>
      </c>
      <c r="L40" s="24">
        <f>$D$32+L19</f>
        <v/>
      </c>
      <c r="M40" s="24">
        <f>$D$32+M19</f>
        <v/>
      </c>
    </row>
    <row r="41">
      <c r="A41" s="23" t="inlineStr">
        <is>
          <t>last order starts in month 5</t>
        </is>
      </c>
      <c r="F41" s="24">
        <f>$E$32+F20</f>
        <v/>
      </c>
      <c r="G41" s="24">
        <f>$E$32+G20</f>
        <v/>
      </c>
      <c r="H41" s="24">
        <f>$E$32+H20</f>
        <v/>
      </c>
      <c r="I41" s="24">
        <f>$E$32+I20</f>
        <v/>
      </c>
      <c r="J41" s="24">
        <f>$E$32+J20</f>
        <v/>
      </c>
      <c r="K41" s="24">
        <f>$E$32+K20</f>
        <v/>
      </c>
      <c r="L41" s="24">
        <f>$E$32+L20</f>
        <v/>
      </c>
      <c r="M41" s="24">
        <f>$E$32+M20</f>
        <v/>
      </c>
    </row>
    <row r="42">
      <c r="A42" s="23" t="inlineStr">
        <is>
          <t>last order starts in month 6</t>
        </is>
      </c>
      <c r="G42" s="24">
        <f>$F$32+G21</f>
        <v/>
      </c>
      <c r="H42" s="24">
        <f>$F$32+H21</f>
        <v/>
      </c>
      <c r="I42" s="24">
        <f>$F$32+I21</f>
        <v/>
      </c>
      <c r="J42" s="24">
        <f>$F$32+J21</f>
        <v/>
      </c>
      <c r="K42" s="24">
        <f>$F$32+K21</f>
        <v/>
      </c>
      <c r="L42" s="24">
        <f>$F$32+L21</f>
        <v/>
      </c>
      <c r="M42" s="24">
        <f>$F$32+M21</f>
        <v/>
      </c>
    </row>
    <row r="43">
      <c r="A43" s="23" t="inlineStr">
        <is>
          <t>last order starts in month 7</t>
        </is>
      </c>
      <c r="H43" s="24">
        <f>$G$32+H22</f>
        <v/>
      </c>
      <c r="I43" s="24">
        <f>$G$32+I22</f>
        <v/>
      </c>
      <c r="J43" s="24">
        <f>$G$32+J22</f>
        <v/>
      </c>
      <c r="K43" s="24">
        <f>$G$32+K22</f>
        <v/>
      </c>
      <c r="L43" s="24">
        <f>$G$32+L22</f>
        <v/>
      </c>
      <c r="M43" s="24">
        <f>$G$32+M22</f>
        <v/>
      </c>
    </row>
    <row r="44">
      <c r="A44" s="23" t="inlineStr">
        <is>
          <t>last order starts in month 8</t>
        </is>
      </c>
      <c r="I44" s="24">
        <f>$H$32+I23</f>
        <v/>
      </c>
      <c r="J44" s="24">
        <f>$H$32+J23</f>
        <v/>
      </c>
      <c r="K44" s="24">
        <f>$H$32+K23</f>
        <v/>
      </c>
      <c r="L44" s="24">
        <f>$H$32+L23</f>
        <v/>
      </c>
      <c r="M44" s="24">
        <f>$H$32+M23</f>
        <v/>
      </c>
    </row>
    <row r="45">
      <c r="A45" s="23" t="inlineStr">
        <is>
          <t>last order starts in month 9</t>
        </is>
      </c>
      <c r="J45" s="24">
        <f>$I$32+J24</f>
        <v/>
      </c>
      <c r="K45" s="24">
        <f>$I$32+K24</f>
        <v/>
      </c>
      <c r="L45" s="24">
        <f>$I$32+L24</f>
        <v/>
      </c>
      <c r="M45" s="24">
        <f>$I$32+M24</f>
        <v/>
      </c>
    </row>
    <row r="46">
      <c r="A46" s="23" t="inlineStr">
        <is>
          <t>last order starts in month 10</t>
        </is>
      </c>
      <c r="K46" s="24">
        <f>$J$32+K25</f>
        <v/>
      </c>
      <c r="L46" s="24">
        <f>$J$32+L25</f>
        <v/>
      </c>
      <c r="M46" s="24">
        <f>$J$32+M25</f>
        <v/>
      </c>
    </row>
    <row r="47">
      <c r="A47" s="23" t="inlineStr">
        <is>
          <t>last order starts in month 11</t>
        </is>
      </c>
      <c r="L47" s="24">
        <f>$K$32+L26</f>
        <v/>
      </c>
      <c r="M47" s="24">
        <f>$K$32+M26</f>
        <v/>
      </c>
    </row>
    <row r="48">
      <c r="A48" s="23" t="inlineStr">
        <is>
          <t>last order starts in month 12</t>
        </is>
      </c>
      <c r="M48" s="24">
        <f>$L$32+M27</f>
        <v/>
      </c>
    </row>
    <row r="49">
      <c r="A49" s="2" t="inlineStr">
        <is>
          <t>A blank means the window would have to end before it began.</t>
        </is>
      </c>
    </row>
    <row r="50">
      <c r="A50" s="3" t="inlineStr">
        <is>
          <t>THE TRACEBACK      walk the pointers backwards from month N</t>
        </is>
      </c>
    </row>
    <row r="51">
      <c r="A51" s="23" t="inlineStr">
        <is>
          <t>Step</t>
        </is>
      </c>
      <c r="B51" s="23" t="n">
        <v>1</v>
      </c>
      <c r="C51" s="23" t="n">
        <v>2</v>
      </c>
      <c r="D51" s="23" t="n">
        <v>3</v>
      </c>
      <c r="E51" s="23" t="n">
        <v>4</v>
      </c>
      <c r="F51" s="23" t="n">
        <v>5</v>
      </c>
      <c r="G51" s="23" t="n">
        <v>6</v>
      </c>
      <c r="H51" s="23" t="n">
        <v>7</v>
      </c>
      <c r="I51" s="23" t="n">
        <v>8</v>
      </c>
      <c r="J51" s="23" t="n">
        <v>9</v>
      </c>
      <c r="K51" s="23" t="n">
        <v>10</v>
      </c>
      <c r="L51" s="23" t="n">
        <v>11</v>
      </c>
      <c r="M51" s="23" t="n">
        <v>12</v>
      </c>
    </row>
    <row r="52">
      <c r="A52" s="23" t="inlineStr">
        <is>
          <t>Order starts in month</t>
        </is>
      </c>
      <c r="B52" s="25">
        <f>INDEX($B$33:$M$33,12)</f>
        <v/>
      </c>
      <c r="C52" s="25">
        <f>IF(B52="","",IF(B52&lt;=1,"",INDEX($B$33:$M$33,B52-1)))</f>
        <v/>
      </c>
      <c r="D52" s="25">
        <f>IF(C52="","",IF(C52&lt;=1,"",INDEX($B$33:$M$33,C52-1)))</f>
        <v/>
      </c>
      <c r="E52" s="25">
        <f>IF(D52="","",IF(D52&lt;=1,"",INDEX($B$33:$M$33,D52-1)))</f>
        <v/>
      </c>
      <c r="F52" s="25">
        <f>IF(E52="","",IF(E52&lt;=1,"",INDEX($B$33:$M$33,E52-1)))</f>
        <v/>
      </c>
      <c r="G52" s="25">
        <f>IF(F52="","",IF(F52&lt;=1,"",INDEX($B$33:$M$33,F52-1)))</f>
        <v/>
      </c>
      <c r="H52" s="25">
        <f>IF(G52="","",IF(G52&lt;=1,"",INDEX($B$33:$M$33,G52-1)))</f>
        <v/>
      </c>
      <c r="I52" s="25">
        <f>IF(H52="","",IF(H52&lt;=1,"",INDEX($B$33:$M$33,H52-1)))</f>
        <v/>
      </c>
      <c r="J52" s="25">
        <f>IF(I52="","",IF(I52&lt;=1,"",INDEX($B$33:$M$33,I52-1)))</f>
        <v/>
      </c>
      <c r="K52" s="25">
        <f>IF(J52="","",IF(J52&lt;=1,"",INDEX($B$33:$M$33,J52-1)))</f>
        <v/>
      </c>
      <c r="L52" s="25">
        <f>IF(K52="","",IF(K52&lt;=1,"",INDEX($B$33:$M$33,K52-1)))</f>
        <v/>
      </c>
      <c r="M52" s="25">
        <f>IF(L52="","",IF(L52&lt;=1,"",INDEX($B$33:$M$33,L52-1)))</f>
        <v/>
      </c>
    </row>
    <row r="53">
      <c r="A53" s="23" t="inlineStr">
        <is>
          <t>Covers through month</t>
        </is>
      </c>
      <c r="B53" s="7">
        <f>12</f>
        <v/>
      </c>
      <c r="C53" s="7">
        <f>IF(C52="","",B52-1)</f>
        <v/>
      </c>
      <c r="D53" s="7">
        <f>IF(D52="","",C52-1)</f>
        <v/>
      </c>
      <c r="E53" s="7">
        <f>IF(E52="","",D52-1)</f>
        <v/>
      </c>
      <c r="F53" s="7">
        <f>IF(F52="","",E52-1)</f>
        <v/>
      </c>
      <c r="G53" s="7">
        <f>IF(G52="","",F52-1)</f>
        <v/>
      </c>
      <c r="H53" s="7">
        <f>IF(H52="","",G52-1)</f>
        <v/>
      </c>
      <c r="I53" s="7">
        <f>IF(I52="","",H52-1)</f>
        <v/>
      </c>
      <c r="J53" s="7">
        <f>IF(J52="","",I52-1)</f>
        <v/>
      </c>
      <c r="K53" s="7">
        <f>IF(K52="","",J52-1)</f>
        <v/>
      </c>
      <c r="L53" s="7">
        <f>IF(L52="","",K52-1)</f>
        <v/>
      </c>
      <c r="M53" s="7">
        <f>IF(M52="","",L52-1)</f>
        <v/>
      </c>
    </row>
    <row r="54">
      <c r="A54" s="2" t="inlineStr">
        <is>
          <t>Step 1 is the last order. Each step reads the pointer of the month before the one it starts.</t>
        </is>
      </c>
    </row>
    <row r="56">
      <c r="A56" s="3" t="inlineStr">
        <is>
          <t>THE PLAN      one row per month</t>
        </is>
      </c>
    </row>
    <row r="57">
      <c r="A57" s="13" t="inlineStr">
        <is>
          <t>Month</t>
        </is>
      </c>
      <c r="B57" s="13" t="inlineStr">
        <is>
          <t>Requirement</t>
        </is>
      </c>
      <c r="C57" s="13" t="inlineStr">
        <is>
          <t>Order</t>
        </is>
      </c>
      <c r="D57" s="13" t="inlineStr">
        <is>
          <t>End</t>
        </is>
      </c>
      <c r="E57" s="13" t="inlineStr">
        <is>
          <t>Setup</t>
        </is>
      </c>
      <c r="F57" s="13" t="inlineStr">
        <is>
          <t>Carrying</t>
        </is>
      </c>
    </row>
    <row r="58">
      <c r="A58" s="7">
        <f>INDEX(Dls_t,1)</f>
        <v/>
      </c>
      <c r="B58" s="7">
        <f>INDEX(Dls_d,1)</f>
        <v/>
      </c>
      <c r="C58" s="7">
        <f>IF(COUNTIF($B$52:$M$52,A58)=0,0,SUM(INDEX(Dls_d,A58):INDEX(Dls_d,INDEX($B$53:$M$53,MATCH(A58,$B$52:$M$52,0)))))</f>
        <v/>
      </c>
      <c r="D58" s="7">
        <f>0+C58-B58</f>
        <v/>
      </c>
      <c r="E58" s="24">
        <f>IF(C58&gt;0,INDEX(Dls_k,1),0)</f>
        <v/>
      </c>
      <c r="F58" s="24">
        <f>D58*INDEX(Dls_h,1)</f>
        <v/>
      </c>
    </row>
    <row r="59">
      <c r="A59" s="7">
        <f>INDEX(Dls_t,2)</f>
        <v/>
      </c>
      <c r="B59" s="7">
        <f>INDEX(Dls_d,2)</f>
        <v/>
      </c>
      <c r="C59" s="7">
        <f>IF(COUNTIF($B$52:$M$52,A59)=0,0,SUM(INDEX(Dls_d,A59):INDEX(Dls_d,INDEX($B$53:$M$53,MATCH(A59,$B$52:$M$52,0)))))</f>
        <v/>
      </c>
      <c r="D59" s="7">
        <f>D58+C59-B59</f>
        <v/>
      </c>
      <c r="E59" s="24">
        <f>IF(C59&gt;0,INDEX(Dls_k,2),0)</f>
        <v/>
      </c>
      <c r="F59" s="24">
        <f>D59*INDEX(Dls_h,2)</f>
        <v/>
      </c>
    </row>
    <row r="60">
      <c r="A60" s="7">
        <f>INDEX(Dls_t,3)</f>
        <v/>
      </c>
      <c r="B60" s="7">
        <f>INDEX(Dls_d,3)</f>
        <v/>
      </c>
      <c r="C60" s="7">
        <f>IF(COUNTIF($B$52:$M$52,A60)=0,0,SUM(INDEX(Dls_d,A60):INDEX(Dls_d,INDEX($B$53:$M$53,MATCH(A60,$B$52:$M$52,0)))))</f>
        <v/>
      </c>
      <c r="D60" s="7">
        <f>D59+C60-B60</f>
        <v/>
      </c>
      <c r="E60" s="24">
        <f>IF(C60&gt;0,INDEX(Dls_k,3),0)</f>
        <v/>
      </c>
      <c r="F60" s="24">
        <f>D60*INDEX(Dls_h,3)</f>
        <v/>
      </c>
    </row>
    <row r="61">
      <c r="A61" s="7">
        <f>INDEX(Dls_t,4)</f>
        <v/>
      </c>
      <c r="B61" s="7">
        <f>INDEX(Dls_d,4)</f>
        <v/>
      </c>
      <c r="C61" s="7">
        <f>IF(COUNTIF($B$52:$M$52,A61)=0,0,SUM(INDEX(Dls_d,A61):INDEX(Dls_d,INDEX($B$53:$M$53,MATCH(A61,$B$52:$M$52,0)))))</f>
        <v/>
      </c>
      <c r="D61" s="7">
        <f>D60+C61-B61</f>
        <v/>
      </c>
      <c r="E61" s="24">
        <f>IF(C61&gt;0,INDEX(Dls_k,4),0)</f>
        <v/>
      </c>
      <c r="F61" s="24">
        <f>D61*INDEX(Dls_h,4)</f>
        <v/>
      </c>
    </row>
    <row r="62">
      <c r="A62" s="7">
        <f>INDEX(Dls_t,5)</f>
        <v/>
      </c>
      <c r="B62" s="7">
        <f>INDEX(Dls_d,5)</f>
        <v/>
      </c>
      <c r="C62" s="7">
        <f>IF(COUNTIF($B$52:$M$52,A62)=0,0,SUM(INDEX(Dls_d,A62):INDEX(Dls_d,INDEX($B$53:$M$53,MATCH(A62,$B$52:$M$52,0)))))</f>
        <v/>
      </c>
      <c r="D62" s="7">
        <f>D61+C62-B62</f>
        <v/>
      </c>
      <c r="E62" s="24">
        <f>IF(C62&gt;0,INDEX(Dls_k,5),0)</f>
        <v/>
      </c>
      <c r="F62" s="24">
        <f>D62*INDEX(Dls_h,5)</f>
        <v/>
      </c>
    </row>
    <row r="63">
      <c r="A63" s="7">
        <f>INDEX(Dls_t,6)</f>
        <v/>
      </c>
      <c r="B63" s="7">
        <f>INDEX(Dls_d,6)</f>
        <v/>
      </c>
      <c r="C63" s="7">
        <f>IF(COUNTIF($B$52:$M$52,A63)=0,0,SUM(INDEX(Dls_d,A63):INDEX(Dls_d,INDEX($B$53:$M$53,MATCH(A63,$B$52:$M$52,0)))))</f>
        <v/>
      </c>
      <c r="D63" s="7">
        <f>D62+C63-B63</f>
        <v/>
      </c>
      <c r="E63" s="24">
        <f>IF(C63&gt;0,INDEX(Dls_k,6),0)</f>
        <v/>
      </c>
      <c r="F63" s="24">
        <f>D63*INDEX(Dls_h,6)</f>
        <v/>
      </c>
    </row>
    <row r="64">
      <c r="A64" s="7">
        <f>INDEX(Dls_t,7)</f>
        <v/>
      </c>
      <c r="B64" s="7">
        <f>INDEX(Dls_d,7)</f>
        <v/>
      </c>
      <c r="C64" s="7">
        <f>IF(COUNTIF($B$52:$M$52,A64)=0,0,SUM(INDEX(Dls_d,A64):INDEX(Dls_d,INDEX($B$53:$M$53,MATCH(A64,$B$52:$M$52,0)))))</f>
        <v/>
      </c>
      <c r="D64" s="7">
        <f>D63+C64-B64</f>
        <v/>
      </c>
      <c r="E64" s="24">
        <f>IF(C64&gt;0,INDEX(Dls_k,7),0)</f>
        <v/>
      </c>
      <c r="F64" s="24">
        <f>D64*INDEX(Dls_h,7)</f>
        <v/>
      </c>
    </row>
    <row r="65">
      <c r="A65" s="7">
        <f>INDEX(Dls_t,8)</f>
        <v/>
      </c>
      <c r="B65" s="7">
        <f>INDEX(Dls_d,8)</f>
        <v/>
      </c>
      <c r="C65" s="7">
        <f>IF(COUNTIF($B$52:$M$52,A65)=0,0,SUM(INDEX(Dls_d,A65):INDEX(Dls_d,INDEX($B$53:$M$53,MATCH(A65,$B$52:$M$52,0)))))</f>
        <v/>
      </c>
      <c r="D65" s="7">
        <f>D64+C65-B65</f>
        <v/>
      </c>
      <c r="E65" s="24">
        <f>IF(C65&gt;0,INDEX(Dls_k,8),0)</f>
        <v/>
      </c>
      <c r="F65" s="24">
        <f>D65*INDEX(Dls_h,8)</f>
        <v/>
      </c>
    </row>
    <row r="66">
      <c r="A66" s="7">
        <f>INDEX(Dls_t,9)</f>
        <v/>
      </c>
      <c r="B66" s="7">
        <f>INDEX(Dls_d,9)</f>
        <v/>
      </c>
      <c r="C66" s="7">
        <f>IF(COUNTIF($B$52:$M$52,A66)=0,0,SUM(INDEX(Dls_d,A66):INDEX(Dls_d,INDEX($B$53:$M$53,MATCH(A66,$B$52:$M$52,0)))))</f>
        <v/>
      </c>
      <c r="D66" s="7">
        <f>D65+C66-B66</f>
        <v/>
      </c>
      <c r="E66" s="24">
        <f>IF(C66&gt;0,INDEX(Dls_k,9),0)</f>
        <v/>
      </c>
      <c r="F66" s="24">
        <f>D66*INDEX(Dls_h,9)</f>
        <v/>
      </c>
    </row>
    <row r="67">
      <c r="A67" s="7">
        <f>INDEX(Dls_t,10)</f>
        <v/>
      </c>
      <c r="B67" s="7">
        <f>INDEX(Dls_d,10)</f>
        <v/>
      </c>
      <c r="C67" s="7">
        <f>IF(COUNTIF($B$52:$M$52,A67)=0,0,SUM(INDEX(Dls_d,A67):INDEX(Dls_d,INDEX($B$53:$M$53,MATCH(A67,$B$52:$M$52,0)))))</f>
        <v/>
      </c>
      <c r="D67" s="7">
        <f>D66+C67-B67</f>
        <v/>
      </c>
      <c r="E67" s="24">
        <f>IF(C67&gt;0,INDEX(Dls_k,10),0)</f>
        <v/>
      </c>
      <c r="F67" s="24">
        <f>D67*INDEX(Dls_h,10)</f>
        <v/>
      </c>
    </row>
    <row r="68">
      <c r="A68" s="7">
        <f>INDEX(Dls_t,11)</f>
        <v/>
      </c>
      <c r="B68" s="7">
        <f>INDEX(Dls_d,11)</f>
        <v/>
      </c>
      <c r="C68" s="7">
        <f>IF(COUNTIF($B$52:$M$52,A68)=0,0,SUM(INDEX(Dls_d,A68):INDEX(Dls_d,INDEX($B$53:$M$53,MATCH(A68,$B$52:$M$52,0)))))</f>
        <v/>
      </c>
      <c r="D68" s="7">
        <f>D67+C68-B68</f>
        <v/>
      </c>
      <c r="E68" s="24">
        <f>IF(C68&gt;0,INDEX(Dls_k,11),0)</f>
        <v/>
      </c>
      <c r="F68" s="24">
        <f>D68*INDEX(Dls_h,11)</f>
        <v/>
      </c>
    </row>
    <row r="69">
      <c r="A69" s="7">
        <f>INDEX(Dls_t,12)</f>
        <v/>
      </c>
      <c r="B69" s="7">
        <f>INDEX(Dls_d,12)</f>
        <v/>
      </c>
      <c r="C69" s="7">
        <f>IF(COUNTIF($B$52:$M$52,A69)=0,0,SUM(INDEX(Dls_d,A69):INDEX(Dls_d,INDEX($B$53:$M$53,MATCH(A69,$B$52:$M$52,0)))))</f>
        <v/>
      </c>
      <c r="D69" s="7">
        <f>D68+C69-B69</f>
        <v/>
      </c>
      <c r="E69" s="24">
        <f>IF(C69&gt;0,INDEX(Dls_k,12),0)</f>
        <v/>
      </c>
      <c r="F69" s="24">
        <f>D69*INDEX(Dls_h,12)</f>
        <v/>
      </c>
    </row>
    <row r="70">
      <c r="A70" s="26" t="inlineStr">
        <is>
          <t>Total</t>
        </is>
      </c>
      <c r="E70" s="27">
        <f>SUM(E58:E69)</f>
        <v/>
      </c>
      <c r="F70" s="27">
        <f>SUM(F58:F69)</f>
        <v/>
      </c>
    </row>
    <row r="71">
      <c r="A71" s="2" t="inlineStr">
        <is>
          <t>These two totals are the setup and carrying reported at the top, and they add to V(N).</t>
        </is>
      </c>
    </row>
  </sheetData>
  <pageMargins left="0.75" right="0.75" top="1" bottom="1" header="0.5" footer="0.5"/>
  <drawing r:id="rId1"/>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AA86"/>
  <sheetViews>
    <sheetView workbookViewId="0">
      <selection activeCell="A1" sqref="A1"/>
    </sheetView>
  </sheetViews>
  <sheetFormatPr baseColWidth="8" defaultRowHeight="15"/>
  <cols>
    <col width="26" customWidth="1" min="1" max="1"/>
    <col width="11"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10" customWidth="1" min="27" max="27"/>
  </cols>
  <sheetData>
    <row r="1">
      <c r="A1" s="1" t="inlineStr">
        <is>
          <t>Three heuristics, one procedure</t>
        </is>
      </c>
    </row>
    <row r="2">
      <c r="A2" s="2" t="inlineStr">
        <is>
          <t>Chapter 5, section 5.5. Each rule extends a window from the order month until its own test says stop.</t>
        </is>
      </c>
    </row>
    <row r="4">
      <c r="A4" s="3" t="inlineStr">
        <is>
          <t>RESULTS</t>
        </is>
      </c>
    </row>
    <row r="5">
      <c r="B5" s="13" t="inlineStr">
        <is>
          <t>Silver-Meal</t>
        </is>
      </c>
      <c r="C5" s="13" t="inlineStr">
        <is>
          <t>Least unit cost</t>
        </is>
      </c>
      <c r="D5" s="13" t="inlineStr">
        <is>
          <t>Part-period balancing</t>
        </is>
      </c>
    </row>
    <row r="6">
      <c r="A6" t="inlineStr">
        <is>
          <t>Orders placed</t>
        </is>
      </c>
      <c r="B6" s="7">
        <f>COUNTIF(C73:C84,"&gt;0")</f>
        <v/>
      </c>
      <c r="C6" s="7">
        <f>COUNTIF(G73:G84,"&gt;0")</f>
        <v/>
      </c>
      <c r="D6" s="7">
        <f>COUNTIF(K73:K84,"&gt;0")</f>
        <v/>
      </c>
    </row>
    <row r="7">
      <c r="A7" t="inlineStr">
        <is>
          <t>Relevant cost</t>
        </is>
      </c>
      <c r="B7" s="6">
        <f>E85+F85</f>
        <v/>
      </c>
      <c r="C7" s="6">
        <f>I85+J85</f>
        <v/>
      </c>
      <c r="D7" s="6">
        <f>M85+N85</f>
        <v/>
      </c>
    </row>
    <row r="8">
      <c r="A8" t="inlineStr">
        <is>
          <t>Penalty against the optimum</t>
        </is>
      </c>
      <c r="B8" s="21">
        <f>B7/WagnerWhitin!$B$5-1</f>
        <v/>
      </c>
      <c r="C8" s="21">
        <f>C7/WagnerWhitin!$B$5-1</f>
        <v/>
      </c>
      <c r="D8" s="21">
        <f>D7/WagnerWhitin!$B$5-1</f>
        <v/>
      </c>
    </row>
    <row r="10">
      <c r="A10" s="3" t="inlineStr">
        <is>
          <t>CHECK      with the data as shipped</t>
        </is>
      </c>
    </row>
    <row r="11">
      <c r="A11" s="2" t="inlineStr">
        <is>
          <t>Silver-Meal $2,660, 7.26% above the optimum. Least unit cost $3,040, 22.58%.</t>
        </is>
      </c>
    </row>
    <row r="12">
      <c r="A12" s="2" t="inlineStr">
        <is>
          <t>Part-period balancing $2,600, 4.84%. All three place five orders; the optimum places six.</t>
        </is>
      </c>
    </row>
    <row r="13">
      <c r="A13" s="2" t="inlineStr">
        <is>
          <t>The optimum on the WagnerWhitin sheet is $2,480.</t>
        </is>
      </c>
    </row>
    <row r="14">
      <c r="A14" s="3" t="inlineStr">
        <is>
          <t>SILVER-MEAL      the relevant cost of the window, divided by its length</t>
        </is>
      </c>
    </row>
    <row r="15">
      <c r="A15" s="2" t="inlineStr">
        <is>
          <t>Extend while the cost per period falls. Stop at the first month that raises it.</t>
        </is>
      </c>
      <c r="O15" s="2" t="inlineStr">
        <is>
          <t>stop here?</t>
        </is>
      </c>
    </row>
    <row r="16">
      <c r="A16" s="23" t="inlineStr">
        <is>
          <t>t \ u</t>
        </is>
      </c>
      <c r="B16" s="13" t="n">
        <v>1</v>
      </c>
      <c r="C16" s="13" t="n">
        <v>2</v>
      </c>
      <c r="D16" s="13" t="n">
        <v>3</v>
      </c>
      <c r="E16" s="13" t="n">
        <v>4</v>
      </c>
      <c r="F16" s="13" t="n">
        <v>5</v>
      </c>
      <c r="G16" s="13" t="n">
        <v>6</v>
      </c>
      <c r="H16" s="13" t="n">
        <v>7</v>
      </c>
      <c r="I16" s="13" t="n">
        <v>8</v>
      </c>
      <c r="J16" s="13" t="n">
        <v>9</v>
      </c>
      <c r="K16" s="13" t="n">
        <v>10</v>
      </c>
      <c r="L16" s="13" t="n">
        <v>11</v>
      </c>
      <c r="M16" s="14" t="n">
        <v>12</v>
      </c>
      <c r="O16" s="13" t="n">
        <v>1</v>
      </c>
      <c r="P16" s="13" t="n">
        <v>2</v>
      </c>
      <c r="Q16" s="13" t="n">
        <v>3</v>
      </c>
      <c r="R16" s="13" t="n">
        <v>4</v>
      </c>
      <c r="S16" s="13" t="n">
        <v>5</v>
      </c>
      <c r="T16" s="13" t="n">
        <v>6</v>
      </c>
      <c r="U16" s="13" t="n">
        <v>7</v>
      </c>
      <c r="V16" s="13" t="n">
        <v>8</v>
      </c>
      <c r="W16" s="13" t="n">
        <v>9</v>
      </c>
      <c r="X16" s="13" t="n">
        <v>10</v>
      </c>
      <c r="Y16" s="13" t="n">
        <v>11</v>
      </c>
      <c r="Z16" s="14" t="n">
        <v>12</v>
      </c>
      <c r="AA16" s="23" t="inlineStr">
        <is>
          <t>stops at</t>
        </is>
      </c>
    </row>
    <row r="17">
      <c r="A17" s="23" t="n">
        <v>1</v>
      </c>
      <c r="B17" s="12">
        <f>WagnerWhitin!B16/1</f>
        <v/>
      </c>
      <c r="C17" s="12">
        <f>WagnerWhitin!C16/2</f>
        <v/>
      </c>
      <c r="D17" s="12">
        <f>WagnerWhitin!D16/3</f>
        <v/>
      </c>
      <c r="E17" s="12">
        <f>WagnerWhitin!E16/4</f>
        <v/>
      </c>
      <c r="F17" s="12">
        <f>WagnerWhitin!F16/5</f>
        <v/>
      </c>
      <c r="G17" s="12">
        <f>WagnerWhitin!G16/6</f>
        <v/>
      </c>
      <c r="H17" s="12">
        <f>WagnerWhitin!H16/7</f>
        <v/>
      </c>
      <c r="I17" s="12">
        <f>WagnerWhitin!I16/8</f>
        <v/>
      </c>
      <c r="J17" s="12">
        <f>WagnerWhitin!J16/9</f>
        <v/>
      </c>
      <c r="K17" s="12">
        <f>WagnerWhitin!K16/10</f>
        <v/>
      </c>
      <c r="L17" s="12">
        <f>WagnerWhitin!L16/11</f>
        <v/>
      </c>
      <c r="M17" s="28">
        <f>WagnerWhitin!M16/12</f>
        <v/>
      </c>
      <c r="O17" s="7">
        <f>IF(C17&gt;B17+0.000000001,1,0)</f>
        <v/>
      </c>
      <c r="P17" s="7">
        <f>IF(D17&gt;C17+0.000000001,1,0)</f>
        <v/>
      </c>
      <c r="Q17" s="7">
        <f>IF(E17&gt;D17+0.000000001,1,0)</f>
        <v/>
      </c>
      <c r="R17" s="7">
        <f>IF(F17&gt;E17+0.000000001,1,0)</f>
        <v/>
      </c>
      <c r="S17" s="7">
        <f>IF(G17&gt;F17+0.000000001,1,0)</f>
        <v/>
      </c>
      <c r="T17" s="7">
        <f>IF(H17&gt;G17+0.000000001,1,0)</f>
        <v/>
      </c>
      <c r="U17" s="7">
        <f>IF(I17&gt;H17+0.000000001,1,0)</f>
        <v/>
      </c>
      <c r="V17" s="7">
        <f>IF(J17&gt;I17+0.000000001,1,0)</f>
        <v/>
      </c>
      <c r="W17" s="7">
        <f>IF(K17&gt;J17+0.000000001,1,0)</f>
        <v/>
      </c>
      <c r="X17" s="7">
        <f>IF(L17&gt;K17+0.000000001,1,0)</f>
        <v/>
      </c>
      <c r="Y17" s="7">
        <f>IF(M17&gt;L17+0.000000001,1,0)</f>
        <v/>
      </c>
      <c r="Z17" s="22">
        <f>1</f>
        <v/>
      </c>
      <c r="AA17" s="25">
        <f>MATCH(1,O17:Z17,0)</f>
        <v/>
      </c>
    </row>
    <row r="18">
      <c r="A18" s="23" t="n">
        <v>2</v>
      </c>
      <c r="C18" s="12">
        <f>WagnerWhitin!C17/1</f>
        <v/>
      </c>
      <c r="D18" s="12">
        <f>WagnerWhitin!D17/2</f>
        <v/>
      </c>
      <c r="E18" s="12">
        <f>WagnerWhitin!E17/3</f>
        <v/>
      </c>
      <c r="F18" s="12">
        <f>WagnerWhitin!F17/4</f>
        <v/>
      </c>
      <c r="G18" s="12">
        <f>WagnerWhitin!G17/5</f>
        <v/>
      </c>
      <c r="H18" s="12">
        <f>WagnerWhitin!H17/6</f>
        <v/>
      </c>
      <c r="I18" s="12">
        <f>WagnerWhitin!I17/7</f>
        <v/>
      </c>
      <c r="J18" s="12">
        <f>WagnerWhitin!J17/8</f>
        <v/>
      </c>
      <c r="K18" s="12">
        <f>WagnerWhitin!K17/9</f>
        <v/>
      </c>
      <c r="L18" s="12">
        <f>WagnerWhitin!L17/10</f>
        <v/>
      </c>
      <c r="M18" s="28">
        <f>WagnerWhitin!M17/11</f>
        <v/>
      </c>
      <c r="P18" s="7">
        <f>IF(D18&gt;C18+0.000000001,1,0)</f>
        <v/>
      </c>
      <c r="Q18" s="7">
        <f>IF(E18&gt;D18+0.000000001,1,0)</f>
        <v/>
      </c>
      <c r="R18" s="7">
        <f>IF(F18&gt;E18+0.000000001,1,0)</f>
        <v/>
      </c>
      <c r="S18" s="7">
        <f>IF(G18&gt;F18+0.000000001,1,0)</f>
        <v/>
      </c>
      <c r="T18" s="7">
        <f>IF(H18&gt;G18+0.000000001,1,0)</f>
        <v/>
      </c>
      <c r="U18" s="7">
        <f>IF(I18&gt;H18+0.000000001,1,0)</f>
        <v/>
      </c>
      <c r="V18" s="7">
        <f>IF(J18&gt;I18+0.000000001,1,0)</f>
        <v/>
      </c>
      <c r="W18" s="7">
        <f>IF(K18&gt;J18+0.000000001,1,0)</f>
        <v/>
      </c>
      <c r="X18" s="7">
        <f>IF(L18&gt;K18+0.000000001,1,0)</f>
        <v/>
      </c>
      <c r="Y18" s="7">
        <f>IF(M18&gt;L18+0.000000001,1,0)</f>
        <v/>
      </c>
      <c r="Z18" s="22">
        <f>1</f>
        <v/>
      </c>
      <c r="AA18" s="25">
        <f>MATCH(1,O18:Z18,0)</f>
        <v/>
      </c>
    </row>
    <row r="19">
      <c r="A19" s="23" t="n">
        <v>3</v>
      </c>
      <c r="D19" s="12">
        <f>WagnerWhitin!D18/1</f>
        <v/>
      </c>
      <c r="E19" s="12">
        <f>WagnerWhitin!E18/2</f>
        <v/>
      </c>
      <c r="F19" s="12">
        <f>WagnerWhitin!F18/3</f>
        <v/>
      </c>
      <c r="G19" s="12">
        <f>WagnerWhitin!G18/4</f>
        <v/>
      </c>
      <c r="H19" s="12">
        <f>WagnerWhitin!H18/5</f>
        <v/>
      </c>
      <c r="I19" s="12">
        <f>WagnerWhitin!I18/6</f>
        <v/>
      </c>
      <c r="J19" s="12">
        <f>WagnerWhitin!J18/7</f>
        <v/>
      </c>
      <c r="K19" s="12">
        <f>WagnerWhitin!K18/8</f>
        <v/>
      </c>
      <c r="L19" s="12">
        <f>WagnerWhitin!L18/9</f>
        <v/>
      </c>
      <c r="M19" s="28">
        <f>WagnerWhitin!M18/10</f>
        <v/>
      </c>
      <c r="Q19" s="7">
        <f>IF(E19&gt;D19+0.000000001,1,0)</f>
        <v/>
      </c>
      <c r="R19" s="7">
        <f>IF(F19&gt;E19+0.000000001,1,0)</f>
        <v/>
      </c>
      <c r="S19" s="7">
        <f>IF(G19&gt;F19+0.000000001,1,0)</f>
        <v/>
      </c>
      <c r="T19" s="7">
        <f>IF(H19&gt;G19+0.000000001,1,0)</f>
        <v/>
      </c>
      <c r="U19" s="7">
        <f>IF(I19&gt;H19+0.000000001,1,0)</f>
        <v/>
      </c>
      <c r="V19" s="7">
        <f>IF(J19&gt;I19+0.000000001,1,0)</f>
        <v/>
      </c>
      <c r="W19" s="7">
        <f>IF(K19&gt;J19+0.000000001,1,0)</f>
        <v/>
      </c>
      <c r="X19" s="7">
        <f>IF(L19&gt;K19+0.000000001,1,0)</f>
        <v/>
      </c>
      <c r="Y19" s="7">
        <f>IF(M19&gt;L19+0.000000001,1,0)</f>
        <v/>
      </c>
      <c r="Z19" s="22">
        <f>1</f>
        <v/>
      </c>
      <c r="AA19" s="25">
        <f>MATCH(1,O19:Z19,0)</f>
        <v/>
      </c>
    </row>
    <row r="20">
      <c r="A20" s="23" t="n">
        <v>4</v>
      </c>
      <c r="E20" s="12">
        <f>WagnerWhitin!E19/1</f>
        <v/>
      </c>
      <c r="F20" s="12">
        <f>WagnerWhitin!F19/2</f>
        <v/>
      </c>
      <c r="G20" s="12">
        <f>WagnerWhitin!G19/3</f>
        <v/>
      </c>
      <c r="H20" s="12">
        <f>WagnerWhitin!H19/4</f>
        <v/>
      </c>
      <c r="I20" s="12">
        <f>WagnerWhitin!I19/5</f>
        <v/>
      </c>
      <c r="J20" s="12">
        <f>WagnerWhitin!J19/6</f>
        <v/>
      </c>
      <c r="K20" s="12">
        <f>WagnerWhitin!K19/7</f>
        <v/>
      </c>
      <c r="L20" s="12">
        <f>WagnerWhitin!L19/8</f>
        <v/>
      </c>
      <c r="M20" s="28">
        <f>WagnerWhitin!M19/9</f>
        <v/>
      </c>
      <c r="R20" s="7">
        <f>IF(F20&gt;E20+0.000000001,1,0)</f>
        <v/>
      </c>
      <c r="S20" s="7">
        <f>IF(G20&gt;F20+0.000000001,1,0)</f>
        <v/>
      </c>
      <c r="T20" s="7">
        <f>IF(H20&gt;G20+0.000000001,1,0)</f>
        <v/>
      </c>
      <c r="U20" s="7">
        <f>IF(I20&gt;H20+0.000000001,1,0)</f>
        <v/>
      </c>
      <c r="V20" s="7">
        <f>IF(J20&gt;I20+0.000000001,1,0)</f>
        <v/>
      </c>
      <c r="W20" s="7">
        <f>IF(K20&gt;J20+0.000000001,1,0)</f>
        <v/>
      </c>
      <c r="X20" s="7">
        <f>IF(L20&gt;K20+0.000000001,1,0)</f>
        <v/>
      </c>
      <c r="Y20" s="7">
        <f>IF(M20&gt;L20+0.000000001,1,0)</f>
        <v/>
      </c>
      <c r="Z20" s="22">
        <f>1</f>
        <v/>
      </c>
      <c r="AA20" s="25">
        <f>MATCH(1,O20:Z20,0)</f>
        <v/>
      </c>
    </row>
    <row r="21">
      <c r="A21" s="23" t="n">
        <v>5</v>
      </c>
      <c r="F21" s="12">
        <f>WagnerWhitin!F20/1</f>
        <v/>
      </c>
      <c r="G21" s="12">
        <f>WagnerWhitin!G20/2</f>
        <v/>
      </c>
      <c r="H21" s="12">
        <f>WagnerWhitin!H20/3</f>
        <v/>
      </c>
      <c r="I21" s="12">
        <f>WagnerWhitin!I20/4</f>
        <v/>
      </c>
      <c r="J21" s="12">
        <f>WagnerWhitin!J20/5</f>
        <v/>
      </c>
      <c r="K21" s="12">
        <f>WagnerWhitin!K20/6</f>
        <v/>
      </c>
      <c r="L21" s="12">
        <f>WagnerWhitin!L20/7</f>
        <v/>
      </c>
      <c r="M21" s="28">
        <f>WagnerWhitin!M20/8</f>
        <v/>
      </c>
      <c r="S21" s="7">
        <f>IF(G21&gt;F21+0.000000001,1,0)</f>
        <v/>
      </c>
      <c r="T21" s="7">
        <f>IF(H21&gt;G21+0.000000001,1,0)</f>
        <v/>
      </c>
      <c r="U21" s="7">
        <f>IF(I21&gt;H21+0.000000001,1,0)</f>
        <v/>
      </c>
      <c r="V21" s="7">
        <f>IF(J21&gt;I21+0.000000001,1,0)</f>
        <v/>
      </c>
      <c r="W21" s="7">
        <f>IF(K21&gt;J21+0.000000001,1,0)</f>
        <v/>
      </c>
      <c r="X21" s="7">
        <f>IF(L21&gt;K21+0.000000001,1,0)</f>
        <v/>
      </c>
      <c r="Y21" s="7">
        <f>IF(M21&gt;L21+0.000000001,1,0)</f>
        <v/>
      </c>
      <c r="Z21" s="22">
        <f>1</f>
        <v/>
      </c>
      <c r="AA21" s="25">
        <f>MATCH(1,O21:Z21,0)</f>
        <v/>
      </c>
    </row>
    <row r="22">
      <c r="A22" s="23" t="n">
        <v>6</v>
      </c>
      <c r="G22" s="12">
        <f>WagnerWhitin!G21/1</f>
        <v/>
      </c>
      <c r="H22" s="12">
        <f>WagnerWhitin!H21/2</f>
        <v/>
      </c>
      <c r="I22" s="12">
        <f>WagnerWhitin!I21/3</f>
        <v/>
      </c>
      <c r="J22" s="12">
        <f>WagnerWhitin!J21/4</f>
        <v/>
      </c>
      <c r="K22" s="12">
        <f>WagnerWhitin!K21/5</f>
        <v/>
      </c>
      <c r="L22" s="12">
        <f>WagnerWhitin!L21/6</f>
        <v/>
      </c>
      <c r="M22" s="28">
        <f>WagnerWhitin!M21/7</f>
        <v/>
      </c>
      <c r="T22" s="7">
        <f>IF(H22&gt;G22+0.000000001,1,0)</f>
        <v/>
      </c>
      <c r="U22" s="7">
        <f>IF(I22&gt;H22+0.000000001,1,0)</f>
        <v/>
      </c>
      <c r="V22" s="7">
        <f>IF(J22&gt;I22+0.000000001,1,0)</f>
        <v/>
      </c>
      <c r="W22" s="7">
        <f>IF(K22&gt;J22+0.000000001,1,0)</f>
        <v/>
      </c>
      <c r="X22" s="7">
        <f>IF(L22&gt;K22+0.000000001,1,0)</f>
        <v/>
      </c>
      <c r="Y22" s="7">
        <f>IF(M22&gt;L22+0.000000001,1,0)</f>
        <v/>
      </c>
      <c r="Z22" s="22">
        <f>1</f>
        <v/>
      </c>
      <c r="AA22" s="25">
        <f>MATCH(1,O22:Z22,0)</f>
        <v/>
      </c>
    </row>
    <row r="23">
      <c r="A23" s="23" t="n">
        <v>7</v>
      </c>
      <c r="H23" s="12">
        <f>WagnerWhitin!H22/1</f>
        <v/>
      </c>
      <c r="I23" s="12">
        <f>WagnerWhitin!I22/2</f>
        <v/>
      </c>
      <c r="J23" s="12">
        <f>WagnerWhitin!J22/3</f>
        <v/>
      </c>
      <c r="K23" s="12">
        <f>WagnerWhitin!K22/4</f>
        <v/>
      </c>
      <c r="L23" s="12">
        <f>WagnerWhitin!L22/5</f>
        <v/>
      </c>
      <c r="M23" s="28">
        <f>WagnerWhitin!M22/6</f>
        <v/>
      </c>
      <c r="U23" s="7">
        <f>IF(I23&gt;H23+0.000000001,1,0)</f>
        <v/>
      </c>
      <c r="V23" s="7">
        <f>IF(J23&gt;I23+0.000000001,1,0)</f>
        <v/>
      </c>
      <c r="W23" s="7">
        <f>IF(K23&gt;J23+0.000000001,1,0)</f>
        <v/>
      </c>
      <c r="X23" s="7">
        <f>IF(L23&gt;K23+0.000000001,1,0)</f>
        <v/>
      </c>
      <c r="Y23" s="7">
        <f>IF(M23&gt;L23+0.000000001,1,0)</f>
        <v/>
      </c>
      <c r="Z23" s="22">
        <f>1</f>
        <v/>
      </c>
      <c r="AA23" s="25">
        <f>MATCH(1,O23:Z23,0)</f>
        <v/>
      </c>
    </row>
    <row r="24">
      <c r="A24" s="23" t="n">
        <v>8</v>
      </c>
      <c r="I24" s="12">
        <f>WagnerWhitin!I23/1</f>
        <v/>
      </c>
      <c r="J24" s="12">
        <f>WagnerWhitin!J23/2</f>
        <v/>
      </c>
      <c r="K24" s="12">
        <f>WagnerWhitin!K23/3</f>
        <v/>
      </c>
      <c r="L24" s="12">
        <f>WagnerWhitin!L23/4</f>
        <v/>
      </c>
      <c r="M24" s="28">
        <f>WagnerWhitin!M23/5</f>
        <v/>
      </c>
      <c r="V24" s="7">
        <f>IF(J24&gt;I24+0.000000001,1,0)</f>
        <v/>
      </c>
      <c r="W24" s="7">
        <f>IF(K24&gt;J24+0.000000001,1,0)</f>
        <v/>
      </c>
      <c r="X24" s="7">
        <f>IF(L24&gt;K24+0.000000001,1,0)</f>
        <v/>
      </c>
      <c r="Y24" s="7">
        <f>IF(M24&gt;L24+0.000000001,1,0)</f>
        <v/>
      </c>
      <c r="Z24" s="22">
        <f>1</f>
        <v/>
      </c>
      <c r="AA24" s="25">
        <f>MATCH(1,O24:Z24,0)</f>
        <v/>
      </c>
    </row>
    <row r="25">
      <c r="A25" s="23" t="n">
        <v>9</v>
      </c>
      <c r="J25" s="12">
        <f>WagnerWhitin!J24/1</f>
        <v/>
      </c>
      <c r="K25" s="12">
        <f>WagnerWhitin!K24/2</f>
        <v/>
      </c>
      <c r="L25" s="12">
        <f>WagnerWhitin!L24/3</f>
        <v/>
      </c>
      <c r="M25" s="28">
        <f>WagnerWhitin!M24/4</f>
        <v/>
      </c>
      <c r="W25" s="7">
        <f>IF(K25&gt;J25+0.000000001,1,0)</f>
        <v/>
      </c>
      <c r="X25" s="7">
        <f>IF(L25&gt;K25+0.000000001,1,0)</f>
        <v/>
      </c>
      <c r="Y25" s="7">
        <f>IF(M25&gt;L25+0.000000001,1,0)</f>
        <v/>
      </c>
      <c r="Z25" s="22">
        <f>1</f>
        <v/>
      </c>
      <c r="AA25" s="25">
        <f>MATCH(1,O25:Z25,0)</f>
        <v/>
      </c>
    </row>
    <row r="26">
      <c r="A26" s="23" t="n">
        <v>10</v>
      </c>
      <c r="K26" s="12">
        <f>WagnerWhitin!K25/1</f>
        <v/>
      </c>
      <c r="L26" s="12">
        <f>WagnerWhitin!L25/2</f>
        <v/>
      </c>
      <c r="M26" s="28">
        <f>WagnerWhitin!M25/3</f>
        <v/>
      </c>
      <c r="X26" s="7">
        <f>IF(L26&gt;K26+0.000000001,1,0)</f>
        <v/>
      </c>
      <c r="Y26" s="7">
        <f>IF(M26&gt;L26+0.000000001,1,0)</f>
        <v/>
      </c>
      <c r="Z26" s="22">
        <f>1</f>
        <v/>
      </c>
      <c r="AA26" s="25">
        <f>MATCH(1,O26:Z26,0)</f>
        <v/>
      </c>
    </row>
    <row r="27">
      <c r="A27" s="23" t="n">
        <v>11</v>
      </c>
      <c r="L27" s="12">
        <f>WagnerWhitin!L26/1</f>
        <v/>
      </c>
      <c r="M27" s="28">
        <f>WagnerWhitin!M26/2</f>
        <v/>
      </c>
      <c r="Y27" s="7">
        <f>IF(M27&gt;L27+0.000000001,1,0)</f>
        <v/>
      </c>
      <c r="Z27" s="22">
        <f>1</f>
        <v/>
      </c>
      <c r="AA27" s="25">
        <f>MATCH(1,O27:Z27,0)</f>
        <v/>
      </c>
    </row>
    <row r="28">
      <c r="A28" s="23" t="n">
        <v>12</v>
      </c>
      <c r="M28" s="28">
        <f>WagnerWhitin!M27/1</f>
        <v/>
      </c>
      <c r="Z28" s="22">
        <f>1</f>
        <v/>
      </c>
      <c r="AA28" s="25">
        <f>MATCH(1,O28:Z28,0)</f>
        <v/>
      </c>
    </row>
    <row r="30">
      <c r="A30" s="3" t="inlineStr">
        <is>
          <t>LEAST UNIT COST      the relevant cost of the window, divided by the units it covers</t>
        </is>
      </c>
    </row>
    <row r="31">
      <c r="A31" s="2" t="inlineStr">
        <is>
          <t>A window covering no units has no cost per unit, so it is left blank and stepped over.</t>
        </is>
      </c>
      <c r="O31" s="2" t="inlineStr">
        <is>
          <t>stop here?</t>
        </is>
      </c>
    </row>
    <row r="32">
      <c r="A32" s="23" t="inlineStr">
        <is>
          <t>t \ u</t>
        </is>
      </c>
      <c r="B32" s="13" t="n">
        <v>1</v>
      </c>
      <c r="C32" s="13" t="n">
        <v>2</v>
      </c>
      <c r="D32" s="13" t="n">
        <v>3</v>
      </c>
      <c r="E32" s="13" t="n">
        <v>4</v>
      </c>
      <c r="F32" s="13" t="n">
        <v>5</v>
      </c>
      <c r="G32" s="13" t="n">
        <v>6</v>
      </c>
      <c r="H32" s="13" t="n">
        <v>7</v>
      </c>
      <c r="I32" s="13" t="n">
        <v>8</v>
      </c>
      <c r="J32" s="13" t="n">
        <v>9</v>
      </c>
      <c r="K32" s="13" t="n">
        <v>10</v>
      </c>
      <c r="L32" s="13" t="n">
        <v>11</v>
      </c>
      <c r="M32" s="14" t="n">
        <v>12</v>
      </c>
      <c r="O32" s="13" t="n">
        <v>1</v>
      </c>
      <c r="P32" s="13" t="n">
        <v>2</v>
      </c>
      <c r="Q32" s="13" t="n">
        <v>3</v>
      </c>
      <c r="R32" s="13" t="n">
        <v>4</v>
      </c>
      <c r="S32" s="13" t="n">
        <v>5</v>
      </c>
      <c r="T32" s="13" t="n">
        <v>6</v>
      </c>
      <c r="U32" s="13" t="n">
        <v>7</v>
      </c>
      <c r="V32" s="13" t="n">
        <v>8</v>
      </c>
      <c r="W32" s="13" t="n">
        <v>9</v>
      </c>
      <c r="X32" s="13" t="n">
        <v>10</v>
      </c>
      <c r="Y32" s="13" t="n">
        <v>11</v>
      </c>
      <c r="Z32" s="14" t="n">
        <v>12</v>
      </c>
      <c r="AA32" s="23" t="inlineStr">
        <is>
          <t>stops at</t>
        </is>
      </c>
    </row>
    <row r="33">
      <c r="A33" s="23" t="n">
        <v>1</v>
      </c>
      <c r="B33" s="12">
        <f>IF(SUM(INDEX(Dls_d,1):INDEX(Dls_d,1))=0,"",WagnerWhitin!B16/SUM(INDEX(Dls_d,1):INDEX(Dls_d,1)))</f>
        <v/>
      </c>
      <c r="C33" s="12">
        <f>IF(SUM(INDEX(Dls_d,1):INDEX(Dls_d,2))=0,"",WagnerWhitin!C16/SUM(INDEX(Dls_d,1):INDEX(Dls_d,2)))</f>
        <v/>
      </c>
      <c r="D33" s="12">
        <f>IF(SUM(INDEX(Dls_d,1):INDEX(Dls_d,3))=0,"",WagnerWhitin!D16/SUM(INDEX(Dls_d,1):INDEX(Dls_d,3)))</f>
        <v/>
      </c>
      <c r="E33" s="12">
        <f>IF(SUM(INDEX(Dls_d,1):INDEX(Dls_d,4))=0,"",WagnerWhitin!E16/SUM(INDEX(Dls_d,1):INDEX(Dls_d,4)))</f>
        <v/>
      </c>
      <c r="F33" s="12">
        <f>IF(SUM(INDEX(Dls_d,1):INDEX(Dls_d,5))=0,"",WagnerWhitin!F16/SUM(INDEX(Dls_d,1):INDEX(Dls_d,5)))</f>
        <v/>
      </c>
      <c r="G33" s="12">
        <f>IF(SUM(INDEX(Dls_d,1):INDEX(Dls_d,6))=0,"",WagnerWhitin!G16/SUM(INDEX(Dls_d,1):INDEX(Dls_d,6)))</f>
        <v/>
      </c>
      <c r="H33" s="12">
        <f>IF(SUM(INDEX(Dls_d,1):INDEX(Dls_d,7))=0,"",WagnerWhitin!H16/SUM(INDEX(Dls_d,1):INDEX(Dls_d,7)))</f>
        <v/>
      </c>
      <c r="I33" s="12">
        <f>IF(SUM(INDEX(Dls_d,1):INDEX(Dls_d,8))=0,"",WagnerWhitin!I16/SUM(INDEX(Dls_d,1):INDEX(Dls_d,8)))</f>
        <v/>
      </c>
      <c r="J33" s="12">
        <f>IF(SUM(INDEX(Dls_d,1):INDEX(Dls_d,9))=0,"",WagnerWhitin!J16/SUM(INDEX(Dls_d,1):INDEX(Dls_d,9)))</f>
        <v/>
      </c>
      <c r="K33" s="12">
        <f>IF(SUM(INDEX(Dls_d,1):INDEX(Dls_d,10))=0,"",WagnerWhitin!K16/SUM(INDEX(Dls_d,1):INDEX(Dls_d,10)))</f>
        <v/>
      </c>
      <c r="L33" s="12">
        <f>IF(SUM(INDEX(Dls_d,1):INDEX(Dls_d,11))=0,"",WagnerWhitin!L16/SUM(INDEX(Dls_d,1):INDEX(Dls_d,11)))</f>
        <v/>
      </c>
      <c r="M33" s="28">
        <f>IF(SUM(INDEX(Dls_d,1):INDEX(Dls_d,12))=0,"",WagnerWhitin!M16/SUM(INDEX(Dls_d,1):INDEX(Dls_d,12)))</f>
        <v/>
      </c>
      <c r="O33" s="7">
        <f>IF(B33="",0,IF(C33="",0,IF(C33&gt;B33+0.000000001,1,0)))</f>
        <v/>
      </c>
      <c r="P33" s="7">
        <f>IF(C33="",0,IF(D33="",0,IF(D33&gt;C33+0.000000001,1,0)))</f>
        <v/>
      </c>
      <c r="Q33" s="7">
        <f>IF(D33="",0,IF(E33="",0,IF(E33&gt;D33+0.000000001,1,0)))</f>
        <v/>
      </c>
      <c r="R33" s="7">
        <f>IF(E33="",0,IF(F33="",0,IF(F33&gt;E33+0.000000001,1,0)))</f>
        <v/>
      </c>
      <c r="S33" s="7">
        <f>IF(F33="",0,IF(G33="",0,IF(G33&gt;F33+0.000000001,1,0)))</f>
        <v/>
      </c>
      <c r="T33" s="7">
        <f>IF(G33="",0,IF(H33="",0,IF(H33&gt;G33+0.000000001,1,0)))</f>
        <v/>
      </c>
      <c r="U33" s="7">
        <f>IF(H33="",0,IF(I33="",0,IF(I33&gt;H33+0.000000001,1,0)))</f>
        <v/>
      </c>
      <c r="V33" s="7">
        <f>IF(I33="",0,IF(J33="",0,IF(J33&gt;I33+0.000000001,1,0)))</f>
        <v/>
      </c>
      <c r="W33" s="7">
        <f>IF(J33="",0,IF(K33="",0,IF(K33&gt;J33+0.000000001,1,0)))</f>
        <v/>
      </c>
      <c r="X33" s="7">
        <f>IF(K33="",0,IF(L33="",0,IF(L33&gt;K33+0.000000001,1,0)))</f>
        <v/>
      </c>
      <c r="Y33" s="7">
        <f>IF(L33="",0,IF(M33="",0,IF(M33&gt;L33+0.000000001,1,0)))</f>
        <v/>
      </c>
      <c r="Z33" s="22">
        <f>IF(M33="",0,1)</f>
        <v/>
      </c>
      <c r="AA33" s="25">
        <f>MATCH(1,O33:Z33,0)</f>
        <v/>
      </c>
    </row>
    <row r="34">
      <c r="A34" s="23" t="n">
        <v>2</v>
      </c>
      <c r="C34" s="12">
        <f>IF(SUM(INDEX(Dls_d,2):INDEX(Dls_d,2))=0,"",WagnerWhitin!C17/SUM(INDEX(Dls_d,2):INDEX(Dls_d,2)))</f>
        <v/>
      </c>
      <c r="D34" s="12">
        <f>IF(SUM(INDEX(Dls_d,2):INDEX(Dls_d,3))=0,"",WagnerWhitin!D17/SUM(INDEX(Dls_d,2):INDEX(Dls_d,3)))</f>
        <v/>
      </c>
      <c r="E34" s="12">
        <f>IF(SUM(INDEX(Dls_d,2):INDEX(Dls_d,4))=0,"",WagnerWhitin!E17/SUM(INDEX(Dls_d,2):INDEX(Dls_d,4)))</f>
        <v/>
      </c>
      <c r="F34" s="12">
        <f>IF(SUM(INDEX(Dls_d,2):INDEX(Dls_d,5))=0,"",WagnerWhitin!F17/SUM(INDEX(Dls_d,2):INDEX(Dls_d,5)))</f>
        <v/>
      </c>
      <c r="G34" s="12">
        <f>IF(SUM(INDEX(Dls_d,2):INDEX(Dls_d,6))=0,"",WagnerWhitin!G17/SUM(INDEX(Dls_d,2):INDEX(Dls_d,6)))</f>
        <v/>
      </c>
      <c r="H34" s="12">
        <f>IF(SUM(INDEX(Dls_d,2):INDEX(Dls_d,7))=0,"",WagnerWhitin!H17/SUM(INDEX(Dls_d,2):INDEX(Dls_d,7)))</f>
        <v/>
      </c>
      <c r="I34" s="12">
        <f>IF(SUM(INDEX(Dls_d,2):INDEX(Dls_d,8))=0,"",WagnerWhitin!I17/SUM(INDEX(Dls_d,2):INDEX(Dls_d,8)))</f>
        <v/>
      </c>
      <c r="J34" s="12">
        <f>IF(SUM(INDEX(Dls_d,2):INDEX(Dls_d,9))=0,"",WagnerWhitin!J17/SUM(INDEX(Dls_d,2):INDEX(Dls_d,9)))</f>
        <v/>
      </c>
      <c r="K34" s="12">
        <f>IF(SUM(INDEX(Dls_d,2):INDEX(Dls_d,10))=0,"",WagnerWhitin!K17/SUM(INDEX(Dls_d,2):INDEX(Dls_d,10)))</f>
        <v/>
      </c>
      <c r="L34" s="12">
        <f>IF(SUM(INDEX(Dls_d,2):INDEX(Dls_d,11))=0,"",WagnerWhitin!L17/SUM(INDEX(Dls_d,2):INDEX(Dls_d,11)))</f>
        <v/>
      </c>
      <c r="M34" s="28">
        <f>IF(SUM(INDEX(Dls_d,2):INDEX(Dls_d,12))=0,"",WagnerWhitin!M17/SUM(INDEX(Dls_d,2):INDEX(Dls_d,12)))</f>
        <v/>
      </c>
      <c r="P34" s="7">
        <f>IF(C34="",0,IF(D34="",0,IF(D34&gt;C34+0.000000001,1,0)))</f>
        <v/>
      </c>
      <c r="Q34" s="7">
        <f>IF(D34="",0,IF(E34="",0,IF(E34&gt;D34+0.000000001,1,0)))</f>
        <v/>
      </c>
      <c r="R34" s="7">
        <f>IF(E34="",0,IF(F34="",0,IF(F34&gt;E34+0.000000001,1,0)))</f>
        <v/>
      </c>
      <c r="S34" s="7">
        <f>IF(F34="",0,IF(G34="",0,IF(G34&gt;F34+0.000000001,1,0)))</f>
        <v/>
      </c>
      <c r="T34" s="7">
        <f>IF(G34="",0,IF(H34="",0,IF(H34&gt;G34+0.000000001,1,0)))</f>
        <v/>
      </c>
      <c r="U34" s="7">
        <f>IF(H34="",0,IF(I34="",0,IF(I34&gt;H34+0.000000001,1,0)))</f>
        <v/>
      </c>
      <c r="V34" s="7">
        <f>IF(I34="",0,IF(J34="",0,IF(J34&gt;I34+0.000000001,1,0)))</f>
        <v/>
      </c>
      <c r="W34" s="7">
        <f>IF(J34="",0,IF(K34="",0,IF(K34&gt;J34+0.000000001,1,0)))</f>
        <v/>
      </c>
      <c r="X34" s="7">
        <f>IF(K34="",0,IF(L34="",0,IF(L34&gt;K34+0.000000001,1,0)))</f>
        <v/>
      </c>
      <c r="Y34" s="7">
        <f>IF(L34="",0,IF(M34="",0,IF(M34&gt;L34+0.000000001,1,0)))</f>
        <v/>
      </c>
      <c r="Z34" s="22">
        <f>IF(M34="",0,1)</f>
        <v/>
      </c>
      <c r="AA34" s="25">
        <f>MATCH(1,O34:Z34,0)</f>
        <v/>
      </c>
    </row>
    <row r="35">
      <c r="A35" s="23" t="n">
        <v>3</v>
      </c>
      <c r="D35" s="12">
        <f>IF(SUM(INDEX(Dls_d,3):INDEX(Dls_d,3))=0,"",WagnerWhitin!D18/SUM(INDEX(Dls_d,3):INDEX(Dls_d,3)))</f>
        <v/>
      </c>
      <c r="E35" s="12">
        <f>IF(SUM(INDEX(Dls_d,3):INDEX(Dls_d,4))=0,"",WagnerWhitin!E18/SUM(INDEX(Dls_d,3):INDEX(Dls_d,4)))</f>
        <v/>
      </c>
      <c r="F35" s="12">
        <f>IF(SUM(INDEX(Dls_d,3):INDEX(Dls_d,5))=0,"",WagnerWhitin!F18/SUM(INDEX(Dls_d,3):INDEX(Dls_d,5)))</f>
        <v/>
      </c>
      <c r="G35" s="12">
        <f>IF(SUM(INDEX(Dls_d,3):INDEX(Dls_d,6))=0,"",WagnerWhitin!G18/SUM(INDEX(Dls_d,3):INDEX(Dls_d,6)))</f>
        <v/>
      </c>
      <c r="H35" s="12">
        <f>IF(SUM(INDEX(Dls_d,3):INDEX(Dls_d,7))=0,"",WagnerWhitin!H18/SUM(INDEX(Dls_d,3):INDEX(Dls_d,7)))</f>
        <v/>
      </c>
      <c r="I35" s="12">
        <f>IF(SUM(INDEX(Dls_d,3):INDEX(Dls_d,8))=0,"",WagnerWhitin!I18/SUM(INDEX(Dls_d,3):INDEX(Dls_d,8)))</f>
        <v/>
      </c>
      <c r="J35" s="12">
        <f>IF(SUM(INDEX(Dls_d,3):INDEX(Dls_d,9))=0,"",WagnerWhitin!J18/SUM(INDEX(Dls_d,3):INDEX(Dls_d,9)))</f>
        <v/>
      </c>
      <c r="K35" s="12">
        <f>IF(SUM(INDEX(Dls_d,3):INDEX(Dls_d,10))=0,"",WagnerWhitin!K18/SUM(INDEX(Dls_d,3):INDEX(Dls_d,10)))</f>
        <v/>
      </c>
      <c r="L35" s="12">
        <f>IF(SUM(INDEX(Dls_d,3):INDEX(Dls_d,11))=0,"",WagnerWhitin!L18/SUM(INDEX(Dls_d,3):INDEX(Dls_d,11)))</f>
        <v/>
      </c>
      <c r="M35" s="28">
        <f>IF(SUM(INDEX(Dls_d,3):INDEX(Dls_d,12))=0,"",WagnerWhitin!M18/SUM(INDEX(Dls_d,3):INDEX(Dls_d,12)))</f>
        <v/>
      </c>
      <c r="Q35" s="7">
        <f>IF(D35="",0,IF(E35="",0,IF(E35&gt;D35+0.000000001,1,0)))</f>
        <v/>
      </c>
      <c r="R35" s="7">
        <f>IF(E35="",0,IF(F35="",0,IF(F35&gt;E35+0.000000001,1,0)))</f>
        <v/>
      </c>
      <c r="S35" s="7">
        <f>IF(F35="",0,IF(G35="",0,IF(G35&gt;F35+0.000000001,1,0)))</f>
        <v/>
      </c>
      <c r="T35" s="7">
        <f>IF(G35="",0,IF(H35="",0,IF(H35&gt;G35+0.000000001,1,0)))</f>
        <v/>
      </c>
      <c r="U35" s="7">
        <f>IF(H35="",0,IF(I35="",0,IF(I35&gt;H35+0.000000001,1,0)))</f>
        <v/>
      </c>
      <c r="V35" s="7">
        <f>IF(I35="",0,IF(J35="",0,IF(J35&gt;I35+0.000000001,1,0)))</f>
        <v/>
      </c>
      <c r="W35" s="7">
        <f>IF(J35="",0,IF(K35="",0,IF(K35&gt;J35+0.000000001,1,0)))</f>
        <v/>
      </c>
      <c r="X35" s="7">
        <f>IF(K35="",0,IF(L35="",0,IF(L35&gt;K35+0.000000001,1,0)))</f>
        <v/>
      </c>
      <c r="Y35" s="7">
        <f>IF(L35="",0,IF(M35="",0,IF(M35&gt;L35+0.000000001,1,0)))</f>
        <v/>
      </c>
      <c r="Z35" s="22">
        <f>IF(M35="",0,1)</f>
        <v/>
      </c>
      <c r="AA35" s="25">
        <f>MATCH(1,O35:Z35,0)</f>
        <v/>
      </c>
    </row>
    <row r="36">
      <c r="A36" s="23" t="n">
        <v>4</v>
      </c>
      <c r="E36" s="12">
        <f>IF(SUM(INDEX(Dls_d,4):INDEX(Dls_d,4))=0,"",WagnerWhitin!E19/SUM(INDEX(Dls_d,4):INDEX(Dls_d,4)))</f>
        <v/>
      </c>
      <c r="F36" s="12">
        <f>IF(SUM(INDEX(Dls_d,4):INDEX(Dls_d,5))=0,"",WagnerWhitin!F19/SUM(INDEX(Dls_d,4):INDEX(Dls_d,5)))</f>
        <v/>
      </c>
      <c r="G36" s="12">
        <f>IF(SUM(INDEX(Dls_d,4):INDEX(Dls_d,6))=0,"",WagnerWhitin!G19/SUM(INDEX(Dls_d,4):INDEX(Dls_d,6)))</f>
        <v/>
      </c>
      <c r="H36" s="12">
        <f>IF(SUM(INDEX(Dls_d,4):INDEX(Dls_d,7))=0,"",WagnerWhitin!H19/SUM(INDEX(Dls_d,4):INDEX(Dls_d,7)))</f>
        <v/>
      </c>
      <c r="I36" s="12">
        <f>IF(SUM(INDEX(Dls_d,4):INDEX(Dls_d,8))=0,"",WagnerWhitin!I19/SUM(INDEX(Dls_d,4):INDEX(Dls_d,8)))</f>
        <v/>
      </c>
      <c r="J36" s="12">
        <f>IF(SUM(INDEX(Dls_d,4):INDEX(Dls_d,9))=0,"",WagnerWhitin!J19/SUM(INDEX(Dls_d,4):INDEX(Dls_d,9)))</f>
        <v/>
      </c>
      <c r="K36" s="12">
        <f>IF(SUM(INDEX(Dls_d,4):INDEX(Dls_d,10))=0,"",WagnerWhitin!K19/SUM(INDEX(Dls_d,4):INDEX(Dls_d,10)))</f>
        <v/>
      </c>
      <c r="L36" s="12">
        <f>IF(SUM(INDEX(Dls_d,4):INDEX(Dls_d,11))=0,"",WagnerWhitin!L19/SUM(INDEX(Dls_d,4):INDEX(Dls_d,11)))</f>
        <v/>
      </c>
      <c r="M36" s="28">
        <f>IF(SUM(INDEX(Dls_d,4):INDEX(Dls_d,12))=0,"",WagnerWhitin!M19/SUM(INDEX(Dls_d,4):INDEX(Dls_d,12)))</f>
        <v/>
      </c>
      <c r="R36" s="7">
        <f>IF(E36="",0,IF(F36="",0,IF(F36&gt;E36+0.000000001,1,0)))</f>
        <v/>
      </c>
      <c r="S36" s="7">
        <f>IF(F36="",0,IF(G36="",0,IF(G36&gt;F36+0.000000001,1,0)))</f>
        <v/>
      </c>
      <c r="T36" s="7">
        <f>IF(G36="",0,IF(H36="",0,IF(H36&gt;G36+0.000000001,1,0)))</f>
        <v/>
      </c>
      <c r="U36" s="7">
        <f>IF(H36="",0,IF(I36="",0,IF(I36&gt;H36+0.000000001,1,0)))</f>
        <v/>
      </c>
      <c r="V36" s="7">
        <f>IF(I36="",0,IF(J36="",0,IF(J36&gt;I36+0.000000001,1,0)))</f>
        <v/>
      </c>
      <c r="W36" s="7">
        <f>IF(J36="",0,IF(K36="",0,IF(K36&gt;J36+0.000000001,1,0)))</f>
        <v/>
      </c>
      <c r="X36" s="7">
        <f>IF(K36="",0,IF(L36="",0,IF(L36&gt;K36+0.000000001,1,0)))</f>
        <v/>
      </c>
      <c r="Y36" s="7">
        <f>IF(L36="",0,IF(M36="",0,IF(M36&gt;L36+0.000000001,1,0)))</f>
        <v/>
      </c>
      <c r="Z36" s="22">
        <f>IF(M36="",0,1)</f>
        <v/>
      </c>
      <c r="AA36" s="25">
        <f>MATCH(1,O36:Z36,0)</f>
        <v/>
      </c>
    </row>
    <row r="37">
      <c r="A37" s="23" t="n">
        <v>5</v>
      </c>
      <c r="F37" s="12">
        <f>IF(SUM(INDEX(Dls_d,5):INDEX(Dls_d,5))=0,"",WagnerWhitin!F20/SUM(INDEX(Dls_d,5):INDEX(Dls_d,5)))</f>
        <v/>
      </c>
      <c r="G37" s="12">
        <f>IF(SUM(INDEX(Dls_d,5):INDEX(Dls_d,6))=0,"",WagnerWhitin!G20/SUM(INDEX(Dls_d,5):INDEX(Dls_d,6)))</f>
        <v/>
      </c>
      <c r="H37" s="12">
        <f>IF(SUM(INDEX(Dls_d,5):INDEX(Dls_d,7))=0,"",WagnerWhitin!H20/SUM(INDEX(Dls_d,5):INDEX(Dls_d,7)))</f>
        <v/>
      </c>
      <c r="I37" s="12">
        <f>IF(SUM(INDEX(Dls_d,5):INDEX(Dls_d,8))=0,"",WagnerWhitin!I20/SUM(INDEX(Dls_d,5):INDEX(Dls_d,8)))</f>
        <v/>
      </c>
      <c r="J37" s="12">
        <f>IF(SUM(INDEX(Dls_d,5):INDEX(Dls_d,9))=0,"",WagnerWhitin!J20/SUM(INDEX(Dls_d,5):INDEX(Dls_d,9)))</f>
        <v/>
      </c>
      <c r="K37" s="12">
        <f>IF(SUM(INDEX(Dls_d,5):INDEX(Dls_d,10))=0,"",WagnerWhitin!K20/SUM(INDEX(Dls_d,5):INDEX(Dls_d,10)))</f>
        <v/>
      </c>
      <c r="L37" s="12">
        <f>IF(SUM(INDEX(Dls_d,5):INDEX(Dls_d,11))=0,"",WagnerWhitin!L20/SUM(INDEX(Dls_d,5):INDEX(Dls_d,11)))</f>
        <v/>
      </c>
      <c r="M37" s="28">
        <f>IF(SUM(INDEX(Dls_d,5):INDEX(Dls_d,12))=0,"",WagnerWhitin!M20/SUM(INDEX(Dls_d,5):INDEX(Dls_d,12)))</f>
        <v/>
      </c>
      <c r="S37" s="7">
        <f>IF(F37="",0,IF(G37="",0,IF(G37&gt;F37+0.000000001,1,0)))</f>
        <v/>
      </c>
      <c r="T37" s="7">
        <f>IF(G37="",0,IF(H37="",0,IF(H37&gt;G37+0.000000001,1,0)))</f>
        <v/>
      </c>
      <c r="U37" s="7">
        <f>IF(H37="",0,IF(I37="",0,IF(I37&gt;H37+0.000000001,1,0)))</f>
        <v/>
      </c>
      <c r="V37" s="7">
        <f>IF(I37="",0,IF(J37="",0,IF(J37&gt;I37+0.000000001,1,0)))</f>
        <v/>
      </c>
      <c r="W37" s="7">
        <f>IF(J37="",0,IF(K37="",0,IF(K37&gt;J37+0.000000001,1,0)))</f>
        <v/>
      </c>
      <c r="X37" s="7">
        <f>IF(K37="",0,IF(L37="",0,IF(L37&gt;K37+0.000000001,1,0)))</f>
        <v/>
      </c>
      <c r="Y37" s="7">
        <f>IF(L37="",0,IF(M37="",0,IF(M37&gt;L37+0.000000001,1,0)))</f>
        <v/>
      </c>
      <c r="Z37" s="22">
        <f>IF(M37="",0,1)</f>
        <v/>
      </c>
      <c r="AA37" s="25">
        <f>MATCH(1,O37:Z37,0)</f>
        <v/>
      </c>
    </row>
    <row r="38">
      <c r="A38" s="23" t="n">
        <v>6</v>
      </c>
      <c r="G38" s="12">
        <f>IF(SUM(INDEX(Dls_d,6):INDEX(Dls_d,6))=0,"",WagnerWhitin!G21/SUM(INDEX(Dls_d,6):INDEX(Dls_d,6)))</f>
        <v/>
      </c>
      <c r="H38" s="12">
        <f>IF(SUM(INDEX(Dls_d,6):INDEX(Dls_d,7))=0,"",WagnerWhitin!H21/SUM(INDEX(Dls_d,6):INDEX(Dls_d,7)))</f>
        <v/>
      </c>
      <c r="I38" s="12">
        <f>IF(SUM(INDEX(Dls_d,6):INDEX(Dls_d,8))=0,"",WagnerWhitin!I21/SUM(INDEX(Dls_d,6):INDEX(Dls_d,8)))</f>
        <v/>
      </c>
      <c r="J38" s="12">
        <f>IF(SUM(INDEX(Dls_d,6):INDEX(Dls_d,9))=0,"",WagnerWhitin!J21/SUM(INDEX(Dls_d,6):INDEX(Dls_d,9)))</f>
        <v/>
      </c>
      <c r="K38" s="12">
        <f>IF(SUM(INDEX(Dls_d,6):INDEX(Dls_d,10))=0,"",WagnerWhitin!K21/SUM(INDEX(Dls_d,6):INDEX(Dls_d,10)))</f>
        <v/>
      </c>
      <c r="L38" s="12">
        <f>IF(SUM(INDEX(Dls_d,6):INDEX(Dls_d,11))=0,"",WagnerWhitin!L21/SUM(INDEX(Dls_d,6):INDEX(Dls_d,11)))</f>
        <v/>
      </c>
      <c r="M38" s="28">
        <f>IF(SUM(INDEX(Dls_d,6):INDEX(Dls_d,12))=0,"",WagnerWhitin!M21/SUM(INDEX(Dls_d,6):INDEX(Dls_d,12)))</f>
        <v/>
      </c>
      <c r="T38" s="7">
        <f>IF(G38="",0,IF(H38="",0,IF(H38&gt;G38+0.000000001,1,0)))</f>
        <v/>
      </c>
      <c r="U38" s="7">
        <f>IF(H38="",0,IF(I38="",0,IF(I38&gt;H38+0.000000001,1,0)))</f>
        <v/>
      </c>
      <c r="V38" s="7">
        <f>IF(I38="",0,IF(J38="",0,IF(J38&gt;I38+0.000000001,1,0)))</f>
        <v/>
      </c>
      <c r="W38" s="7">
        <f>IF(J38="",0,IF(K38="",0,IF(K38&gt;J38+0.000000001,1,0)))</f>
        <v/>
      </c>
      <c r="X38" s="7">
        <f>IF(K38="",0,IF(L38="",0,IF(L38&gt;K38+0.000000001,1,0)))</f>
        <v/>
      </c>
      <c r="Y38" s="7">
        <f>IF(L38="",0,IF(M38="",0,IF(M38&gt;L38+0.000000001,1,0)))</f>
        <v/>
      </c>
      <c r="Z38" s="22">
        <f>IF(M38="",0,1)</f>
        <v/>
      </c>
      <c r="AA38" s="25">
        <f>MATCH(1,O38:Z38,0)</f>
        <v/>
      </c>
    </row>
    <row r="39">
      <c r="A39" s="23" t="n">
        <v>7</v>
      </c>
      <c r="H39" s="12">
        <f>IF(SUM(INDEX(Dls_d,7):INDEX(Dls_d,7))=0,"",WagnerWhitin!H22/SUM(INDEX(Dls_d,7):INDEX(Dls_d,7)))</f>
        <v/>
      </c>
      <c r="I39" s="12">
        <f>IF(SUM(INDEX(Dls_d,7):INDEX(Dls_d,8))=0,"",WagnerWhitin!I22/SUM(INDEX(Dls_d,7):INDEX(Dls_d,8)))</f>
        <v/>
      </c>
      <c r="J39" s="12">
        <f>IF(SUM(INDEX(Dls_d,7):INDEX(Dls_d,9))=0,"",WagnerWhitin!J22/SUM(INDEX(Dls_d,7):INDEX(Dls_d,9)))</f>
        <v/>
      </c>
      <c r="K39" s="12">
        <f>IF(SUM(INDEX(Dls_d,7):INDEX(Dls_d,10))=0,"",WagnerWhitin!K22/SUM(INDEX(Dls_d,7):INDEX(Dls_d,10)))</f>
        <v/>
      </c>
      <c r="L39" s="12">
        <f>IF(SUM(INDEX(Dls_d,7):INDEX(Dls_d,11))=0,"",WagnerWhitin!L22/SUM(INDEX(Dls_d,7):INDEX(Dls_d,11)))</f>
        <v/>
      </c>
      <c r="M39" s="28">
        <f>IF(SUM(INDEX(Dls_d,7):INDEX(Dls_d,12))=0,"",WagnerWhitin!M22/SUM(INDEX(Dls_d,7):INDEX(Dls_d,12)))</f>
        <v/>
      </c>
      <c r="U39" s="7">
        <f>IF(H39="",0,IF(I39="",0,IF(I39&gt;H39+0.000000001,1,0)))</f>
        <v/>
      </c>
      <c r="V39" s="7">
        <f>IF(I39="",0,IF(J39="",0,IF(J39&gt;I39+0.000000001,1,0)))</f>
        <v/>
      </c>
      <c r="W39" s="7">
        <f>IF(J39="",0,IF(K39="",0,IF(K39&gt;J39+0.000000001,1,0)))</f>
        <v/>
      </c>
      <c r="X39" s="7">
        <f>IF(K39="",0,IF(L39="",0,IF(L39&gt;K39+0.000000001,1,0)))</f>
        <v/>
      </c>
      <c r="Y39" s="7">
        <f>IF(L39="",0,IF(M39="",0,IF(M39&gt;L39+0.000000001,1,0)))</f>
        <v/>
      </c>
      <c r="Z39" s="22">
        <f>IF(M39="",0,1)</f>
        <v/>
      </c>
      <c r="AA39" s="25">
        <f>MATCH(1,O39:Z39,0)</f>
        <v/>
      </c>
    </row>
    <row r="40">
      <c r="A40" s="23" t="n">
        <v>8</v>
      </c>
      <c r="I40" s="12">
        <f>IF(SUM(INDEX(Dls_d,8):INDEX(Dls_d,8))=0,"",WagnerWhitin!I23/SUM(INDEX(Dls_d,8):INDEX(Dls_d,8)))</f>
        <v/>
      </c>
      <c r="J40" s="12">
        <f>IF(SUM(INDEX(Dls_d,8):INDEX(Dls_d,9))=0,"",WagnerWhitin!J23/SUM(INDEX(Dls_d,8):INDEX(Dls_d,9)))</f>
        <v/>
      </c>
      <c r="K40" s="12">
        <f>IF(SUM(INDEX(Dls_d,8):INDEX(Dls_d,10))=0,"",WagnerWhitin!K23/SUM(INDEX(Dls_d,8):INDEX(Dls_d,10)))</f>
        <v/>
      </c>
      <c r="L40" s="12">
        <f>IF(SUM(INDEX(Dls_d,8):INDEX(Dls_d,11))=0,"",WagnerWhitin!L23/SUM(INDEX(Dls_d,8):INDEX(Dls_d,11)))</f>
        <v/>
      </c>
      <c r="M40" s="28">
        <f>IF(SUM(INDEX(Dls_d,8):INDEX(Dls_d,12))=0,"",WagnerWhitin!M23/SUM(INDEX(Dls_d,8):INDEX(Dls_d,12)))</f>
        <v/>
      </c>
      <c r="V40" s="7">
        <f>IF(I40="",0,IF(J40="",0,IF(J40&gt;I40+0.000000001,1,0)))</f>
        <v/>
      </c>
      <c r="W40" s="7">
        <f>IF(J40="",0,IF(K40="",0,IF(K40&gt;J40+0.000000001,1,0)))</f>
        <v/>
      </c>
      <c r="X40" s="7">
        <f>IF(K40="",0,IF(L40="",0,IF(L40&gt;K40+0.000000001,1,0)))</f>
        <v/>
      </c>
      <c r="Y40" s="7">
        <f>IF(L40="",0,IF(M40="",0,IF(M40&gt;L40+0.000000001,1,0)))</f>
        <v/>
      </c>
      <c r="Z40" s="22">
        <f>IF(M40="",0,1)</f>
        <v/>
      </c>
      <c r="AA40" s="25">
        <f>MATCH(1,O40:Z40,0)</f>
        <v/>
      </c>
    </row>
    <row r="41">
      <c r="A41" s="23" t="n">
        <v>9</v>
      </c>
      <c r="J41" s="12">
        <f>IF(SUM(INDEX(Dls_d,9):INDEX(Dls_d,9))=0,"",WagnerWhitin!J24/SUM(INDEX(Dls_d,9):INDEX(Dls_d,9)))</f>
        <v/>
      </c>
      <c r="K41" s="12">
        <f>IF(SUM(INDEX(Dls_d,9):INDEX(Dls_d,10))=0,"",WagnerWhitin!K24/SUM(INDEX(Dls_d,9):INDEX(Dls_d,10)))</f>
        <v/>
      </c>
      <c r="L41" s="12">
        <f>IF(SUM(INDEX(Dls_d,9):INDEX(Dls_d,11))=0,"",WagnerWhitin!L24/SUM(INDEX(Dls_d,9):INDEX(Dls_d,11)))</f>
        <v/>
      </c>
      <c r="M41" s="28">
        <f>IF(SUM(INDEX(Dls_d,9):INDEX(Dls_d,12))=0,"",WagnerWhitin!M24/SUM(INDEX(Dls_d,9):INDEX(Dls_d,12)))</f>
        <v/>
      </c>
      <c r="W41" s="7">
        <f>IF(J41="",0,IF(K41="",0,IF(K41&gt;J41+0.000000001,1,0)))</f>
        <v/>
      </c>
      <c r="X41" s="7">
        <f>IF(K41="",0,IF(L41="",0,IF(L41&gt;K41+0.000000001,1,0)))</f>
        <v/>
      </c>
      <c r="Y41" s="7">
        <f>IF(L41="",0,IF(M41="",0,IF(M41&gt;L41+0.000000001,1,0)))</f>
        <v/>
      </c>
      <c r="Z41" s="22">
        <f>IF(M41="",0,1)</f>
        <v/>
      </c>
      <c r="AA41" s="25">
        <f>MATCH(1,O41:Z41,0)</f>
        <v/>
      </c>
    </row>
    <row r="42">
      <c r="A42" s="23" t="n">
        <v>10</v>
      </c>
      <c r="K42" s="12">
        <f>IF(SUM(INDEX(Dls_d,10):INDEX(Dls_d,10))=0,"",WagnerWhitin!K25/SUM(INDEX(Dls_d,10):INDEX(Dls_d,10)))</f>
        <v/>
      </c>
      <c r="L42" s="12">
        <f>IF(SUM(INDEX(Dls_d,10):INDEX(Dls_d,11))=0,"",WagnerWhitin!L25/SUM(INDEX(Dls_d,10):INDEX(Dls_d,11)))</f>
        <v/>
      </c>
      <c r="M42" s="28">
        <f>IF(SUM(INDEX(Dls_d,10):INDEX(Dls_d,12))=0,"",WagnerWhitin!M25/SUM(INDEX(Dls_d,10):INDEX(Dls_d,12)))</f>
        <v/>
      </c>
      <c r="X42" s="7">
        <f>IF(K42="",0,IF(L42="",0,IF(L42&gt;K42+0.000000001,1,0)))</f>
        <v/>
      </c>
      <c r="Y42" s="7">
        <f>IF(L42="",0,IF(M42="",0,IF(M42&gt;L42+0.000000001,1,0)))</f>
        <v/>
      </c>
      <c r="Z42" s="22">
        <f>IF(M42="",0,1)</f>
        <v/>
      </c>
      <c r="AA42" s="25">
        <f>MATCH(1,O42:Z42,0)</f>
        <v/>
      </c>
    </row>
    <row r="43">
      <c r="A43" s="23" t="n">
        <v>11</v>
      </c>
      <c r="L43" s="12">
        <f>IF(SUM(INDEX(Dls_d,11):INDEX(Dls_d,11))=0,"",WagnerWhitin!L26/SUM(INDEX(Dls_d,11):INDEX(Dls_d,11)))</f>
        <v/>
      </c>
      <c r="M43" s="28">
        <f>IF(SUM(INDEX(Dls_d,11):INDEX(Dls_d,12))=0,"",WagnerWhitin!M26/SUM(INDEX(Dls_d,11):INDEX(Dls_d,12)))</f>
        <v/>
      </c>
      <c r="Y43" s="7">
        <f>IF(L43="",0,IF(M43="",0,IF(M43&gt;L43+0.000000001,1,0)))</f>
        <v/>
      </c>
      <c r="Z43" s="22">
        <f>IF(M43="",0,1)</f>
        <v/>
      </c>
      <c r="AA43" s="25">
        <f>MATCH(1,O43:Z43,0)</f>
        <v/>
      </c>
    </row>
    <row r="44">
      <c r="A44" s="23" t="n">
        <v>12</v>
      </c>
      <c r="M44" s="28">
        <f>IF(SUM(INDEX(Dls_d,12):INDEX(Dls_d,12))=0,"",WagnerWhitin!M27/SUM(INDEX(Dls_d,12):INDEX(Dls_d,12)))</f>
        <v/>
      </c>
      <c r="Z44" s="22">
        <f>IF(M44="",0,1)</f>
        <v/>
      </c>
      <c r="AA44" s="25">
        <f>MATCH(1,O44:Z44,0)</f>
        <v/>
      </c>
    </row>
    <row r="46">
      <c r="A46" s="3" t="inlineStr">
        <is>
          <t>PART-PERIOD BALANCING      what the window carries, against the order cost</t>
        </is>
      </c>
    </row>
    <row r="47">
      <c r="A47" s="2" t="inlineStr">
        <is>
          <t>Carrying only grows as the window grows, so the last month at or under k is found by a lookup.</t>
        </is>
      </c>
    </row>
    <row r="48">
      <c r="A48" s="23" t="inlineStr">
        <is>
          <t>t \ u</t>
        </is>
      </c>
      <c r="B48" s="13" t="n">
        <v>1</v>
      </c>
      <c r="C48" s="13" t="n">
        <v>2</v>
      </c>
      <c r="D48" s="13" t="n">
        <v>3</v>
      </c>
      <c r="E48" s="13" t="n">
        <v>4</v>
      </c>
      <c r="F48" s="13" t="n">
        <v>5</v>
      </c>
      <c r="G48" s="13" t="n">
        <v>6</v>
      </c>
      <c r="H48" s="13" t="n">
        <v>7</v>
      </c>
      <c r="I48" s="13" t="n">
        <v>8</v>
      </c>
      <c r="J48" s="13" t="n">
        <v>9</v>
      </c>
      <c r="K48" s="13" t="n">
        <v>10</v>
      </c>
      <c r="L48" s="13" t="n">
        <v>11</v>
      </c>
      <c r="M48" s="14" t="n">
        <v>12</v>
      </c>
      <c r="O48" s="23" t="inlineStr">
        <is>
          <t>last month at or under k</t>
        </is>
      </c>
      <c r="AA48" s="23" t="inlineStr">
        <is>
          <t>stops at</t>
        </is>
      </c>
    </row>
    <row r="49">
      <c r="A49" s="23" t="n">
        <v>1</v>
      </c>
      <c r="B49" s="12">
        <f>WagnerWhitin!B16-INDEX(Dls_k,1)</f>
        <v/>
      </c>
      <c r="C49" s="12">
        <f>WagnerWhitin!C16-INDEX(Dls_k,1)</f>
        <v/>
      </c>
      <c r="D49" s="12">
        <f>WagnerWhitin!D16-INDEX(Dls_k,1)</f>
        <v/>
      </c>
      <c r="E49" s="12">
        <f>WagnerWhitin!E16-INDEX(Dls_k,1)</f>
        <v/>
      </c>
      <c r="F49" s="12">
        <f>WagnerWhitin!F16-INDEX(Dls_k,1)</f>
        <v/>
      </c>
      <c r="G49" s="12">
        <f>WagnerWhitin!G16-INDEX(Dls_k,1)</f>
        <v/>
      </c>
      <c r="H49" s="12">
        <f>WagnerWhitin!H16-INDEX(Dls_k,1)</f>
        <v/>
      </c>
      <c r="I49" s="12">
        <f>WagnerWhitin!I16-INDEX(Dls_k,1)</f>
        <v/>
      </c>
      <c r="J49" s="12">
        <f>WagnerWhitin!J16-INDEX(Dls_k,1)</f>
        <v/>
      </c>
      <c r="K49" s="12">
        <f>WagnerWhitin!K16-INDEX(Dls_k,1)</f>
        <v/>
      </c>
      <c r="L49" s="12">
        <f>WagnerWhitin!L16-INDEX(Dls_k,1)</f>
        <v/>
      </c>
      <c r="M49" s="28">
        <f>WagnerWhitin!M16-INDEX(Dls_k,1)</f>
        <v/>
      </c>
      <c r="O49" s="7">
        <f>MATCH(Data!$B$5,B49:M49,1)</f>
        <v/>
      </c>
      <c r="AA49" s="25">
        <f>IF(O49&gt;=12,12,IF(ABS(INDEX(B49:M49,O49+1)-Data!$B$5)&lt;ABS(INDEX(B49:M49,O49)-Data!$B$5),O49+1,O49))</f>
        <v/>
      </c>
    </row>
    <row r="50">
      <c r="A50" s="23" t="n">
        <v>2</v>
      </c>
      <c r="C50" s="12">
        <f>WagnerWhitin!C17-INDEX(Dls_k,2)</f>
        <v/>
      </c>
      <c r="D50" s="12">
        <f>WagnerWhitin!D17-INDEX(Dls_k,2)</f>
        <v/>
      </c>
      <c r="E50" s="12">
        <f>WagnerWhitin!E17-INDEX(Dls_k,2)</f>
        <v/>
      </c>
      <c r="F50" s="12">
        <f>WagnerWhitin!F17-INDEX(Dls_k,2)</f>
        <v/>
      </c>
      <c r="G50" s="12">
        <f>WagnerWhitin!G17-INDEX(Dls_k,2)</f>
        <v/>
      </c>
      <c r="H50" s="12">
        <f>WagnerWhitin!H17-INDEX(Dls_k,2)</f>
        <v/>
      </c>
      <c r="I50" s="12">
        <f>WagnerWhitin!I17-INDEX(Dls_k,2)</f>
        <v/>
      </c>
      <c r="J50" s="12">
        <f>WagnerWhitin!J17-INDEX(Dls_k,2)</f>
        <v/>
      </c>
      <c r="K50" s="12">
        <f>WagnerWhitin!K17-INDEX(Dls_k,2)</f>
        <v/>
      </c>
      <c r="L50" s="12">
        <f>WagnerWhitin!L17-INDEX(Dls_k,2)</f>
        <v/>
      </c>
      <c r="M50" s="28">
        <f>WagnerWhitin!M17-INDEX(Dls_k,2)</f>
        <v/>
      </c>
      <c r="O50" s="7">
        <f>MATCH(Data!$B$5,B50:M50,1)</f>
        <v/>
      </c>
      <c r="AA50" s="25">
        <f>IF(O50&gt;=12,12,IF(ABS(INDEX(B50:M50,O50+1)-Data!$B$5)&lt;ABS(INDEX(B50:M50,O50)-Data!$B$5),O50+1,O50))</f>
        <v/>
      </c>
    </row>
    <row r="51">
      <c r="A51" s="23" t="n">
        <v>3</v>
      </c>
      <c r="D51" s="12">
        <f>WagnerWhitin!D18-INDEX(Dls_k,3)</f>
        <v/>
      </c>
      <c r="E51" s="12">
        <f>WagnerWhitin!E18-INDEX(Dls_k,3)</f>
        <v/>
      </c>
      <c r="F51" s="12">
        <f>WagnerWhitin!F18-INDEX(Dls_k,3)</f>
        <v/>
      </c>
      <c r="G51" s="12">
        <f>WagnerWhitin!G18-INDEX(Dls_k,3)</f>
        <v/>
      </c>
      <c r="H51" s="12">
        <f>WagnerWhitin!H18-INDEX(Dls_k,3)</f>
        <v/>
      </c>
      <c r="I51" s="12">
        <f>WagnerWhitin!I18-INDEX(Dls_k,3)</f>
        <v/>
      </c>
      <c r="J51" s="12">
        <f>WagnerWhitin!J18-INDEX(Dls_k,3)</f>
        <v/>
      </c>
      <c r="K51" s="12">
        <f>WagnerWhitin!K18-INDEX(Dls_k,3)</f>
        <v/>
      </c>
      <c r="L51" s="12">
        <f>WagnerWhitin!L18-INDEX(Dls_k,3)</f>
        <v/>
      </c>
      <c r="M51" s="28">
        <f>WagnerWhitin!M18-INDEX(Dls_k,3)</f>
        <v/>
      </c>
      <c r="O51" s="7">
        <f>MATCH(Data!$B$5,B51:M51,1)</f>
        <v/>
      </c>
      <c r="AA51" s="25">
        <f>IF(O51&gt;=12,12,IF(ABS(INDEX(B51:M51,O51+1)-Data!$B$5)&lt;ABS(INDEX(B51:M51,O51)-Data!$B$5),O51+1,O51))</f>
        <v/>
      </c>
    </row>
    <row r="52">
      <c r="A52" s="23" t="n">
        <v>4</v>
      </c>
      <c r="E52" s="12">
        <f>WagnerWhitin!E19-INDEX(Dls_k,4)</f>
        <v/>
      </c>
      <c r="F52" s="12">
        <f>WagnerWhitin!F19-INDEX(Dls_k,4)</f>
        <v/>
      </c>
      <c r="G52" s="12">
        <f>WagnerWhitin!G19-INDEX(Dls_k,4)</f>
        <v/>
      </c>
      <c r="H52" s="12">
        <f>WagnerWhitin!H19-INDEX(Dls_k,4)</f>
        <v/>
      </c>
      <c r="I52" s="12">
        <f>WagnerWhitin!I19-INDEX(Dls_k,4)</f>
        <v/>
      </c>
      <c r="J52" s="12">
        <f>WagnerWhitin!J19-INDEX(Dls_k,4)</f>
        <v/>
      </c>
      <c r="K52" s="12">
        <f>WagnerWhitin!K19-INDEX(Dls_k,4)</f>
        <v/>
      </c>
      <c r="L52" s="12">
        <f>WagnerWhitin!L19-INDEX(Dls_k,4)</f>
        <v/>
      </c>
      <c r="M52" s="28">
        <f>WagnerWhitin!M19-INDEX(Dls_k,4)</f>
        <v/>
      </c>
      <c r="O52" s="7">
        <f>MATCH(Data!$B$5,B52:M52,1)</f>
        <v/>
      </c>
      <c r="AA52" s="25">
        <f>IF(O52&gt;=12,12,IF(ABS(INDEX(B52:M52,O52+1)-Data!$B$5)&lt;ABS(INDEX(B52:M52,O52)-Data!$B$5),O52+1,O52))</f>
        <v/>
      </c>
    </row>
    <row r="53">
      <c r="A53" s="23" t="n">
        <v>5</v>
      </c>
      <c r="F53" s="12">
        <f>WagnerWhitin!F20-INDEX(Dls_k,5)</f>
        <v/>
      </c>
      <c r="G53" s="12">
        <f>WagnerWhitin!G20-INDEX(Dls_k,5)</f>
        <v/>
      </c>
      <c r="H53" s="12">
        <f>WagnerWhitin!H20-INDEX(Dls_k,5)</f>
        <v/>
      </c>
      <c r="I53" s="12">
        <f>WagnerWhitin!I20-INDEX(Dls_k,5)</f>
        <v/>
      </c>
      <c r="J53" s="12">
        <f>WagnerWhitin!J20-INDEX(Dls_k,5)</f>
        <v/>
      </c>
      <c r="K53" s="12">
        <f>WagnerWhitin!K20-INDEX(Dls_k,5)</f>
        <v/>
      </c>
      <c r="L53" s="12">
        <f>WagnerWhitin!L20-INDEX(Dls_k,5)</f>
        <v/>
      </c>
      <c r="M53" s="28">
        <f>WagnerWhitin!M20-INDEX(Dls_k,5)</f>
        <v/>
      </c>
      <c r="O53" s="7">
        <f>MATCH(Data!$B$5,B53:M53,1)</f>
        <v/>
      </c>
      <c r="AA53" s="25">
        <f>IF(O53&gt;=12,12,IF(ABS(INDEX(B53:M53,O53+1)-Data!$B$5)&lt;ABS(INDEX(B53:M53,O53)-Data!$B$5),O53+1,O53))</f>
        <v/>
      </c>
    </row>
    <row r="54">
      <c r="A54" s="23" t="n">
        <v>6</v>
      </c>
      <c r="G54" s="12">
        <f>WagnerWhitin!G21-INDEX(Dls_k,6)</f>
        <v/>
      </c>
      <c r="H54" s="12">
        <f>WagnerWhitin!H21-INDEX(Dls_k,6)</f>
        <v/>
      </c>
      <c r="I54" s="12">
        <f>WagnerWhitin!I21-INDEX(Dls_k,6)</f>
        <v/>
      </c>
      <c r="J54" s="12">
        <f>WagnerWhitin!J21-INDEX(Dls_k,6)</f>
        <v/>
      </c>
      <c r="K54" s="12">
        <f>WagnerWhitin!K21-INDEX(Dls_k,6)</f>
        <v/>
      </c>
      <c r="L54" s="12">
        <f>WagnerWhitin!L21-INDEX(Dls_k,6)</f>
        <v/>
      </c>
      <c r="M54" s="28">
        <f>WagnerWhitin!M21-INDEX(Dls_k,6)</f>
        <v/>
      </c>
      <c r="O54" s="7">
        <f>MATCH(Data!$B$5,B54:M54,1)</f>
        <v/>
      </c>
      <c r="AA54" s="25">
        <f>IF(O54&gt;=12,12,IF(ABS(INDEX(B54:M54,O54+1)-Data!$B$5)&lt;ABS(INDEX(B54:M54,O54)-Data!$B$5),O54+1,O54))</f>
        <v/>
      </c>
    </row>
    <row r="55">
      <c r="A55" s="23" t="n">
        <v>7</v>
      </c>
      <c r="H55" s="12">
        <f>WagnerWhitin!H22-INDEX(Dls_k,7)</f>
        <v/>
      </c>
      <c r="I55" s="12">
        <f>WagnerWhitin!I22-INDEX(Dls_k,7)</f>
        <v/>
      </c>
      <c r="J55" s="12">
        <f>WagnerWhitin!J22-INDEX(Dls_k,7)</f>
        <v/>
      </c>
      <c r="K55" s="12">
        <f>WagnerWhitin!K22-INDEX(Dls_k,7)</f>
        <v/>
      </c>
      <c r="L55" s="12">
        <f>WagnerWhitin!L22-INDEX(Dls_k,7)</f>
        <v/>
      </c>
      <c r="M55" s="28">
        <f>WagnerWhitin!M22-INDEX(Dls_k,7)</f>
        <v/>
      </c>
      <c r="O55" s="7">
        <f>MATCH(Data!$B$5,B55:M55,1)</f>
        <v/>
      </c>
      <c r="AA55" s="25">
        <f>IF(O55&gt;=12,12,IF(ABS(INDEX(B55:M55,O55+1)-Data!$B$5)&lt;ABS(INDEX(B55:M55,O55)-Data!$B$5),O55+1,O55))</f>
        <v/>
      </c>
    </row>
    <row r="56">
      <c r="A56" s="23" t="n">
        <v>8</v>
      </c>
      <c r="I56" s="12">
        <f>WagnerWhitin!I23-INDEX(Dls_k,8)</f>
        <v/>
      </c>
      <c r="J56" s="12">
        <f>WagnerWhitin!J23-INDEX(Dls_k,8)</f>
        <v/>
      </c>
      <c r="K56" s="12">
        <f>WagnerWhitin!K23-INDEX(Dls_k,8)</f>
        <v/>
      </c>
      <c r="L56" s="12">
        <f>WagnerWhitin!L23-INDEX(Dls_k,8)</f>
        <v/>
      </c>
      <c r="M56" s="28">
        <f>WagnerWhitin!M23-INDEX(Dls_k,8)</f>
        <v/>
      </c>
      <c r="O56" s="7">
        <f>MATCH(Data!$B$5,B56:M56,1)</f>
        <v/>
      </c>
      <c r="AA56" s="25">
        <f>IF(O56&gt;=12,12,IF(ABS(INDEX(B56:M56,O56+1)-Data!$B$5)&lt;ABS(INDEX(B56:M56,O56)-Data!$B$5),O56+1,O56))</f>
        <v/>
      </c>
    </row>
    <row r="57">
      <c r="A57" s="23" t="n">
        <v>9</v>
      </c>
      <c r="J57" s="12">
        <f>WagnerWhitin!J24-INDEX(Dls_k,9)</f>
        <v/>
      </c>
      <c r="K57" s="12">
        <f>WagnerWhitin!K24-INDEX(Dls_k,9)</f>
        <v/>
      </c>
      <c r="L57" s="12">
        <f>WagnerWhitin!L24-INDEX(Dls_k,9)</f>
        <v/>
      </c>
      <c r="M57" s="28">
        <f>WagnerWhitin!M24-INDEX(Dls_k,9)</f>
        <v/>
      </c>
      <c r="O57" s="7">
        <f>MATCH(Data!$B$5,B57:M57,1)</f>
        <v/>
      </c>
      <c r="AA57" s="25">
        <f>IF(O57&gt;=12,12,IF(ABS(INDEX(B57:M57,O57+1)-Data!$B$5)&lt;ABS(INDEX(B57:M57,O57)-Data!$B$5),O57+1,O57))</f>
        <v/>
      </c>
    </row>
    <row r="58">
      <c r="A58" s="23" t="n">
        <v>10</v>
      </c>
      <c r="K58" s="12">
        <f>WagnerWhitin!K25-INDEX(Dls_k,10)</f>
        <v/>
      </c>
      <c r="L58" s="12">
        <f>WagnerWhitin!L25-INDEX(Dls_k,10)</f>
        <v/>
      </c>
      <c r="M58" s="28">
        <f>WagnerWhitin!M25-INDEX(Dls_k,10)</f>
        <v/>
      </c>
      <c r="O58" s="7">
        <f>MATCH(Data!$B$5,B58:M58,1)</f>
        <v/>
      </c>
      <c r="AA58" s="25">
        <f>IF(O58&gt;=12,12,IF(ABS(INDEX(B58:M58,O58+1)-Data!$B$5)&lt;ABS(INDEX(B58:M58,O58)-Data!$B$5),O58+1,O58))</f>
        <v/>
      </c>
    </row>
    <row r="59">
      <c r="A59" s="23" t="n">
        <v>11</v>
      </c>
      <c r="L59" s="12">
        <f>WagnerWhitin!L26-INDEX(Dls_k,11)</f>
        <v/>
      </c>
      <c r="M59" s="28">
        <f>WagnerWhitin!M26-INDEX(Dls_k,11)</f>
        <v/>
      </c>
      <c r="O59" s="7">
        <f>MATCH(Data!$B$5,B59:M59,1)</f>
        <v/>
      </c>
      <c r="AA59" s="25">
        <f>IF(O59&gt;=12,12,IF(ABS(INDEX(B59:M59,O59+1)-Data!$B$5)&lt;ABS(INDEX(B59:M59,O59)-Data!$B$5),O59+1,O59))</f>
        <v/>
      </c>
    </row>
    <row r="60">
      <c r="A60" s="23" t="n">
        <v>12</v>
      </c>
      <c r="M60" s="28">
        <f>WagnerWhitin!M27-INDEX(Dls_k,12)</f>
        <v/>
      </c>
      <c r="O60" s="7">
        <f>MATCH(Data!$B$5,B60:M60,1)</f>
        <v/>
      </c>
      <c r="AA60" s="25">
        <f>IF(O60&gt;=12,12,IF(ABS(INDEX(B60:M60,O60+1)-Data!$B$5)&lt;ABS(INDEX(B60:M60,O60)-Data!$B$5),O60+1,O60))</f>
        <v/>
      </c>
    </row>
    <row r="61">
      <c r="A61" s="2" t="inlineStr">
        <is>
          <t>The lookup wants a column that only grows, which carrying does. A score that can fall needs the test above.</t>
        </is>
      </c>
    </row>
    <row r="63">
      <c r="A63" s="3" t="inlineStr">
        <is>
          <t>THE CHAINS      the first order falls in month 1, and each order starts where the last one stopped</t>
        </is>
      </c>
    </row>
    <row r="64">
      <c r="A64" s="23" t="inlineStr">
        <is>
          <t>Order</t>
        </is>
      </c>
      <c r="B64" s="13" t="n">
        <v>1</v>
      </c>
      <c r="C64" s="13" t="n">
        <v>2</v>
      </c>
      <c r="D64" s="13" t="n">
        <v>3</v>
      </c>
      <c r="E64" s="13" t="n">
        <v>4</v>
      </c>
      <c r="F64" s="13" t="n">
        <v>5</v>
      </c>
      <c r="G64" s="13" t="n">
        <v>6</v>
      </c>
      <c r="H64" s="13" t="n">
        <v>7</v>
      </c>
      <c r="I64" s="13" t="n">
        <v>8</v>
      </c>
      <c r="J64" s="13" t="n">
        <v>9</v>
      </c>
      <c r="K64" s="13" t="n">
        <v>10</v>
      </c>
      <c r="L64" s="13" t="n">
        <v>11</v>
      </c>
      <c r="M64" s="13" t="n">
        <v>12</v>
      </c>
    </row>
    <row r="65">
      <c r="A65" s="23" t="inlineStr">
        <is>
          <t>Silver-Meal</t>
        </is>
      </c>
      <c r="B65" s="25">
        <f>1</f>
        <v/>
      </c>
      <c r="C65" s="25">
        <f>IF(B65="","",IF(INDEX($AA$17:$AA$28,B65)&gt;=12,"",INDEX($AA$17:$AA$28,B65)+1))</f>
        <v/>
      </c>
      <c r="D65" s="25">
        <f>IF(C65="","",IF(INDEX($AA$17:$AA$28,C65)&gt;=12,"",INDEX($AA$17:$AA$28,C65)+1))</f>
        <v/>
      </c>
      <c r="E65" s="25">
        <f>IF(D65="","",IF(INDEX($AA$17:$AA$28,D65)&gt;=12,"",INDEX($AA$17:$AA$28,D65)+1))</f>
        <v/>
      </c>
      <c r="F65" s="25">
        <f>IF(E65="","",IF(INDEX($AA$17:$AA$28,E65)&gt;=12,"",INDEX($AA$17:$AA$28,E65)+1))</f>
        <v/>
      </c>
      <c r="G65" s="25">
        <f>IF(F65="","",IF(INDEX($AA$17:$AA$28,F65)&gt;=12,"",INDEX($AA$17:$AA$28,F65)+1))</f>
        <v/>
      </c>
      <c r="H65" s="25">
        <f>IF(G65="","",IF(INDEX($AA$17:$AA$28,G65)&gt;=12,"",INDEX($AA$17:$AA$28,G65)+1))</f>
        <v/>
      </c>
      <c r="I65" s="25">
        <f>IF(H65="","",IF(INDEX($AA$17:$AA$28,H65)&gt;=12,"",INDEX($AA$17:$AA$28,H65)+1))</f>
        <v/>
      </c>
      <c r="J65" s="25">
        <f>IF(I65="","",IF(INDEX($AA$17:$AA$28,I65)&gt;=12,"",INDEX($AA$17:$AA$28,I65)+1))</f>
        <v/>
      </c>
      <c r="K65" s="25">
        <f>IF(J65="","",IF(INDEX($AA$17:$AA$28,J65)&gt;=12,"",INDEX($AA$17:$AA$28,J65)+1))</f>
        <v/>
      </c>
      <c r="L65" s="25">
        <f>IF(K65="","",IF(INDEX($AA$17:$AA$28,K65)&gt;=12,"",INDEX($AA$17:$AA$28,K65)+1))</f>
        <v/>
      </c>
      <c r="M65" s="25">
        <f>IF(L65="","",IF(INDEX($AA$17:$AA$28,L65)&gt;=12,"",INDEX($AA$17:$AA$28,L65)+1))</f>
        <v/>
      </c>
    </row>
    <row r="66">
      <c r="A66" s="23" t="inlineStr">
        <is>
          <t>Least unit cost</t>
        </is>
      </c>
      <c r="B66" s="25">
        <f>1</f>
        <v/>
      </c>
      <c r="C66" s="25">
        <f>IF(B66="","",IF(INDEX($AA$33:$AA$44,B66)&gt;=12,"",INDEX($AA$33:$AA$44,B66)+1))</f>
        <v/>
      </c>
      <c r="D66" s="25">
        <f>IF(C66="","",IF(INDEX($AA$33:$AA$44,C66)&gt;=12,"",INDEX($AA$33:$AA$44,C66)+1))</f>
        <v/>
      </c>
      <c r="E66" s="25">
        <f>IF(D66="","",IF(INDEX($AA$33:$AA$44,D66)&gt;=12,"",INDEX($AA$33:$AA$44,D66)+1))</f>
        <v/>
      </c>
      <c r="F66" s="25">
        <f>IF(E66="","",IF(INDEX($AA$33:$AA$44,E66)&gt;=12,"",INDEX($AA$33:$AA$44,E66)+1))</f>
        <v/>
      </c>
      <c r="G66" s="25">
        <f>IF(F66="","",IF(INDEX($AA$33:$AA$44,F66)&gt;=12,"",INDEX($AA$33:$AA$44,F66)+1))</f>
        <v/>
      </c>
      <c r="H66" s="25">
        <f>IF(G66="","",IF(INDEX($AA$33:$AA$44,G66)&gt;=12,"",INDEX($AA$33:$AA$44,G66)+1))</f>
        <v/>
      </c>
      <c r="I66" s="25">
        <f>IF(H66="","",IF(INDEX($AA$33:$AA$44,H66)&gt;=12,"",INDEX($AA$33:$AA$44,H66)+1))</f>
        <v/>
      </c>
      <c r="J66" s="25">
        <f>IF(I66="","",IF(INDEX($AA$33:$AA$44,I66)&gt;=12,"",INDEX($AA$33:$AA$44,I66)+1))</f>
        <v/>
      </c>
      <c r="K66" s="25">
        <f>IF(J66="","",IF(INDEX($AA$33:$AA$44,J66)&gt;=12,"",INDEX($AA$33:$AA$44,J66)+1))</f>
        <v/>
      </c>
      <c r="L66" s="25">
        <f>IF(K66="","",IF(INDEX($AA$33:$AA$44,K66)&gt;=12,"",INDEX($AA$33:$AA$44,K66)+1))</f>
        <v/>
      </c>
      <c r="M66" s="25">
        <f>IF(L66="","",IF(INDEX($AA$33:$AA$44,L66)&gt;=12,"",INDEX($AA$33:$AA$44,L66)+1))</f>
        <v/>
      </c>
    </row>
    <row r="67">
      <c r="A67" s="23" t="inlineStr">
        <is>
          <t>Part-period balancing</t>
        </is>
      </c>
      <c r="B67" s="25">
        <f>1</f>
        <v/>
      </c>
      <c r="C67" s="25">
        <f>IF(B67="","",IF(INDEX($AA$49:$AA$60,B67)&gt;=12,"",INDEX($AA$49:$AA$60,B67)+1))</f>
        <v/>
      </c>
      <c r="D67" s="25">
        <f>IF(C67="","",IF(INDEX($AA$49:$AA$60,C67)&gt;=12,"",INDEX($AA$49:$AA$60,C67)+1))</f>
        <v/>
      </c>
      <c r="E67" s="25">
        <f>IF(D67="","",IF(INDEX($AA$49:$AA$60,D67)&gt;=12,"",INDEX($AA$49:$AA$60,D67)+1))</f>
        <v/>
      </c>
      <c r="F67" s="25">
        <f>IF(E67="","",IF(INDEX($AA$49:$AA$60,E67)&gt;=12,"",INDEX($AA$49:$AA$60,E67)+1))</f>
        <v/>
      </c>
      <c r="G67" s="25">
        <f>IF(F67="","",IF(INDEX($AA$49:$AA$60,F67)&gt;=12,"",INDEX($AA$49:$AA$60,F67)+1))</f>
        <v/>
      </c>
      <c r="H67" s="25">
        <f>IF(G67="","",IF(INDEX($AA$49:$AA$60,G67)&gt;=12,"",INDEX($AA$49:$AA$60,G67)+1))</f>
        <v/>
      </c>
      <c r="I67" s="25">
        <f>IF(H67="","",IF(INDEX($AA$49:$AA$60,H67)&gt;=12,"",INDEX($AA$49:$AA$60,H67)+1))</f>
        <v/>
      </c>
      <c r="J67" s="25">
        <f>IF(I67="","",IF(INDEX($AA$49:$AA$60,I67)&gt;=12,"",INDEX($AA$49:$AA$60,I67)+1))</f>
        <v/>
      </c>
      <c r="K67" s="25">
        <f>IF(J67="","",IF(INDEX($AA$49:$AA$60,J67)&gt;=12,"",INDEX($AA$49:$AA$60,J67)+1))</f>
        <v/>
      </c>
      <c r="L67" s="25">
        <f>IF(K67="","",IF(INDEX($AA$49:$AA$60,K67)&gt;=12,"",INDEX($AA$49:$AA$60,K67)+1))</f>
        <v/>
      </c>
      <c r="M67" s="25">
        <f>IF(L67="","",IF(INDEX($AA$49:$AA$60,L67)&gt;=12,"",INDEX($AA$49:$AA$60,L67)+1))</f>
        <v/>
      </c>
    </row>
    <row r="68">
      <c r="A68" s="2" t="inlineStr">
        <is>
          <t>A blank means the previous order already reached month N, so the plan needs no further order.</t>
        </is>
      </c>
    </row>
    <row r="70">
      <c r="A70" s="3" t="inlineStr">
        <is>
          <t>THE PLANS      one row per month, one group of columns per rule</t>
        </is>
      </c>
    </row>
    <row r="71">
      <c r="C71" s="23" t="inlineStr">
        <is>
          <t>Silver-Meal</t>
        </is>
      </c>
      <c r="G71" s="23" t="inlineStr">
        <is>
          <t>Least unit cost</t>
        </is>
      </c>
      <c r="K71" s="23" t="inlineStr">
        <is>
          <t>Part-period balancing</t>
        </is>
      </c>
    </row>
    <row r="72">
      <c r="A72" s="13" t="inlineStr">
        <is>
          <t>Month</t>
        </is>
      </c>
      <c r="B72" s="14" t="inlineStr">
        <is>
          <t>Requirement</t>
        </is>
      </c>
      <c r="C72" s="13" t="inlineStr">
        <is>
          <t>Order</t>
        </is>
      </c>
      <c r="D72" s="13" t="inlineStr">
        <is>
          <t>End</t>
        </is>
      </c>
      <c r="E72" s="13" t="inlineStr">
        <is>
          <t>Setup</t>
        </is>
      </c>
      <c r="F72" s="14" t="inlineStr">
        <is>
          <t>Carrying</t>
        </is>
      </c>
      <c r="G72" s="13" t="inlineStr">
        <is>
          <t>Order</t>
        </is>
      </c>
      <c r="H72" s="13" t="inlineStr">
        <is>
          <t>End</t>
        </is>
      </c>
      <c r="I72" s="13" t="inlineStr">
        <is>
          <t>Setup</t>
        </is>
      </c>
      <c r="J72" s="14" t="inlineStr">
        <is>
          <t>Carrying</t>
        </is>
      </c>
      <c r="K72" s="13" t="inlineStr">
        <is>
          <t>Order</t>
        </is>
      </c>
      <c r="L72" s="13" t="inlineStr">
        <is>
          <t>End</t>
        </is>
      </c>
      <c r="M72" s="13" t="inlineStr">
        <is>
          <t>Setup</t>
        </is>
      </c>
      <c r="N72" s="14" t="inlineStr">
        <is>
          <t>Carrying</t>
        </is>
      </c>
    </row>
    <row r="73">
      <c r="A73" s="7">
        <f>INDEX(Dls_t,1)</f>
        <v/>
      </c>
      <c r="B73" s="22">
        <f>INDEX(Dls_d,1)</f>
        <v/>
      </c>
      <c r="C73" s="7">
        <f>IF(COUNTIF($B$65:$M$65,A73)=0,0,SUM(INDEX(Dls_d,A73):INDEX(Dls_d,INDEX($AA$17:$AA$28,A73))))</f>
        <v/>
      </c>
      <c r="D73" s="7">
        <f>0+C73-$B73</f>
        <v/>
      </c>
      <c r="E73" s="24">
        <f>IF(C73&gt;0,INDEX(Dls_k,1),0)</f>
        <v/>
      </c>
      <c r="F73" s="29">
        <f>D73*INDEX(Dls_h,1)</f>
        <v/>
      </c>
      <c r="G73" s="7">
        <f>IF(COUNTIF($B$66:$M$66,A73)=0,0,SUM(INDEX(Dls_d,A73):INDEX(Dls_d,INDEX($AA$33:$AA$44,A73))))</f>
        <v/>
      </c>
      <c r="H73" s="7">
        <f>0+G73-$B73</f>
        <v/>
      </c>
      <c r="I73" s="24">
        <f>IF(G73&gt;0,INDEX(Dls_k,1),0)</f>
        <v/>
      </c>
      <c r="J73" s="29">
        <f>H73*INDEX(Dls_h,1)</f>
        <v/>
      </c>
      <c r="K73" s="7">
        <f>IF(COUNTIF($B$67:$M$67,A73)=0,0,SUM(INDEX(Dls_d,A73):INDEX(Dls_d,INDEX($AA$49:$AA$60,A73))))</f>
        <v/>
      </c>
      <c r="L73" s="7">
        <f>0+K73-$B73</f>
        <v/>
      </c>
      <c r="M73" s="24">
        <f>IF(K73&gt;0,INDEX(Dls_k,1),0)</f>
        <v/>
      </c>
      <c r="N73" s="29">
        <f>L73*INDEX(Dls_h,1)</f>
        <v/>
      </c>
    </row>
    <row r="74">
      <c r="A74" s="7">
        <f>INDEX(Dls_t,2)</f>
        <v/>
      </c>
      <c r="B74" s="22">
        <f>INDEX(Dls_d,2)</f>
        <v/>
      </c>
      <c r="C74" s="7">
        <f>IF(COUNTIF($B$65:$M$65,A74)=0,0,SUM(INDEX(Dls_d,A74):INDEX(Dls_d,INDEX($AA$17:$AA$28,A74))))</f>
        <v/>
      </c>
      <c r="D74" s="7">
        <f>D73+C74-$B74</f>
        <v/>
      </c>
      <c r="E74" s="24">
        <f>IF(C74&gt;0,INDEX(Dls_k,2),0)</f>
        <v/>
      </c>
      <c r="F74" s="29">
        <f>D74*INDEX(Dls_h,2)</f>
        <v/>
      </c>
      <c r="G74" s="7">
        <f>IF(COUNTIF($B$66:$M$66,A74)=0,0,SUM(INDEX(Dls_d,A74):INDEX(Dls_d,INDEX($AA$33:$AA$44,A74))))</f>
        <v/>
      </c>
      <c r="H74" s="7">
        <f>H73+G74-$B74</f>
        <v/>
      </c>
      <c r="I74" s="24">
        <f>IF(G74&gt;0,INDEX(Dls_k,2),0)</f>
        <v/>
      </c>
      <c r="J74" s="29">
        <f>H74*INDEX(Dls_h,2)</f>
        <v/>
      </c>
      <c r="K74" s="7">
        <f>IF(COUNTIF($B$67:$M$67,A74)=0,0,SUM(INDEX(Dls_d,A74):INDEX(Dls_d,INDEX($AA$49:$AA$60,A74))))</f>
        <v/>
      </c>
      <c r="L74" s="7">
        <f>L73+K74-$B74</f>
        <v/>
      </c>
      <c r="M74" s="24">
        <f>IF(K74&gt;0,INDEX(Dls_k,2),0)</f>
        <v/>
      </c>
      <c r="N74" s="29">
        <f>L74*INDEX(Dls_h,2)</f>
        <v/>
      </c>
    </row>
    <row r="75">
      <c r="A75" s="7">
        <f>INDEX(Dls_t,3)</f>
        <v/>
      </c>
      <c r="B75" s="22">
        <f>INDEX(Dls_d,3)</f>
        <v/>
      </c>
      <c r="C75" s="7">
        <f>IF(COUNTIF($B$65:$M$65,A75)=0,0,SUM(INDEX(Dls_d,A75):INDEX(Dls_d,INDEX($AA$17:$AA$28,A75))))</f>
        <v/>
      </c>
      <c r="D75" s="7">
        <f>D74+C75-$B75</f>
        <v/>
      </c>
      <c r="E75" s="24">
        <f>IF(C75&gt;0,INDEX(Dls_k,3),0)</f>
        <v/>
      </c>
      <c r="F75" s="29">
        <f>D75*INDEX(Dls_h,3)</f>
        <v/>
      </c>
      <c r="G75" s="7">
        <f>IF(COUNTIF($B$66:$M$66,A75)=0,0,SUM(INDEX(Dls_d,A75):INDEX(Dls_d,INDEX($AA$33:$AA$44,A75))))</f>
        <v/>
      </c>
      <c r="H75" s="7">
        <f>H74+G75-$B75</f>
        <v/>
      </c>
      <c r="I75" s="24">
        <f>IF(G75&gt;0,INDEX(Dls_k,3),0)</f>
        <v/>
      </c>
      <c r="J75" s="29">
        <f>H75*INDEX(Dls_h,3)</f>
        <v/>
      </c>
      <c r="K75" s="7">
        <f>IF(COUNTIF($B$67:$M$67,A75)=0,0,SUM(INDEX(Dls_d,A75):INDEX(Dls_d,INDEX($AA$49:$AA$60,A75))))</f>
        <v/>
      </c>
      <c r="L75" s="7">
        <f>L74+K75-$B75</f>
        <v/>
      </c>
      <c r="M75" s="24">
        <f>IF(K75&gt;0,INDEX(Dls_k,3),0)</f>
        <v/>
      </c>
      <c r="N75" s="29">
        <f>L75*INDEX(Dls_h,3)</f>
        <v/>
      </c>
    </row>
    <row r="76">
      <c r="A76" s="7">
        <f>INDEX(Dls_t,4)</f>
        <v/>
      </c>
      <c r="B76" s="22">
        <f>INDEX(Dls_d,4)</f>
        <v/>
      </c>
      <c r="C76" s="7">
        <f>IF(COUNTIF($B$65:$M$65,A76)=0,0,SUM(INDEX(Dls_d,A76):INDEX(Dls_d,INDEX($AA$17:$AA$28,A76))))</f>
        <v/>
      </c>
      <c r="D76" s="7">
        <f>D75+C76-$B76</f>
        <v/>
      </c>
      <c r="E76" s="24">
        <f>IF(C76&gt;0,INDEX(Dls_k,4),0)</f>
        <v/>
      </c>
      <c r="F76" s="29">
        <f>D76*INDEX(Dls_h,4)</f>
        <v/>
      </c>
      <c r="G76" s="7">
        <f>IF(COUNTIF($B$66:$M$66,A76)=0,0,SUM(INDEX(Dls_d,A76):INDEX(Dls_d,INDEX($AA$33:$AA$44,A76))))</f>
        <v/>
      </c>
      <c r="H76" s="7">
        <f>H75+G76-$B76</f>
        <v/>
      </c>
      <c r="I76" s="24">
        <f>IF(G76&gt;0,INDEX(Dls_k,4),0)</f>
        <v/>
      </c>
      <c r="J76" s="29">
        <f>H76*INDEX(Dls_h,4)</f>
        <v/>
      </c>
      <c r="K76" s="7">
        <f>IF(COUNTIF($B$67:$M$67,A76)=0,0,SUM(INDEX(Dls_d,A76):INDEX(Dls_d,INDEX($AA$49:$AA$60,A76))))</f>
        <v/>
      </c>
      <c r="L76" s="7">
        <f>L75+K76-$B76</f>
        <v/>
      </c>
      <c r="M76" s="24">
        <f>IF(K76&gt;0,INDEX(Dls_k,4),0)</f>
        <v/>
      </c>
      <c r="N76" s="29">
        <f>L76*INDEX(Dls_h,4)</f>
        <v/>
      </c>
    </row>
    <row r="77">
      <c r="A77" s="7">
        <f>INDEX(Dls_t,5)</f>
        <v/>
      </c>
      <c r="B77" s="22">
        <f>INDEX(Dls_d,5)</f>
        <v/>
      </c>
      <c r="C77" s="7">
        <f>IF(COUNTIF($B$65:$M$65,A77)=0,0,SUM(INDEX(Dls_d,A77):INDEX(Dls_d,INDEX($AA$17:$AA$28,A77))))</f>
        <v/>
      </c>
      <c r="D77" s="7">
        <f>D76+C77-$B77</f>
        <v/>
      </c>
      <c r="E77" s="24">
        <f>IF(C77&gt;0,INDEX(Dls_k,5),0)</f>
        <v/>
      </c>
      <c r="F77" s="29">
        <f>D77*INDEX(Dls_h,5)</f>
        <v/>
      </c>
      <c r="G77" s="7">
        <f>IF(COUNTIF($B$66:$M$66,A77)=0,0,SUM(INDEX(Dls_d,A77):INDEX(Dls_d,INDEX($AA$33:$AA$44,A77))))</f>
        <v/>
      </c>
      <c r="H77" s="7">
        <f>H76+G77-$B77</f>
        <v/>
      </c>
      <c r="I77" s="24">
        <f>IF(G77&gt;0,INDEX(Dls_k,5),0)</f>
        <v/>
      </c>
      <c r="J77" s="29">
        <f>H77*INDEX(Dls_h,5)</f>
        <v/>
      </c>
      <c r="K77" s="7">
        <f>IF(COUNTIF($B$67:$M$67,A77)=0,0,SUM(INDEX(Dls_d,A77):INDEX(Dls_d,INDEX($AA$49:$AA$60,A77))))</f>
        <v/>
      </c>
      <c r="L77" s="7">
        <f>L76+K77-$B77</f>
        <v/>
      </c>
      <c r="M77" s="24">
        <f>IF(K77&gt;0,INDEX(Dls_k,5),0)</f>
        <v/>
      </c>
      <c r="N77" s="29">
        <f>L77*INDEX(Dls_h,5)</f>
        <v/>
      </c>
    </row>
    <row r="78">
      <c r="A78" s="7">
        <f>INDEX(Dls_t,6)</f>
        <v/>
      </c>
      <c r="B78" s="22">
        <f>INDEX(Dls_d,6)</f>
        <v/>
      </c>
      <c r="C78" s="7">
        <f>IF(COUNTIF($B$65:$M$65,A78)=0,0,SUM(INDEX(Dls_d,A78):INDEX(Dls_d,INDEX($AA$17:$AA$28,A78))))</f>
        <v/>
      </c>
      <c r="D78" s="7">
        <f>D77+C78-$B78</f>
        <v/>
      </c>
      <c r="E78" s="24">
        <f>IF(C78&gt;0,INDEX(Dls_k,6),0)</f>
        <v/>
      </c>
      <c r="F78" s="29">
        <f>D78*INDEX(Dls_h,6)</f>
        <v/>
      </c>
      <c r="G78" s="7">
        <f>IF(COUNTIF($B$66:$M$66,A78)=0,0,SUM(INDEX(Dls_d,A78):INDEX(Dls_d,INDEX($AA$33:$AA$44,A78))))</f>
        <v/>
      </c>
      <c r="H78" s="7">
        <f>H77+G78-$B78</f>
        <v/>
      </c>
      <c r="I78" s="24">
        <f>IF(G78&gt;0,INDEX(Dls_k,6),0)</f>
        <v/>
      </c>
      <c r="J78" s="29">
        <f>H78*INDEX(Dls_h,6)</f>
        <v/>
      </c>
      <c r="K78" s="7">
        <f>IF(COUNTIF($B$67:$M$67,A78)=0,0,SUM(INDEX(Dls_d,A78):INDEX(Dls_d,INDEX($AA$49:$AA$60,A78))))</f>
        <v/>
      </c>
      <c r="L78" s="7">
        <f>L77+K78-$B78</f>
        <v/>
      </c>
      <c r="M78" s="24">
        <f>IF(K78&gt;0,INDEX(Dls_k,6),0)</f>
        <v/>
      </c>
      <c r="N78" s="29">
        <f>L78*INDEX(Dls_h,6)</f>
        <v/>
      </c>
    </row>
    <row r="79">
      <c r="A79" s="7">
        <f>INDEX(Dls_t,7)</f>
        <v/>
      </c>
      <c r="B79" s="22">
        <f>INDEX(Dls_d,7)</f>
        <v/>
      </c>
      <c r="C79" s="7">
        <f>IF(COUNTIF($B$65:$M$65,A79)=0,0,SUM(INDEX(Dls_d,A79):INDEX(Dls_d,INDEX($AA$17:$AA$28,A79))))</f>
        <v/>
      </c>
      <c r="D79" s="7">
        <f>D78+C79-$B79</f>
        <v/>
      </c>
      <c r="E79" s="24">
        <f>IF(C79&gt;0,INDEX(Dls_k,7),0)</f>
        <v/>
      </c>
      <c r="F79" s="29">
        <f>D79*INDEX(Dls_h,7)</f>
        <v/>
      </c>
      <c r="G79" s="7">
        <f>IF(COUNTIF($B$66:$M$66,A79)=0,0,SUM(INDEX(Dls_d,A79):INDEX(Dls_d,INDEX($AA$33:$AA$44,A79))))</f>
        <v/>
      </c>
      <c r="H79" s="7">
        <f>H78+G79-$B79</f>
        <v/>
      </c>
      <c r="I79" s="24">
        <f>IF(G79&gt;0,INDEX(Dls_k,7),0)</f>
        <v/>
      </c>
      <c r="J79" s="29">
        <f>H79*INDEX(Dls_h,7)</f>
        <v/>
      </c>
      <c r="K79" s="7">
        <f>IF(COUNTIF($B$67:$M$67,A79)=0,0,SUM(INDEX(Dls_d,A79):INDEX(Dls_d,INDEX($AA$49:$AA$60,A79))))</f>
        <v/>
      </c>
      <c r="L79" s="7">
        <f>L78+K79-$B79</f>
        <v/>
      </c>
      <c r="M79" s="24">
        <f>IF(K79&gt;0,INDEX(Dls_k,7),0)</f>
        <v/>
      </c>
      <c r="N79" s="29">
        <f>L79*INDEX(Dls_h,7)</f>
        <v/>
      </c>
    </row>
    <row r="80">
      <c r="A80" s="7">
        <f>INDEX(Dls_t,8)</f>
        <v/>
      </c>
      <c r="B80" s="22">
        <f>INDEX(Dls_d,8)</f>
        <v/>
      </c>
      <c r="C80" s="7">
        <f>IF(COUNTIF($B$65:$M$65,A80)=0,0,SUM(INDEX(Dls_d,A80):INDEX(Dls_d,INDEX($AA$17:$AA$28,A80))))</f>
        <v/>
      </c>
      <c r="D80" s="7">
        <f>D79+C80-$B80</f>
        <v/>
      </c>
      <c r="E80" s="24">
        <f>IF(C80&gt;0,INDEX(Dls_k,8),0)</f>
        <v/>
      </c>
      <c r="F80" s="29">
        <f>D80*INDEX(Dls_h,8)</f>
        <v/>
      </c>
      <c r="G80" s="7">
        <f>IF(COUNTIF($B$66:$M$66,A80)=0,0,SUM(INDEX(Dls_d,A80):INDEX(Dls_d,INDEX($AA$33:$AA$44,A80))))</f>
        <v/>
      </c>
      <c r="H80" s="7">
        <f>H79+G80-$B80</f>
        <v/>
      </c>
      <c r="I80" s="24">
        <f>IF(G80&gt;0,INDEX(Dls_k,8),0)</f>
        <v/>
      </c>
      <c r="J80" s="29">
        <f>H80*INDEX(Dls_h,8)</f>
        <v/>
      </c>
      <c r="K80" s="7">
        <f>IF(COUNTIF($B$67:$M$67,A80)=0,0,SUM(INDEX(Dls_d,A80):INDEX(Dls_d,INDEX($AA$49:$AA$60,A80))))</f>
        <v/>
      </c>
      <c r="L80" s="7">
        <f>L79+K80-$B80</f>
        <v/>
      </c>
      <c r="M80" s="24">
        <f>IF(K80&gt;0,INDEX(Dls_k,8),0)</f>
        <v/>
      </c>
      <c r="N80" s="29">
        <f>L80*INDEX(Dls_h,8)</f>
        <v/>
      </c>
    </row>
    <row r="81">
      <c r="A81" s="7">
        <f>INDEX(Dls_t,9)</f>
        <v/>
      </c>
      <c r="B81" s="22">
        <f>INDEX(Dls_d,9)</f>
        <v/>
      </c>
      <c r="C81" s="7">
        <f>IF(COUNTIF($B$65:$M$65,A81)=0,0,SUM(INDEX(Dls_d,A81):INDEX(Dls_d,INDEX($AA$17:$AA$28,A81))))</f>
        <v/>
      </c>
      <c r="D81" s="7">
        <f>D80+C81-$B81</f>
        <v/>
      </c>
      <c r="E81" s="24">
        <f>IF(C81&gt;0,INDEX(Dls_k,9),0)</f>
        <v/>
      </c>
      <c r="F81" s="29">
        <f>D81*INDEX(Dls_h,9)</f>
        <v/>
      </c>
      <c r="G81" s="7">
        <f>IF(COUNTIF($B$66:$M$66,A81)=0,0,SUM(INDEX(Dls_d,A81):INDEX(Dls_d,INDEX($AA$33:$AA$44,A81))))</f>
        <v/>
      </c>
      <c r="H81" s="7">
        <f>H80+G81-$B81</f>
        <v/>
      </c>
      <c r="I81" s="24">
        <f>IF(G81&gt;0,INDEX(Dls_k,9),0)</f>
        <v/>
      </c>
      <c r="J81" s="29">
        <f>H81*INDEX(Dls_h,9)</f>
        <v/>
      </c>
      <c r="K81" s="7">
        <f>IF(COUNTIF($B$67:$M$67,A81)=0,0,SUM(INDEX(Dls_d,A81):INDEX(Dls_d,INDEX($AA$49:$AA$60,A81))))</f>
        <v/>
      </c>
      <c r="L81" s="7">
        <f>L80+K81-$B81</f>
        <v/>
      </c>
      <c r="M81" s="24">
        <f>IF(K81&gt;0,INDEX(Dls_k,9),0)</f>
        <v/>
      </c>
      <c r="N81" s="29">
        <f>L81*INDEX(Dls_h,9)</f>
        <v/>
      </c>
    </row>
    <row r="82">
      <c r="A82" s="7">
        <f>INDEX(Dls_t,10)</f>
        <v/>
      </c>
      <c r="B82" s="22">
        <f>INDEX(Dls_d,10)</f>
        <v/>
      </c>
      <c r="C82" s="7">
        <f>IF(COUNTIF($B$65:$M$65,A82)=0,0,SUM(INDEX(Dls_d,A82):INDEX(Dls_d,INDEX($AA$17:$AA$28,A82))))</f>
        <v/>
      </c>
      <c r="D82" s="7">
        <f>D81+C82-$B82</f>
        <v/>
      </c>
      <c r="E82" s="24">
        <f>IF(C82&gt;0,INDEX(Dls_k,10),0)</f>
        <v/>
      </c>
      <c r="F82" s="29">
        <f>D82*INDEX(Dls_h,10)</f>
        <v/>
      </c>
      <c r="G82" s="7">
        <f>IF(COUNTIF($B$66:$M$66,A82)=0,0,SUM(INDEX(Dls_d,A82):INDEX(Dls_d,INDEX($AA$33:$AA$44,A82))))</f>
        <v/>
      </c>
      <c r="H82" s="7">
        <f>H81+G82-$B82</f>
        <v/>
      </c>
      <c r="I82" s="24">
        <f>IF(G82&gt;0,INDEX(Dls_k,10),0)</f>
        <v/>
      </c>
      <c r="J82" s="29">
        <f>H82*INDEX(Dls_h,10)</f>
        <v/>
      </c>
      <c r="K82" s="7">
        <f>IF(COUNTIF($B$67:$M$67,A82)=0,0,SUM(INDEX(Dls_d,A82):INDEX(Dls_d,INDEX($AA$49:$AA$60,A82))))</f>
        <v/>
      </c>
      <c r="L82" s="7">
        <f>L81+K82-$B82</f>
        <v/>
      </c>
      <c r="M82" s="24">
        <f>IF(K82&gt;0,INDEX(Dls_k,10),0)</f>
        <v/>
      </c>
      <c r="N82" s="29">
        <f>L82*INDEX(Dls_h,10)</f>
        <v/>
      </c>
    </row>
    <row r="83">
      <c r="A83" s="7">
        <f>INDEX(Dls_t,11)</f>
        <v/>
      </c>
      <c r="B83" s="22">
        <f>INDEX(Dls_d,11)</f>
        <v/>
      </c>
      <c r="C83" s="7">
        <f>IF(COUNTIF($B$65:$M$65,A83)=0,0,SUM(INDEX(Dls_d,A83):INDEX(Dls_d,INDEX($AA$17:$AA$28,A83))))</f>
        <v/>
      </c>
      <c r="D83" s="7">
        <f>D82+C83-$B83</f>
        <v/>
      </c>
      <c r="E83" s="24">
        <f>IF(C83&gt;0,INDEX(Dls_k,11),0)</f>
        <v/>
      </c>
      <c r="F83" s="29">
        <f>D83*INDEX(Dls_h,11)</f>
        <v/>
      </c>
      <c r="G83" s="7">
        <f>IF(COUNTIF($B$66:$M$66,A83)=0,0,SUM(INDEX(Dls_d,A83):INDEX(Dls_d,INDEX($AA$33:$AA$44,A83))))</f>
        <v/>
      </c>
      <c r="H83" s="7">
        <f>H82+G83-$B83</f>
        <v/>
      </c>
      <c r="I83" s="24">
        <f>IF(G83&gt;0,INDEX(Dls_k,11),0)</f>
        <v/>
      </c>
      <c r="J83" s="29">
        <f>H83*INDEX(Dls_h,11)</f>
        <v/>
      </c>
      <c r="K83" s="7">
        <f>IF(COUNTIF($B$67:$M$67,A83)=0,0,SUM(INDEX(Dls_d,A83):INDEX(Dls_d,INDEX($AA$49:$AA$60,A83))))</f>
        <v/>
      </c>
      <c r="L83" s="7">
        <f>L82+K83-$B83</f>
        <v/>
      </c>
      <c r="M83" s="24">
        <f>IF(K83&gt;0,INDEX(Dls_k,11),0)</f>
        <v/>
      </c>
      <c r="N83" s="29">
        <f>L83*INDEX(Dls_h,11)</f>
        <v/>
      </c>
    </row>
    <row r="84">
      <c r="A84" s="7">
        <f>INDEX(Dls_t,12)</f>
        <v/>
      </c>
      <c r="B84" s="22">
        <f>INDEX(Dls_d,12)</f>
        <v/>
      </c>
      <c r="C84" s="7">
        <f>IF(COUNTIF($B$65:$M$65,A84)=0,0,SUM(INDEX(Dls_d,A84):INDEX(Dls_d,INDEX($AA$17:$AA$28,A84))))</f>
        <v/>
      </c>
      <c r="D84" s="7">
        <f>D83+C84-$B84</f>
        <v/>
      </c>
      <c r="E84" s="24">
        <f>IF(C84&gt;0,INDEX(Dls_k,12),0)</f>
        <v/>
      </c>
      <c r="F84" s="29">
        <f>D84*INDEX(Dls_h,12)</f>
        <v/>
      </c>
      <c r="G84" s="7">
        <f>IF(COUNTIF($B$66:$M$66,A84)=0,0,SUM(INDEX(Dls_d,A84):INDEX(Dls_d,INDEX($AA$33:$AA$44,A84))))</f>
        <v/>
      </c>
      <c r="H84" s="7">
        <f>H83+G84-$B84</f>
        <v/>
      </c>
      <c r="I84" s="24">
        <f>IF(G84&gt;0,INDEX(Dls_k,12),0)</f>
        <v/>
      </c>
      <c r="J84" s="29">
        <f>H84*INDEX(Dls_h,12)</f>
        <v/>
      </c>
      <c r="K84" s="7">
        <f>IF(COUNTIF($B$67:$M$67,A84)=0,0,SUM(INDEX(Dls_d,A84):INDEX(Dls_d,INDEX($AA$49:$AA$60,A84))))</f>
        <v/>
      </c>
      <c r="L84" s="7">
        <f>L83+K84-$B84</f>
        <v/>
      </c>
      <c r="M84" s="24">
        <f>IF(K84&gt;0,INDEX(Dls_k,12),0)</f>
        <v/>
      </c>
      <c r="N84" s="29">
        <f>L84*INDEX(Dls_h,12)</f>
        <v/>
      </c>
    </row>
    <row r="85">
      <c r="A85" s="26" t="inlineStr">
        <is>
          <t>Total</t>
        </is>
      </c>
      <c r="B85" s="20" t="n"/>
      <c r="E85" s="27">
        <f>SUM(E73:E84)</f>
        <v/>
      </c>
      <c r="F85" s="30">
        <f>SUM(F73:F84)</f>
        <v/>
      </c>
      <c r="I85" s="27">
        <f>SUM(I73:I84)</f>
        <v/>
      </c>
      <c r="J85" s="30">
        <f>SUM(J73:J84)</f>
        <v/>
      </c>
      <c r="M85" s="27">
        <f>SUM(M73:M84)</f>
        <v/>
      </c>
      <c r="N85" s="30">
        <f>SUM(N73:N84)</f>
        <v/>
      </c>
    </row>
    <row r="86">
      <c r="A86" s="2" t="inlineStr">
        <is>
          <t>Setup plus carrying for each rule is the relevant cost reported at the top.</t>
        </is>
      </c>
    </row>
  </sheetData>
  <pageMargins left="0.75" right="0.75" top="1" bottom="1" header="0.5" footer="0.5"/>
  <drawing r:id="rId1"/>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 width="10" customWidth="1" min="5" max="5"/>
    <col width="10" customWidth="1" min="6" max="6"/>
    <col width="11" customWidth="1" min="7" max="7"/>
    <col width="14" customWidth="1" min="8" max="8"/>
  </cols>
  <sheetData>
    <row r="1">
      <c r="A1" s="1" t="inlineStr">
        <is>
          <t>The same problem for Solver</t>
        </is>
      </c>
    </row>
    <row r="2">
      <c r="A2" s="2" t="inlineStr">
        <is>
          <t>Chapter 5, section 5.4.3.</t>
        </is>
      </c>
    </row>
    <row r="4">
      <c r="A4" s="3" t="inlineStr">
        <is>
          <t>OBJECTIVE</t>
        </is>
      </c>
    </row>
    <row r="5">
      <c r="A5" t="inlineStr">
        <is>
          <t>Total relevant cost, minimize this</t>
        </is>
      </c>
      <c r="B5" s="6">
        <f>SUM(F14:F25)+SUM(G14:G25)</f>
        <v/>
      </c>
    </row>
    <row r="6">
      <c r="A6" t="inlineStr">
        <is>
          <t>Largest shortage, which must stay at zero</t>
        </is>
      </c>
      <c r="B6" s="7">
        <f>-MIN(0,MIN(E14:E25))</f>
        <v/>
      </c>
    </row>
    <row r="8">
      <c r="A8" s="3" t="inlineStr">
        <is>
          <t>HOW</t>
        </is>
      </c>
    </row>
    <row r="9">
      <c r="A9" s="2" t="inlineStr">
        <is>
          <t>Data &gt; Solver. Set objective B5 to a minimum by changing C14:D25.</t>
        </is>
      </c>
    </row>
    <row r="10">
      <c r="A10" s="2" t="inlineStr">
        <is>
          <t>Subject to:  D14:D25 = binary,  C14:C25 &gt;= 0,  E14:E25 &gt;= 0,  H14:H25 &lt;= 0</t>
        </is>
      </c>
    </row>
    <row r="11">
      <c r="A11" s="2" t="inlineStr">
        <is>
          <t>Choose the Simplex LP engine. Section 5.4.3 explains why the model is linear in these variables.</t>
        </is>
      </c>
    </row>
    <row r="13">
      <c r="A13" s="13" t="inlineStr">
        <is>
          <t>Month</t>
        </is>
      </c>
      <c r="B13" s="13" t="inlineStr">
        <is>
          <t>Requirement</t>
        </is>
      </c>
      <c r="C13" s="13" t="inlineStr">
        <is>
          <t>Order Q(t)</t>
        </is>
      </c>
      <c r="D13" s="13" t="inlineStr">
        <is>
          <t>Order? y(t)</t>
        </is>
      </c>
      <c r="E13" s="13" t="inlineStr">
        <is>
          <t>End I(t)</t>
        </is>
      </c>
      <c r="F13" s="13" t="inlineStr">
        <is>
          <t>Setup</t>
        </is>
      </c>
      <c r="G13" s="13" t="inlineStr">
        <is>
          <t>Carrying</t>
        </is>
      </c>
      <c r="H13" s="13" t="inlineStr">
        <is>
          <t>Q - My</t>
        </is>
      </c>
    </row>
    <row r="14">
      <c r="A14" s="7">
        <f>INDEX(Dls_t,1)</f>
        <v/>
      </c>
      <c r="B14" s="7">
        <f>INDEX(Dls_d,1)</f>
        <v/>
      </c>
      <c r="C14" s="16" t="n">
        <v>220</v>
      </c>
      <c r="D14" s="16" t="n">
        <v>1</v>
      </c>
      <c r="E14" s="7">
        <f>0+C14-B14</f>
        <v/>
      </c>
      <c r="F14" s="24">
        <f>D14*INDEX(Dls_k,1)</f>
        <v/>
      </c>
      <c r="G14" s="24">
        <f>E14*INDEX(Dls_h,1)</f>
        <v/>
      </c>
      <c r="H14" s="7">
        <f>C14-1840*D14</f>
        <v/>
      </c>
    </row>
    <row r="15">
      <c r="A15" s="7">
        <f>INDEX(Dls_t,2)</f>
        <v/>
      </c>
      <c r="B15" s="7">
        <f>INDEX(Dls_d,2)</f>
        <v/>
      </c>
      <c r="C15" s="16" t="n">
        <v>0</v>
      </c>
      <c r="D15" s="16" t="n">
        <v>0</v>
      </c>
      <c r="E15" s="7">
        <f>E14+C15-B15</f>
        <v/>
      </c>
      <c r="F15" s="24">
        <f>D15*INDEX(Dls_k,2)</f>
        <v/>
      </c>
      <c r="G15" s="24">
        <f>E15*INDEX(Dls_h,2)</f>
        <v/>
      </c>
      <c r="H15" s="7">
        <f>C15-1840*D15</f>
        <v/>
      </c>
    </row>
    <row r="16">
      <c r="A16" s="7">
        <f>INDEX(Dls_t,3)</f>
        <v/>
      </c>
      <c r="B16" s="7">
        <f>INDEX(Dls_d,3)</f>
        <v/>
      </c>
      <c r="C16" s="16" t="n">
        <v>0</v>
      </c>
      <c r="D16" s="16" t="n">
        <v>0</v>
      </c>
      <c r="E16" s="7">
        <f>E15+C16-B16</f>
        <v/>
      </c>
      <c r="F16" s="24">
        <f>D16*INDEX(Dls_k,3)</f>
        <v/>
      </c>
      <c r="G16" s="24">
        <f>E16*INDEX(Dls_h,3)</f>
        <v/>
      </c>
      <c r="H16" s="7">
        <f>C16-1840*D16</f>
        <v/>
      </c>
    </row>
    <row r="17">
      <c r="A17" s="7">
        <f>INDEX(Dls_t,4)</f>
        <v/>
      </c>
      <c r="B17" s="7">
        <f>INDEX(Dls_d,4)</f>
        <v/>
      </c>
      <c r="C17" s="16" t="n">
        <v>300</v>
      </c>
      <c r="D17" s="16" t="n">
        <v>1</v>
      </c>
      <c r="E17" s="7">
        <f>E16+C17-B17</f>
        <v/>
      </c>
      <c r="F17" s="24">
        <f>D17*INDEX(Dls_k,4)</f>
        <v/>
      </c>
      <c r="G17" s="24">
        <f>E17*INDEX(Dls_h,4)</f>
        <v/>
      </c>
      <c r="H17" s="7">
        <f>C17-1840*D17</f>
        <v/>
      </c>
    </row>
    <row r="18">
      <c r="A18" s="7">
        <f>INDEX(Dls_t,5)</f>
        <v/>
      </c>
      <c r="B18" s="7">
        <f>INDEX(Dls_d,5)</f>
        <v/>
      </c>
      <c r="C18" s="16" t="n">
        <v>420</v>
      </c>
      <c r="D18" s="16" t="n">
        <v>1</v>
      </c>
      <c r="E18" s="7">
        <f>E17+C18-B18</f>
        <v/>
      </c>
      <c r="F18" s="24">
        <f>D18*INDEX(Dls_k,5)</f>
        <v/>
      </c>
      <c r="G18" s="24">
        <f>E18*INDEX(Dls_h,5)</f>
        <v/>
      </c>
      <c r="H18" s="7">
        <f>C18-1840*D18</f>
        <v/>
      </c>
    </row>
    <row r="19">
      <c r="A19" s="7">
        <f>INDEX(Dls_t,6)</f>
        <v/>
      </c>
      <c r="B19" s="7">
        <f>INDEX(Dls_d,6)</f>
        <v/>
      </c>
      <c r="C19" s="16" t="n">
        <v>420</v>
      </c>
      <c r="D19" s="16" t="n">
        <v>1</v>
      </c>
      <c r="E19" s="7">
        <f>E18+C19-B19</f>
        <v/>
      </c>
      <c r="F19" s="24">
        <f>D19*INDEX(Dls_k,6)</f>
        <v/>
      </c>
      <c r="G19" s="24">
        <f>E19*INDEX(Dls_h,6)</f>
        <v/>
      </c>
      <c r="H19" s="7">
        <f>C19-1840*D19</f>
        <v/>
      </c>
    </row>
    <row r="20">
      <c r="A20" s="7">
        <f>INDEX(Dls_t,7)</f>
        <v/>
      </c>
      <c r="B20" s="7">
        <f>INDEX(Dls_d,7)</f>
        <v/>
      </c>
      <c r="C20" s="16" t="n">
        <v>0</v>
      </c>
      <c r="D20" s="16" t="n">
        <v>0</v>
      </c>
      <c r="E20" s="7">
        <f>E19+C20-B20</f>
        <v/>
      </c>
      <c r="F20" s="24">
        <f>D20*INDEX(Dls_k,7)</f>
        <v/>
      </c>
      <c r="G20" s="24">
        <f>E20*INDEX(Dls_h,7)</f>
        <v/>
      </c>
      <c r="H20" s="7">
        <f>C20-1840*D20</f>
        <v/>
      </c>
    </row>
    <row r="21">
      <c r="A21" s="7">
        <f>INDEX(Dls_t,8)</f>
        <v/>
      </c>
      <c r="B21" s="7">
        <f>INDEX(Dls_d,8)</f>
        <v/>
      </c>
      <c r="C21" s="16" t="n">
        <v>0</v>
      </c>
      <c r="D21" s="16" t="n">
        <v>0</v>
      </c>
      <c r="E21" s="7">
        <f>E20+C21-B21</f>
        <v/>
      </c>
      <c r="F21" s="24">
        <f>D21*INDEX(Dls_k,8)</f>
        <v/>
      </c>
      <c r="G21" s="24">
        <f>E21*INDEX(Dls_h,8)</f>
        <v/>
      </c>
      <c r="H21" s="7">
        <f>C21-1840*D21</f>
        <v/>
      </c>
    </row>
    <row r="22">
      <c r="A22" s="7">
        <f>INDEX(Dls_t,9)</f>
        <v/>
      </c>
      <c r="B22" s="7">
        <f>INDEX(Dls_d,9)</f>
        <v/>
      </c>
      <c r="C22" s="16" t="n">
        <v>0</v>
      </c>
      <c r="D22" s="16" t="n">
        <v>0</v>
      </c>
      <c r="E22" s="7">
        <f>E21+C22-B22</f>
        <v/>
      </c>
      <c r="F22" s="24">
        <f>D22*INDEX(Dls_k,9)</f>
        <v/>
      </c>
      <c r="G22" s="24">
        <f>E22*INDEX(Dls_h,9)</f>
        <v/>
      </c>
      <c r="H22" s="7">
        <f>C22-1840*D22</f>
        <v/>
      </c>
    </row>
    <row r="23">
      <c r="A23" s="7">
        <f>INDEX(Dls_t,10)</f>
        <v/>
      </c>
      <c r="B23" s="7">
        <f>INDEX(Dls_d,10)</f>
        <v/>
      </c>
      <c r="C23" s="16" t="n">
        <v>260</v>
      </c>
      <c r="D23" s="16" t="n">
        <v>1</v>
      </c>
      <c r="E23" s="7">
        <f>E22+C23-B23</f>
        <v/>
      </c>
      <c r="F23" s="24">
        <f>D23*INDEX(Dls_k,10)</f>
        <v/>
      </c>
      <c r="G23" s="24">
        <f>E23*INDEX(Dls_h,10)</f>
        <v/>
      </c>
      <c r="H23" s="7">
        <f>C23-1840*D23</f>
        <v/>
      </c>
    </row>
    <row r="24">
      <c r="A24" s="7">
        <f>INDEX(Dls_t,11)</f>
        <v/>
      </c>
      <c r="B24" s="7">
        <f>INDEX(Dls_d,11)</f>
        <v/>
      </c>
      <c r="C24" s="16" t="n">
        <v>0</v>
      </c>
      <c r="D24" s="16" t="n">
        <v>0</v>
      </c>
      <c r="E24" s="7">
        <f>E23+C24-B24</f>
        <v/>
      </c>
      <c r="F24" s="24">
        <f>D24*INDEX(Dls_k,11)</f>
        <v/>
      </c>
      <c r="G24" s="24">
        <f>E24*INDEX(Dls_h,11)</f>
        <v/>
      </c>
      <c r="H24" s="7">
        <f>C24-1840*D24</f>
        <v/>
      </c>
    </row>
    <row r="25">
      <c r="A25" s="7">
        <f>INDEX(Dls_t,12)</f>
        <v/>
      </c>
      <c r="B25" s="7">
        <f>INDEX(Dls_d,12)</f>
        <v/>
      </c>
      <c r="C25" s="16" t="n">
        <v>220</v>
      </c>
      <c r="D25" s="16" t="n">
        <v>1</v>
      </c>
      <c r="E25" s="7">
        <f>E24+C25-B25</f>
        <v/>
      </c>
      <c r="F25" s="24">
        <f>D25*INDEX(Dls_k,12)</f>
        <v/>
      </c>
      <c r="G25" s="24">
        <f>E25*INDEX(Dls_h,12)</f>
        <v/>
      </c>
      <c r="H25" s="7">
        <f>C25-1840*D25</f>
        <v/>
      </c>
    </row>
    <row r="27">
      <c r="A27" s="2" t="inlineStr">
        <is>
          <t>Column H is the linking constraint: an order can be positive only in a month whose flag is one.</t>
        </is>
      </c>
    </row>
    <row r="28">
      <c r="A28" s="2" t="inlineStr">
        <is>
          <t>M is 1840, the whole horizon's requirement, which is the most any single order would ever carry.</t>
        </is>
      </c>
    </row>
    <row r="30">
      <c r="A30" s="3" t="inlineStr">
        <is>
          <t>CHECK      with the data as shipped</t>
        </is>
      </c>
    </row>
    <row r="31">
      <c r="A31" s="2" t="inlineStr">
        <is>
          <t>The sheet ships holding the optimal plan, so B5 already reads $2,480 and B6 reads zero.</t>
        </is>
      </c>
    </row>
    <row r="32">
      <c r="A32" s="2" t="inlineStr">
        <is>
          <t>Clear C14:D25 to zero and Solver should find its way back to $2,480.</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2026-09-13T16:06:22Z</dcterms:created>
  <dcterms:modified xsi:type="dcterms:W3CDTF">2026-09-13T16:06:22Z</dcterms:modified>
</cp:coreProperties>
</file>