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rossetti/Documents/GitHub/InventoryCourse/spreadsheets/"/>
    </mc:Choice>
  </mc:AlternateContent>
  <xr:revisionPtr revIDLastSave="0" documentId="13_ncr:1_{31231BE7-2A7F-154F-967F-37959C11F3E1}" xr6:coauthVersionLast="47" xr6:coauthVersionMax="47" xr10:uidLastSave="{00000000-0000-0000-0000-000000000000}"/>
  <bookViews>
    <workbookView minimized="1" xWindow="0" yWindow="660" windowWidth="36460" windowHeight="18780" activeTab="4" xr2:uid="{00000000-000D-0000-FFFF-FFFF00000000}"/>
  </bookViews>
  <sheets>
    <sheet name="Notes" sheetId="1" r:id="rId1"/>
    <sheet name="Constrained" sheetId="2" r:id="rId2"/>
    <sheet name="Distribution" sheetId="3" r:id="rId3"/>
    <sheet name="ExchangeCurve" sheetId="4" r:id="rId4"/>
    <sheet name="JointReplenishment" sheetId="5" r:id="rId5"/>
  </sheets>
  <definedNames>
    <definedName name="Con_a">Constrained!$G$43:$G$142</definedName>
    <definedName name="Con_c">Constrained!$C$43:$C$142</definedName>
    <definedName name="Con_h">Constrained!$F$43:$F$142</definedName>
    <definedName name="Con_k">Constrained!$D$43:$D$142</definedName>
    <definedName name="Con_lambda">Constrained!$B$43:$B$142</definedName>
    <definedName name="Con_name">Constrained!$A$43:$A$142</definedName>
    <definedName name="Con_NFree">Constrained!$J$43:$J$142</definedName>
    <definedName name="Con_NHeld">Constrained!$K$43:$K$142</definedName>
    <definedName name="Con_Qfree">Constrained!$H$43:$H$142</definedName>
    <definedName name="Con_Qheld">Constrained!$I$43:$I$142</definedName>
    <definedName name="Con_ratio">Constrained!$L$43:$L$142</definedName>
    <definedName name="Con_v">Constrained!$E$43:$E$142</definedName>
    <definedName name="Dis_g">Distribution!$F$42:$F$141</definedName>
    <definedName name="Dis_h">Distribution!$D$42:$D$141</definedName>
    <definedName name="Dis_hprime">Distribution!$E$42:$E$141</definedName>
    <definedName name="Dis_k">Distribution!$C$42:$C$141</definedName>
    <definedName name="Dis_lambda">Distribution!$B$42:$B$141</definedName>
    <definedName name="Dis_node">Distribution!$A$42:$A$141</definedName>
    <definedName name="Dis_rank">Distribution!$H$42:$H$141</definedName>
    <definedName name="Dis_ratio">Distribution!$G$42:$G$141</definedName>
    <definedName name="Exc_c">ExchangeCurve!$C$54:$C$153</definedName>
    <definedName name="Exc_h">ExchangeCurve!$F$54:$F$153</definedName>
    <definedName name="Exc_k">ExchangeCurve!$E$54:$E$153</definedName>
    <definedName name="Exc_lambda">ExchangeCurve!$B$54:$B$153</definedName>
    <definedName name="Exc_N">ExchangeCurve!$I$54:$I$153</definedName>
    <definedName name="Exc_name">ExchangeCurve!$A$54:$A$153</definedName>
    <definedName name="Exc_nroot">ExchangeCurve!$J$54:$J$153</definedName>
    <definedName name="Exc_Q">ExchangeCurve!$H$54:$H$153</definedName>
    <definedName name="Exc_root">ExchangeCurve!$G$54:$G$153</definedName>
    <definedName name="Exc_w">ExchangeCurve!$D$54:$D$153</definedName>
    <definedName name="Jnt_c">JointReplenishment!$C$56:$C$155</definedName>
    <definedName name="Jnt_cost_int">JointReplenishment!$I$56:$I$155</definedName>
    <definedName name="Jnt_cost_po2">JointReplenishment!$K$56:$K$155</definedName>
    <definedName name="Jnt_g">JointReplenishment!$F$56:$F$155</definedName>
    <definedName name="Jnt_h">JointReplenishment!$E$56:$E$155</definedName>
    <definedName name="Jnt_k">JointReplenishment!$D$56:$D$155</definedName>
    <definedName name="Jnt_lambda">JointReplenishment!$B$56:$B$155</definedName>
    <definedName name="Jnt_m_int">JointReplenishment!$H$56:$H$155</definedName>
    <definedName name="Jnt_m_po2">JointReplenishment!$J$56:$J$155</definedName>
    <definedName name="Jnt_name">JointReplenishment!$A$56:$A$155</definedName>
    <definedName name="Jnt_Tpref">JointReplenishment!$G$56:$G$155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5" l="1"/>
  <c r="F59" i="5" s="1"/>
  <c r="G59" i="5" s="1"/>
  <c r="G58" i="5"/>
  <c r="J58" i="5" s="1"/>
  <c r="K58" i="5" s="1"/>
  <c r="F58" i="5"/>
  <c r="E58" i="5"/>
  <c r="E57" i="5"/>
  <c r="F57" i="5" s="1"/>
  <c r="G57" i="5" s="1"/>
  <c r="E56" i="5"/>
  <c r="F56" i="5" s="1"/>
  <c r="B10" i="5"/>
  <c r="H62" i="4"/>
  <c r="I62" i="4" s="1"/>
  <c r="G62" i="4"/>
  <c r="F62" i="4"/>
  <c r="E62" i="4"/>
  <c r="J62" i="4" s="1"/>
  <c r="F61" i="4"/>
  <c r="E61" i="4"/>
  <c r="J61" i="4" s="1"/>
  <c r="H60" i="4"/>
  <c r="I60" i="4" s="1"/>
  <c r="G60" i="4"/>
  <c r="F60" i="4"/>
  <c r="E60" i="4"/>
  <c r="J60" i="4" s="1"/>
  <c r="F59" i="4"/>
  <c r="E59" i="4"/>
  <c r="J59" i="4" s="1"/>
  <c r="H58" i="4"/>
  <c r="I58" i="4" s="1"/>
  <c r="G58" i="4"/>
  <c r="F58" i="4"/>
  <c r="E58" i="4"/>
  <c r="J58" i="4" s="1"/>
  <c r="F57" i="4"/>
  <c r="E57" i="4"/>
  <c r="J57" i="4" s="1"/>
  <c r="H56" i="4"/>
  <c r="I56" i="4" s="1"/>
  <c r="G56" i="4"/>
  <c r="F56" i="4"/>
  <c r="E56" i="4"/>
  <c r="J56" i="4" s="1"/>
  <c r="F55" i="4"/>
  <c r="E55" i="4"/>
  <c r="H54" i="4"/>
  <c r="I54" i="4" s="1"/>
  <c r="G54" i="4"/>
  <c r="F54" i="4"/>
  <c r="E54" i="4"/>
  <c r="J54" i="4" s="1"/>
  <c r="C44" i="4"/>
  <c r="C43" i="4"/>
  <c r="B43" i="4"/>
  <c r="D43" i="4" s="1"/>
  <c r="C41" i="4"/>
  <c r="C40" i="4"/>
  <c r="B40" i="4"/>
  <c r="D40" i="4" s="1"/>
  <c r="C39" i="4"/>
  <c r="B39" i="4"/>
  <c r="D39" i="4" s="1"/>
  <c r="C38" i="4"/>
  <c r="C37" i="4"/>
  <c r="B37" i="4"/>
  <c r="D37" i="4" s="1"/>
  <c r="C36" i="4"/>
  <c r="B36" i="4"/>
  <c r="D36" i="4" s="1"/>
  <c r="C35" i="4"/>
  <c r="B35" i="4"/>
  <c r="D35" i="4" s="1"/>
  <c r="B12" i="4"/>
  <c r="B11" i="4"/>
  <c r="B13" i="4" s="1"/>
  <c r="B10" i="4"/>
  <c r="F48" i="3"/>
  <c r="G48" i="3" s="1"/>
  <c r="E48" i="3"/>
  <c r="F47" i="3"/>
  <c r="G47" i="3" s="1"/>
  <c r="E47" i="3"/>
  <c r="G46" i="3"/>
  <c r="H46" i="3" s="1"/>
  <c r="F46" i="3"/>
  <c r="E46" i="3"/>
  <c r="F45" i="3"/>
  <c r="G45" i="3" s="1"/>
  <c r="H45" i="3" s="1"/>
  <c r="E45" i="3"/>
  <c r="F44" i="3"/>
  <c r="G44" i="3" s="1"/>
  <c r="E44" i="3"/>
  <c r="G43" i="3"/>
  <c r="F43" i="3"/>
  <c r="E43" i="3"/>
  <c r="H42" i="3"/>
  <c r="F42" i="3"/>
  <c r="E42" i="3"/>
  <c r="F37" i="3"/>
  <c r="B7" i="3"/>
  <c r="I45" i="2"/>
  <c r="L45" i="2" s="1"/>
  <c r="H45" i="2"/>
  <c r="J45" i="2" s="1"/>
  <c r="G45" i="2"/>
  <c r="F45" i="2"/>
  <c r="H44" i="2"/>
  <c r="J44" i="2" s="1"/>
  <c r="G44" i="2"/>
  <c r="F44" i="2"/>
  <c r="I44" i="2" s="1"/>
  <c r="G43" i="2"/>
  <c r="C27" i="2" s="1"/>
  <c r="F43" i="2"/>
  <c r="I43" i="2" s="1"/>
  <c r="C6" i="2"/>
  <c r="E45" i="4" l="1"/>
  <c r="E42" i="4"/>
  <c r="E39" i="4"/>
  <c r="E36" i="4"/>
  <c r="E44" i="4"/>
  <c r="E41" i="4"/>
  <c r="E38" i="4"/>
  <c r="E35" i="4"/>
  <c r="E46" i="4"/>
  <c r="E43" i="4"/>
  <c r="E40" i="4"/>
  <c r="H47" i="3"/>
  <c r="B11" i="5"/>
  <c r="G56" i="5"/>
  <c r="C25" i="2"/>
  <c r="K43" i="2"/>
  <c r="K44" i="2"/>
  <c r="L44" i="2"/>
  <c r="H43" i="3"/>
  <c r="J57" i="5"/>
  <c r="K57" i="5" s="1"/>
  <c r="H57" i="5"/>
  <c r="I57" i="5" s="1"/>
  <c r="H48" i="3"/>
  <c r="H44" i="3"/>
  <c r="D37" i="3" s="1"/>
  <c r="G36" i="3" s="1"/>
  <c r="J59" i="5"/>
  <c r="K59" i="5" s="1"/>
  <c r="H59" i="5"/>
  <c r="I59" i="5" s="1"/>
  <c r="B46" i="4"/>
  <c r="D46" i="4" s="1"/>
  <c r="G55" i="4"/>
  <c r="B15" i="4" s="1"/>
  <c r="G57" i="4"/>
  <c r="G59" i="4"/>
  <c r="G61" i="4"/>
  <c r="C46" i="4"/>
  <c r="H55" i="4"/>
  <c r="H57" i="4"/>
  <c r="I57" i="4" s="1"/>
  <c r="H59" i="4"/>
  <c r="I59" i="4" s="1"/>
  <c r="H61" i="4"/>
  <c r="I61" i="4" s="1"/>
  <c r="H58" i="5"/>
  <c r="I58" i="5" s="1"/>
  <c r="G37" i="3"/>
  <c r="H37" i="3" s="1"/>
  <c r="D33" i="3"/>
  <c r="B34" i="3"/>
  <c r="J55" i="4"/>
  <c r="E37" i="4" s="1"/>
  <c r="K45" i="2"/>
  <c r="B38" i="4"/>
  <c r="D38" i="4" s="1"/>
  <c r="B41" i="4"/>
  <c r="D41" i="4" s="1"/>
  <c r="B44" i="4"/>
  <c r="D44" i="4" s="1"/>
  <c r="D35" i="3"/>
  <c r="B36" i="3"/>
  <c r="B42" i="4"/>
  <c r="D42" i="4" s="1"/>
  <c r="B45" i="4"/>
  <c r="D45" i="4" s="1"/>
  <c r="C42" i="4"/>
  <c r="C45" i="4"/>
  <c r="C23" i="2"/>
  <c r="G42" i="3"/>
  <c r="H43" i="2"/>
  <c r="B23" i="2" s="1"/>
  <c r="B32" i="3"/>
  <c r="L43" i="2" l="1"/>
  <c r="C22" i="2"/>
  <c r="C24" i="2" s="1"/>
  <c r="C26" i="2"/>
  <c r="H56" i="5"/>
  <c r="I56" i="5" s="1"/>
  <c r="C17" i="5" s="1"/>
  <c r="J56" i="5"/>
  <c r="K56" i="5" s="1"/>
  <c r="C18" i="5" s="1"/>
  <c r="D18" i="5" s="1"/>
  <c r="B13" i="5"/>
  <c r="B12" i="5"/>
  <c r="B25" i="2"/>
  <c r="B32" i="2" s="1"/>
  <c r="B10" i="2"/>
  <c r="B11" i="2" s="1"/>
  <c r="B27" i="2"/>
  <c r="J43" i="2"/>
  <c r="B17" i="4"/>
  <c r="I55" i="4"/>
  <c r="C37" i="3"/>
  <c r="C36" i="3"/>
  <c r="C32" i="3"/>
  <c r="D36" i="3"/>
  <c r="G35" i="3" s="1"/>
  <c r="B37" i="3"/>
  <c r="D32" i="3"/>
  <c r="B33" i="3"/>
  <c r="C35" i="3"/>
  <c r="B35" i="3"/>
  <c r="D34" i="3"/>
  <c r="G32" i="3" s="1"/>
  <c r="C34" i="3"/>
  <c r="C33" i="3"/>
  <c r="B14" i="4"/>
  <c r="B16" i="4" s="1"/>
  <c r="A49" i="5" l="1"/>
  <c r="A37" i="5"/>
  <c r="A50" i="5"/>
  <c r="A38" i="5"/>
  <c r="A51" i="5"/>
  <c r="A39" i="5"/>
  <c r="A40" i="5"/>
  <c r="A41" i="5"/>
  <c r="A42" i="5"/>
  <c r="A43" i="5"/>
  <c r="A31" i="5"/>
  <c r="A44" i="5"/>
  <c r="A32" i="5"/>
  <c r="A45" i="5"/>
  <c r="A33" i="5"/>
  <c r="A46" i="5"/>
  <c r="A34" i="5"/>
  <c r="A47" i="5"/>
  <c r="A35" i="5"/>
  <c r="A48" i="5"/>
  <c r="A36" i="5"/>
  <c r="E35" i="3"/>
  <c r="F34" i="3"/>
  <c r="H34" i="3" s="1"/>
  <c r="E36" i="3"/>
  <c r="I36" i="3" s="1"/>
  <c r="J36" i="3" s="1"/>
  <c r="F35" i="3"/>
  <c r="H35" i="3" s="1"/>
  <c r="B30" i="2"/>
  <c r="B31" i="2"/>
  <c r="B20" i="4"/>
  <c r="B21" i="4"/>
  <c r="B18" i="4"/>
  <c r="B22" i="4" s="1"/>
  <c r="F33" i="3"/>
  <c r="H33" i="3" s="1"/>
  <c r="E34" i="3"/>
  <c r="B19" i="4"/>
  <c r="B15" i="2"/>
  <c r="B16" i="2" s="1"/>
  <c r="E32" i="3"/>
  <c r="F36" i="3"/>
  <c r="H36" i="3" s="1"/>
  <c r="E37" i="3"/>
  <c r="I37" i="3" s="1"/>
  <c r="J37" i="3" s="1"/>
  <c r="E33" i="3"/>
  <c r="I33" i="3" s="1"/>
  <c r="J33" i="3" s="1"/>
  <c r="F32" i="3"/>
  <c r="H32" i="3" s="1"/>
  <c r="G33" i="3"/>
  <c r="B22" i="2"/>
  <c r="B24" i="2" s="1"/>
  <c r="B26" i="2"/>
  <c r="G34" i="3"/>
  <c r="H44" i="5" l="1"/>
  <c r="G44" i="5"/>
  <c r="E44" i="5"/>
  <c r="D44" i="5"/>
  <c r="C44" i="5"/>
  <c r="B44" i="5"/>
  <c r="F44" i="5" s="1"/>
  <c r="J44" i="5"/>
  <c r="I44" i="5"/>
  <c r="K44" i="5" s="1"/>
  <c r="G31" i="5"/>
  <c r="K31" i="5" s="1"/>
  <c r="F31" i="5"/>
  <c r="E31" i="5"/>
  <c r="D31" i="5"/>
  <c r="C31" i="5"/>
  <c r="B31" i="5"/>
  <c r="J31" i="5"/>
  <c r="I31" i="5"/>
  <c r="H31" i="5"/>
  <c r="G43" i="5"/>
  <c r="K43" i="5" s="1"/>
  <c r="E43" i="5"/>
  <c r="D43" i="5"/>
  <c r="F43" i="5" s="1"/>
  <c r="C43" i="5"/>
  <c r="B43" i="5"/>
  <c r="J43" i="5"/>
  <c r="I43" i="5"/>
  <c r="H43" i="5"/>
  <c r="I35" i="3"/>
  <c r="J35" i="3" s="1"/>
  <c r="J36" i="5"/>
  <c r="I36" i="5"/>
  <c r="H36" i="5"/>
  <c r="G36" i="5"/>
  <c r="K36" i="5" s="1"/>
  <c r="E36" i="5"/>
  <c r="D36" i="5"/>
  <c r="C36" i="5"/>
  <c r="B36" i="5"/>
  <c r="F36" i="5" s="1"/>
  <c r="E42" i="5"/>
  <c r="D42" i="5"/>
  <c r="C42" i="5"/>
  <c r="B42" i="5"/>
  <c r="F42" i="5" s="1"/>
  <c r="J42" i="5"/>
  <c r="K42" i="5" s="1"/>
  <c r="I42" i="5"/>
  <c r="H42" i="5"/>
  <c r="G42" i="5"/>
  <c r="I34" i="3"/>
  <c r="J34" i="3" s="1"/>
  <c r="E41" i="5"/>
  <c r="D41" i="5"/>
  <c r="C41" i="5"/>
  <c r="B41" i="5"/>
  <c r="F41" i="5" s="1"/>
  <c r="J41" i="5"/>
  <c r="I41" i="5"/>
  <c r="H41" i="5"/>
  <c r="K41" i="5" s="1"/>
  <c r="G41" i="5"/>
  <c r="J35" i="5"/>
  <c r="I35" i="5"/>
  <c r="H35" i="5"/>
  <c r="G35" i="5"/>
  <c r="K35" i="5" s="1"/>
  <c r="E35" i="5"/>
  <c r="D35" i="5"/>
  <c r="C35" i="5"/>
  <c r="B35" i="5"/>
  <c r="F35" i="5" s="1"/>
  <c r="D40" i="5"/>
  <c r="C40" i="5"/>
  <c r="B40" i="5"/>
  <c r="J40" i="5"/>
  <c r="I40" i="5"/>
  <c r="H40" i="5"/>
  <c r="G40" i="5"/>
  <c r="K40" i="5" s="1"/>
  <c r="E40" i="5"/>
  <c r="F40" i="5" s="1"/>
  <c r="J47" i="5"/>
  <c r="K47" i="5" s="1"/>
  <c r="I47" i="5"/>
  <c r="H47" i="5"/>
  <c r="G47" i="5"/>
  <c r="E47" i="5"/>
  <c r="D47" i="5"/>
  <c r="C47" i="5"/>
  <c r="B47" i="5"/>
  <c r="F47" i="5" s="1"/>
  <c r="C39" i="5"/>
  <c r="B39" i="5"/>
  <c r="F39" i="5" s="1"/>
  <c r="J39" i="5"/>
  <c r="K39" i="5" s="1"/>
  <c r="I39" i="5"/>
  <c r="H39" i="5"/>
  <c r="G39" i="5"/>
  <c r="E39" i="5"/>
  <c r="D39" i="5"/>
  <c r="J48" i="5"/>
  <c r="I48" i="5"/>
  <c r="H48" i="5"/>
  <c r="G48" i="5"/>
  <c r="K48" i="5" s="1"/>
  <c r="F48" i="5"/>
  <c r="E48" i="5"/>
  <c r="D48" i="5"/>
  <c r="C48" i="5"/>
  <c r="B48" i="5"/>
  <c r="J34" i="5"/>
  <c r="I34" i="5"/>
  <c r="H34" i="5"/>
  <c r="G34" i="5"/>
  <c r="K34" i="5" s="1"/>
  <c r="E34" i="5"/>
  <c r="D34" i="5"/>
  <c r="C34" i="5"/>
  <c r="F34" i="5" s="1"/>
  <c r="B34" i="5"/>
  <c r="C51" i="5"/>
  <c r="B51" i="5"/>
  <c r="J51" i="5"/>
  <c r="I51" i="5"/>
  <c r="H51" i="5"/>
  <c r="G51" i="5"/>
  <c r="K51" i="5" s="1"/>
  <c r="E51" i="5"/>
  <c r="D51" i="5"/>
  <c r="F51" i="5" s="1"/>
  <c r="J46" i="5"/>
  <c r="I46" i="5"/>
  <c r="H46" i="5"/>
  <c r="G46" i="5"/>
  <c r="E46" i="5"/>
  <c r="D46" i="5"/>
  <c r="C46" i="5"/>
  <c r="B46" i="5"/>
  <c r="F46" i="5" s="1"/>
  <c r="K46" i="5"/>
  <c r="B38" i="5"/>
  <c r="F38" i="5" s="1"/>
  <c r="K38" i="5"/>
  <c r="J38" i="5"/>
  <c r="I38" i="5"/>
  <c r="H38" i="5"/>
  <c r="G38" i="5"/>
  <c r="E38" i="5"/>
  <c r="D38" i="5"/>
  <c r="C38" i="5"/>
  <c r="I33" i="5"/>
  <c r="H33" i="5"/>
  <c r="G33" i="5"/>
  <c r="K33" i="5" s="1"/>
  <c r="F33" i="5"/>
  <c r="E33" i="5"/>
  <c r="D33" i="5"/>
  <c r="C33" i="5"/>
  <c r="B33" i="5"/>
  <c r="J33" i="5"/>
  <c r="B50" i="5"/>
  <c r="F50" i="5" s="1"/>
  <c r="J50" i="5"/>
  <c r="I50" i="5"/>
  <c r="H50" i="5"/>
  <c r="G50" i="5"/>
  <c r="K50" i="5" s="1"/>
  <c r="E50" i="5"/>
  <c r="D50" i="5"/>
  <c r="C50" i="5"/>
  <c r="I45" i="5"/>
  <c r="H45" i="5"/>
  <c r="G45" i="5"/>
  <c r="K45" i="5" s="1"/>
  <c r="E45" i="5"/>
  <c r="D45" i="5"/>
  <c r="C45" i="5"/>
  <c r="B45" i="5"/>
  <c r="F45" i="5" s="1"/>
  <c r="J45" i="5"/>
  <c r="J37" i="5"/>
  <c r="I37" i="5"/>
  <c r="H37" i="5"/>
  <c r="G37" i="5"/>
  <c r="K37" i="5" s="1"/>
  <c r="E37" i="5"/>
  <c r="D37" i="5"/>
  <c r="C37" i="5"/>
  <c r="B37" i="5"/>
  <c r="F37" i="5" s="1"/>
  <c r="I32" i="3"/>
  <c r="J32" i="3" s="1"/>
  <c r="H32" i="5"/>
  <c r="G32" i="5"/>
  <c r="E32" i="5"/>
  <c r="D32" i="5"/>
  <c r="C32" i="5"/>
  <c r="B32" i="5"/>
  <c r="F32" i="5" s="1"/>
  <c r="J32" i="5"/>
  <c r="I32" i="5"/>
  <c r="K32" i="5" s="1"/>
  <c r="K49" i="5"/>
  <c r="J49" i="5"/>
  <c r="I49" i="5"/>
  <c r="H49" i="5"/>
  <c r="G49" i="5"/>
  <c r="E49" i="5"/>
  <c r="D49" i="5"/>
  <c r="C49" i="5"/>
  <c r="B49" i="5"/>
  <c r="F49" i="5" s="1"/>
  <c r="B11" i="3" l="1"/>
  <c r="B10" i="3"/>
  <c r="K33" i="3" l="1"/>
  <c r="L33" i="3" s="1"/>
  <c r="M33" i="3" s="1"/>
  <c r="N33" i="3" s="1"/>
  <c r="O33" i="3" s="1"/>
  <c r="B14" i="3"/>
  <c r="K34" i="3"/>
  <c r="L34" i="3" s="1"/>
  <c r="M34" i="3" s="1"/>
  <c r="N34" i="3" s="1"/>
  <c r="O34" i="3" s="1"/>
  <c r="K32" i="3"/>
  <c r="L32" i="3" s="1"/>
  <c r="M32" i="3" s="1"/>
  <c r="N32" i="3" s="1"/>
  <c r="O32" i="3" s="1"/>
  <c r="K37" i="3"/>
  <c r="L37" i="3" s="1"/>
  <c r="M37" i="3" s="1"/>
  <c r="N37" i="3" s="1"/>
  <c r="O37" i="3" s="1"/>
  <c r="K36" i="3"/>
  <c r="L36" i="3" s="1"/>
  <c r="M36" i="3" s="1"/>
  <c r="N36" i="3" s="1"/>
  <c r="O36" i="3" s="1"/>
  <c r="K35" i="3"/>
  <c r="L35" i="3" s="1"/>
  <c r="M35" i="3" s="1"/>
  <c r="N35" i="3" s="1"/>
  <c r="O35" i="3" s="1"/>
  <c r="B13" i="3"/>
  <c r="B12" i="3"/>
</calcChain>
</file>

<file path=xl/sharedStrings.xml><?xml version="1.0" encoding="utf-8"?>
<sst xmlns="http://schemas.openxmlformats.org/spreadsheetml/2006/main" count="276" uniqueCount="238">
  <si>
    <t>Chapter 4 Models</t>
  </si>
  <si>
    <t>Analysis of Inventory Systems, chapter 4. Every sheet implements one model from the chapter and quotes the section it comes from.</t>
  </si>
  <si>
    <t>Sheet</t>
  </si>
  <si>
    <t>What it does</t>
  </si>
  <si>
    <t>Constrained</t>
  </si>
  <si>
    <t>Sections 4.2 and 4.3. Order quantities for items sharing one budget or one floor space. Goal Seek prices the resource. Switch B7 between Budget and Space to watch the scaling result of section 4.3 hold and then fail.</t>
  </si>
  <si>
    <t>ExchangeCurve</t>
  </si>
  <si>
    <t>Section 4.4. Aggregate investment against aggregate ordering cost for a group of items, the curve their product traces, and the variety index.</t>
  </si>
  <si>
    <t>JointReplenishment</t>
  </si>
  <si>
    <t>Section 4.5. A base period and an integer multiplier per item, under integer-ratio and power-of-two rules. Solver finds the base period.</t>
  </si>
  <si>
    <t>Distribution</t>
  </si>
  <si>
    <t>Section 4.6.3. The pinned set for a one-warehouse system, and every interval rounded to a power of two.</t>
  </si>
  <si>
    <t>Layout</t>
  </si>
  <si>
    <t>Every sheet reads top to bottom: inputs that do not vary by item, then results, then the solve cell where there is one, then a check block, and the item data LAST. The item block is last so that it can grow: adding an item is typing in the first empty row and copying the computed cells down one row.</t>
  </si>
  <si>
    <t>Named ranges</t>
  </si>
  <si>
    <t>Summaries refer to the item columns by name, and each name already spans 100 rows. Nothing above the item block has to be re-pointed when an item is added.</t>
  </si>
  <si>
    <t>Colours</t>
  </si>
  <si>
    <t>Blue cells are inputs and the only cells to type into. Grey cells are answers. Units sit to the right of each input.</t>
  </si>
  <si>
    <t>Check blocks</t>
  </si>
  <si>
    <t>Each sheet states what it should show with the data as shipped. If a figure disagrees, something has been edited or a search has not been re-run.</t>
  </si>
  <si>
    <t>Goal Seek and Solver</t>
  </si>
  <si>
    <t>Neither re-runs by itself. After changing an input on Constrained or JointReplenishment, run the search again. Constrained carries a status cell that says so.</t>
  </si>
  <si>
    <t>Text boxes</t>
  </si>
  <si>
    <t>Each sheet carries a box to the right of its blocks explaining its structure, its data and its use.</t>
  </si>
  <si>
    <t>Rebuilding</t>
  </si>
  <si>
    <t>Generated by scripts/build-ch4-workbook.py.</t>
  </si>
  <si>
    <t>Constrained Lot Sizing</t>
  </si>
  <si>
    <t>Chapter 4, sections 4.2 and 4.3. One resource is shared by every item. Goal Seek prices it.</t>
  </si>
  <si>
    <t>Inputs</t>
  </si>
  <si>
    <t>Carrying charge (i)</t>
  </si>
  <si>
    <t>per year</t>
  </si>
  <si>
    <t>Resource limit (A)</t>
  </si>
  <si>
    <t>Constraint type</t>
  </si>
  <si>
    <t>Budget</t>
  </si>
  <si>
    <t>Budget or Space</t>
  </si>
  <si>
    <t>Does the limit bind?</t>
  </si>
  <si>
    <t>Resource the free quantities would consume</t>
  </si>
  <si>
    <t>Binds?</t>
  </si>
  <si>
    <t>Solve for the multiplier</t>
  </si>
  <si>
    <t>Multiplier (theta)</t>
  </si>
  <si>
    <t>Goal Seek changes this cell</t>
  </si>
  <si>
    <t>R(theta), equation 4.6, drive to zero</t>
  </si>
  <si>
    <t>Status</t>
  </si>
  <si>
    <t>How</t>
  </si>
  <si>
    <t>Data &gt; What-If Analysis &gt; Goal Seek. Set cell B15 to value 0 by changing cell B14.</t>
  </si>
  <si>
    <t>Why it is safe</t>
  </si>
  <si>
    <t>Section 4.2.3 proves R decreases strictly and has one root, which is what a numerical search needs and cannot verify for itself.</t>
  </si>
  <si>
    <t>Results</t>
  </si>
  <si>
    <t>Unconstrained</t>
  </si>
  <si>
    <t>Ordering cost</t>
  </si>
  <si>
    <t>Holding cost</t>
  </si>
  <si>
    <t>Relevant cost</t>
  </si>
  <si>
    <t>Average investment</t>
  </si>
  <si>
    <t>Replenishments per year</t>
  </si>
  <si>
    <t>Resource used</t>
  </si>
  <si>
    <t>What the limit cost</t>
  </si>
  <si>
    <t>Extra cost per year</t>
  </si>
  <si>
    <t>As a fraction of the free cost</t>
  </si>
  <si>
    <t>Investment released</t>
  </si>
  <si>
    <t>Check</t>
  </si>
  <si>
    <t>Unconstrained relevant cost</t>
  </si>
  <si>
    <t>$7,319.26, either constraint type</t>
  </si>
  <si>
    <t>Budget, limit 10,000</t>
  </si>
  <si>
    <t>theta = 0.146429841, relevant cost $7,464.30</t>
  </si>
  <si>
    <t>Budget arithmetic check</t>
  </si>
  <si>
    <t>holding cost = i times the limit = $3,000.00</t>
  </si>
  <si>
    <t>Space, limit 800</t>
  </si>
  <si>
    <t>theta = 2.953823172, relevant cost $7,723.58</t>
  </si>
  <si>
    <t>Item data</t>
  </si>
  <si>
    <t>Everything above is computed from this block. To add an item, type it in the first empty row and copy the computed cells down one row. No formula above needs changing: the named ranges already cover 100 rows.</t>
  </si>
  <si>
    <t>Item</t>
  </si>
  <si>
    <t>Demand
(lambda)</t>
  </si>
  <si>
    <t>Unit cost
(c)</t>
  </si>
  <si>
    <t>Order cost
(k)</t>
  </si>
  <si>
    <t>Space per
unit (v)</t>
  </si>
  <si>
    <t>Holding
(h = i*c)</t>
  </si>
  <si>
    <t>Resource per
unit (a)</t>
  </si>
  <si>
    <t>Q free</t>
  </si>
  <si>
    <t>Q held</t>
  </si>
  <si>
    <t>Orders/yr
free</t>
  </si>
  <si>
    <t>Orders/yr
held</t>
  </si>
  <si>
    <t>Q held /
Q free</t>
  </si>
  <si>
    <t>Item 1</t>
  </si>
  <si>
    <t>Item 2</t>
  </si>
  <si>
    <t>Item 3</t>
  </si>
  <si>
    <t>Distribution System: the pinned set</t>
  </si>
  <si>
    <t>Chapter 4, section 4.6.3. Sorting the regions turns the construction of C0 into running totals. No Solver, no iteration, no macros.</t>
  </si>
  <si>
    <t>Base period</t>
  </si>
  <si>
    <t>weeks</t>
  </si>
  <si>
    <t>Weeks per year</t>
  </si>
  <si>
    <t>weeks per year</t>
  </si>
  <si>
    <t>Base period in years (T)</t>
  </si>
  <si>
    <t>years</t>
  </si>
  <si>
    <t>First pinned rank (i-bar)</t>
  </si>
  <si>
    <t>ranks at or above this share the central interval</t>
  </si>
  <si>
    <t>Central warehouse interval (years)</t>
  </si>
  <si>
    <t>Central warehouse interval (weeks)</t>
  </si>
  <si>
    <t>Rounded to a power of two (weeks)</t>
  </si>
  <si>
    <t>Pinned set C0</t>
  </si>
  <si>
    <t>Ranks, shortest interval first</t>
  </si>
  <si>
    <t>nodes 5, 3, 6, 4, 1, 2</t>
  </si>
  <si>
    <t>3</t>
  </si>
  <si>
    <t>the central warehouse plus nodes 6, 4, 1 and 2</t>
  </si>
  <si>
    <t>Left alone</t>
  </si>
  <si>
    <t>nodes 5 and 3, at 14.24 and 17.25 weeks</t>
  </si>
  <si>
    <t>Central interval</t>
  </si>
  <si>
    <t>0.343049 years, or 17.84 weeks</t>
  </si>
  <si>
    <t>Every power-of-two interval</t>
  </si>
  <si>
    <t>16 weeks</t>
  </si>
  <si>
    <t>The scan</t>
  </si>
  <si>
    <t>Working down from the longest interval, a region joins C0 when leaving it out would be infeasible. Stop at the first region that fails. One row per region: adding a seventh region means adding a row here as well as below.</t>
  </si>
  <si>
    <t>Rank</t>
  </si>
  <si>
    <t>Node</t>
  </si>
  <si>
    <t>k</t>
  </si>
  <si>
    <t>g</t>
  </si>
  <si>
    <t>k / g</t>
  </si>
  <si>
    <t>Pooled k
(C0 so far)</t>
  </si>
  <si>
    <t>Pooled g
(C0 so far)</t>
  </si>
  <si>
    <t>Pooled k/g</t>
  </si>
  <si>
    <t>Test</t>
  </si>
  <si>
    <t>Stop
index</t>
  </si>
  <si>
    <t>Interval T
(years)</t>
  </si>
  <si>
    <t>T / (sqrt2*base)</t>
  </si>
  <si>
    <t>l*</t>
  </si>
  <si>
    <t>Power-of-two
T (years)</t>
  </si>
  <si>
    <t>T (weeks)</t>
  </si>
  <si>
    <t>Cost per
order (k)</t>
  </si>
  <si>
    <t>Installation
rate (h)</t>
  </si>
  <si>
    <t>Echelon rate
(h')</t>
  </si>
  <si>
    <t>g = lambda*h'/2</t>
  </si>
  <si>
    <t>0  central</t>
  </si>
  <si>
    <t>1</t>
  </si>
  <si>
    <t>2</t>
  </si>
  <si>
    <t>4</t>
  </si>
  <si>
    <t>5</t>
  </si>
  <si>
    <t>6</t>
  </si>
  <si>
    <t>Exchange Curve for a Group of Items</t>
  </si>
  <si>
    <t>Chapter 4, section 4.4. Aggregate investment and aggregate ordering cost cannot be chosen separately: their product is fixed by the item data.</t>
  </si>
  <si>
    <t>Order handling cost (kappa)</t>
  </si>
  <si>
    <t>dollars per hour</t>
  </si>
  <si>
    <t>Carrying charge (gamma)</t>
  </si>
  <si>
    <t>Operating point (theta)</t>
  </si>
  <si>
    <t>set equal to gamma to price the firm's own position</t>
  </si>
  <si>
    <t>Aggregate demand rate</t>
  </si>
  <si>
    <t>Aggregate purchase cost rate</t>
  </si>
  <si>
    <t>Demand-weighted unit cost (c-bar)</t>
  </si>
  <si>
    <t>Purchase-weighted ordering cost (K-bar)</t>
  </si>
  <si>
    <t>Variety index (J*)</t>
  </si>
  <si>
    <t>Curve constant, equation 4.15</t>
  </si>
  <si>
    <t>The same constant from J*, K-bar, lambda-bar, c-bar</t>
  </si>
  <si>
    <t>Aggregate investment at theta</t>
  </si>
  <si>
    <t>Aggregate ordering cost at theta</t>
  </si>
  <si>
    <t>Their product</t>
  </si>
  <si>
    <t>Replenishments per year at theta</t>
  </si>
  <si>
    <t>Order handling hours per year</t>
  </si>
  <si>
    <t>Investment over ordering cost</t>
  </si>
  <si>
    <t>Sum of the SQRT column</t>
  </si>
  <si>
    <t>19,755.87</t>
  </si>
  <si>
    <t>Curve constant</t>
  </si>
  <si>
    <t>195,147,266, by either route</t>
  </si>
  <si>
    <t>Variety index J*</t>
  </si>
  <si>
    <t>5.6813, so nine items behave like fewer than six</t>
  </si>
  <si>
    <t>At theta = gamma = 0.25</t>
  </si>
  <si>
    <t>$27,939.02 of stock against $6,984.76 a year, or 127 hours</t>
  </si>
  <si>
    <t>exactly 4.000, because the ratio is 1/theta</t>
  </si>
  <si>
    <t>The curve</t>
  </si>
  <si>
    <t>One row per operating point. Investment times ordering cost is the same on every row, which is the content of equation 4.15.</t>
  </si>
  <si>
    <t>Multiplier
(theta)</t>
  </si>
  <si>
    <t>Aggregate
investment</t>
  </si>
  <si>
    <t>Aggregate
ordering cost</t>
  </si>
  <si>
    <t>Replenishments
per year</t>
  </si>
  <si>
    <t>Workload per
order (w, hr)</t>
  </si>
  <si>
    <t>Order cost
(k = kappa*w)</t>
  </si>
  <si>
    <t>Holding cost
(h = gamma*c)</t>
  </si>
  <si>
    <t>SQRT(k*c*lambda)</t>
  </si>
  <si>
    <t>Q at theta</t>
  </si>
  <si>
    <t>Orders/yr
at theta</t>
  </si>
  <si>
    <t>SQRT(lambda*c/(2k))</t>
  </si>
  <si>
    <t>Pad-mount transformer</t>
  </si>
  <si>
    <t>Smart meter</t>
  </si>
  <si>
    <t>Fuse cutout</t>
  </si>
  <si>
    <t>Meter socket</t>
  </si>
  <si>
    <t>Riser conduit, 4 in</t>
  </si>
  <si>
    <t>Splice kit</t>
  </si>
  <si>
    <t>Ground rod</t>
  </si>
  <si>
    <t>Compression connector</t>
  </si>
  <si>
    <t>Warning tape, roll</t>
  </si>
  <si>
    <t>Joint Replenishment: a base period and integer multipliers</t>
  </si>
  <si>
    <t>Chapter 4, section 4.5. The multipliers separate once the base period is fixed, so the only decision Solver has to make is the base period itself.</t>
  </si>
  <si>
    <t>Major setup cost (K)</t>
  </si>
  <si>
    <t>dollars per order</t>
  </si>
  <si>
    <t>Days per year</t>
  </si>
  <si>
    <t>days</t>
  </si>
  <si>
    <t>Two baselines, before any search</t>
  </si>
  <si>
    <t>Independent ordering, each item paying K + k</t>
  </si>
  <si>
    <t>Common cycle T (years)</t>
  </si>
  <si>
    <t>Common cycle T (days)</t>
  </si>
  <si>
    <t>Common cycle cost</t>
  </si>
  <si>
    <t>Solve for the base period</t>
  </si>
  <si>
    <t>Rule</t>
  </si>
  <si>
    <t>Base period
(days)</t>
  </si>
  <si>
    <t>Total cost</t>
  </si>
  <si>
    <t>Excess over integer ratio</t>
  </si>
  <si>
    <t>Integer ratio</t>
  </si>
  <si>
    <t>Powers of two</t>
  </si>
  <si>
    <t>Data &gt; Solver. Set objective C17 to Min by changing B17, GRG Nonlinear, B17 &gt;= 0.001. Then the same for C18 by changing B18.</t>
  </si>
  <si>
    <t>Read the curve first</t>
  </si>
  <si>
    <t>The cost is piecewise smooth: it kinks wherever a multiplier jumps, so Solver can stop at a kink. The block below plots it, which is how you check that the answer is in the right basin rather than merely stationary.</t>
  </si>
  <si>
    <t>Independent ordering</t>
  </si>
  <si>
    <t>$8,422.39</t>
  </si>
  <si>
    <t>Common cycle</t>
  </si>
  <si>
    <t>0.146209 years, 53.4 days, $6,497.54</t>
  </si>
  <si>
    <t>51.882 days, $6,402.06, multipliers 1, 1, 2, 6</t>
  </si>
  <si>
    <t>51.800 days, $6,403.34, multipliers 1, 1, 2, 8, excess 0.020%</t>
  </si>
  <si>
    <t>The cost against the base period</t>
  </si>
  <si>
    <t>One row per candidate base period, so the shape can be seen before Solver is trusted. The multiplier columns are what kink the cost: watch one of them step up and the cost turn a corner in the same row. One column per item per rule, so a fifth item means a column in each group, the way the scan on the Distribution sheet needs a row per region.</t>
  </si>
  <si>
    <t>T (days)</t>
  </si>
  <si>
    <t>m1, integer</t>
  </si>
  <si>
    <t>m2, integer</t>
  </si>
  <si>
    <t>m3, integer</t>
  </si>
  <si>
    <t>m4, integer</t>
  </si>
  <si>
    <t>Cost, integer ratio</t>
  </si>
  <si>
    <t>m1, pow 2</t>
  </si>
  <si>
    <t>m2, pow 2</t>
  </si>
  <si>
    <t>m3, pow 2</t>
  </si>
  <si>
    <t>m4, pow 2</t>
  </si>
  <si>
    <t>Cost, powers of two</t>
  </si>
  <si>
    <t>Minor setup
(k)</t>
  </si>
  <si>
    <t>Holding rate
(h = i*c)</t>
  </si>
  <si>
    <t>g = h*lambda/2</t>
  </si>
  <si>
    <t>Preferred
interval (yr)</t>
  </si>
  <si>
    <t>m, integer
ratio</t>
  </si>
  <si>
    <t>Cost at that m</t>
  </si>
  <si>
    <t>m, powers
of two</t>
  </si>
  <si>
    <t>Drive unit</t>
  </si>
  <si>
    <t>Gearbox</t>
  </si>
  <si>
    <t>Seal kit</t>
  </si>
  <si>
    <t>Name 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</si>
</sst>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quot;$&quot;#,##0.00"/>
    <numFmt numFmtId="166" formatCode="0.000000000"/>
    <numFmt numFmtId="167" formatCode="0.00000000"/>
    <numFmt numFmtId="168" formatCode="#,##0.####"/>
    <numFmt numFmtId="169" formatCode="#,##0.000"/>
    <numFmt numFmtId="170" formatCode="0.0000"/>
    <numFmt numFmtId="171" formatCode="0.000000"/>
    <numFmt numFmtId="172" formatCode="#,##0.0"/>
    <numFmt numFmtId="173" formatCode="#,##0.0000"/>
    <numFmt numFmtId="174" formatCode="0.000%"/>
  </numFmts>
  <fonts count="6" x14ac:knownFonts="1">
    <font>
      <sz val="11"/>
      <color theme="1"/>
      <name val="Calibri"/>
      <family val="2"/>
      <scheme val="minor"/>
    </font>
    <font>
      <b/>
      <sz val="14"/>
      <color rgb="FF274060"/>
      <name val="Calibri"/>
      <family val="2"/>
    </font>
    <font>
      <i/>
      <sz val="9"/>
      <color rgb="FF666666"/>
      <name val="Calibri"/>
      <family val="2"/>
    </font>
    <font>
      <b/>
      <sz val="10"/>
      <name val="Calibri"/>
      <family val="2"/>
    </font>
    <font>
      <b/>
      <sz val="11"/>
      <name val="Calibri"/>
      <family val="2"/>
    </font>
    <font>
      <b/>
      <sz val="11"/>
      <color rgb="FF274060"/>
      <name val="Calibri"/>
      <family val="2"/>
    </font>
  </fonts>
  <fills count="4">
    <fill>
      <patternFill patternType="none"/>
    </fill>
    <fill>
      <patternFill patternType="gray125"/>
    </fill>
    <fill>
      <patternFill patternType="solid">
        <fgColor rgb="FFDCE6F1"/>
      </patternFill>
    </fill>
    <fill>
      <patternFill patternType="solid">
        <fgColor rgb="FFF2F2F2"/>
      </patternFill>
    </fill>
  </fills>
  <borders count="2">
    <border>
      <left/>
      <right/>
      <top/>
      <bottom/>
      <diagonal/>
    </border>
    <border>
      <left/>
      <right/>
      <top/>
      <bottom style="thin">
        <color rgb="FF999999"/>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5" fillId="0" borderId="0" xfId="0" applyFont="1"/>
    <xf numFmtId="164" fontId="0" fillId="2" borderId="0" xfId="0" applyNumberFormat="1" applyFill="1"/>
    <xf numFmtId="165" fontId="0" fillId="2" borderId="0" xfId="0" applyNumberFormat="1" applyFill="1"/>
    <xf numFmtId="0" fontId="0" fillId="2" borderId="0" xfId="0" applyFill="1"/>
    <xf numFmtId="4" fontId="0" fillId="3" borderId="0" xfId="0" applyNumberFormat="1" applyFill="1"/>
    <xf numFmtId="0" fontId="0" fillId="3" borderId="0" xfId="0" applyFill="1"/>
    <xf numFmtId="166" fontId="0" fillId="2" borderId="0" xfId="0" applyNumberFormat="1" applyFill="1"/>
    <xf numFmtId="167" fontId="0" fillId="3" borderId="0" xfId="0" applyNumberFormat="1" applyFill="1"/>
    <xf numFmtId="0" fontId="3" fillId="0" borderId="1" xfId="0" applyFont="1" applyBorder="1" applyAlignment="1">
      <alignment wrapText="1"/>
    </xf>
    <xf numFmtId="165" fontId="0" fillId="3" borderId="0" xfId="0" applyNumberFormat="1" applyFill="1"/>
    <xf numFmtId="10" fontId="0" fillId="3" borderId="0" xfId="0" applyNumberFormat="1" applyFill="1"/>
    <xf numFmtId="168" fontId="0" fillId="2" borderId="0" xfId="0" applyNumberFormat="1" applyFill="1"/>
    <xf numFmtId="165" fontId="0" fillId="0" borderId="0" xfId="0" applyNumberFormat="1"/>
    <xf numFmtId="169" fontId="0" fillId="0" borderId="0" xfId="0" applyNumberFormat="1"/>
    <xf numFmtId="4" fontId="0" fillId="0" borderId="0" xfId="0" applyNumberFormat="1"/>
    <xf numFmtId="170" fontId="0" fillId="0" borderId="0" xfId="0" applyNumberFormat="1"/>
    <xf numFmtId="171" fontId="0" fillId="3" borderId="0" xfId="0" applyNumberFormat="1" applyFill="1"/>
    <xf numFmtId="172" fontId="0" fillId="3" borderId="0" xfId="0" applyNumberFormat="1" applyFill="1"/>
    <xf numFmtId="172" fontId="0" fillId="0" borderId="0" xfId="0" applyNumberFormat="1"/>
    <xf numFmtId="171" fontId="0" fillId="0" borderId="0" xfId="0" applyNumberFormat="1"/>
    <xf numFmtId="3" fontId="0" fillId="3" borderId="0" xfId="0" applyNumberFormat="1" applyFill="1"/>
    <xf numFmtId="173" fontId="0" fillId="3" borderId="0" xfId="0" applyNumberFormat="1" applyFill="1"/>
    <xf numFmtId="169" fontId="0" fillId="3" borderId="0" xfId="0" applyNumberFormat="1" applyFill="1"/>
    <xf numFmtId="2" fontId="0" fillId="0" borderId="0" xfId="0" applyNumberFormat="1"/>
    <xf numFmtId="173" fontId="0" fillId="0" borderId="0" xfId="0" applyNumberFormat="1"/>
    <xf numFmtId="169" fontId="0" fillId="2" borderId="0" xfId="0" applyNumberFormat="1" applyFill="1"/>
    <xf numFmtId="174" fontId="0" fillId="3" borderId="0" xfId="0" applyNumberFormat="1" applyFill="1"/>
    <xf numFmtId="3"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Exchange curve</a:t>
            </a:r>
          </a:p>
        </c:rich>
      </c:tx>
      <c:overlay val="1"/>
    </c:title>
    <c:autoTitleDeleted val="0"/>
    <c:plotArea>
      <c:layout/>
      <c:scatterChart>
        <c:scatterStyle val="lineMarker"/>
        <c:varyColors val="1"/>
        <c:ser>
          <c:idx val="0"/>
          <c:order val="0"/>
          <c:tx>
            <c:v>reachable combinations</c:v>
          </c:tx>
          <c:spPr>
            <a:ln>
              <a:prstDash val="solid"/>
            </a:ln>
          </c:spPr>
          <c:marker>
            <c:symbol val="circle"/>
            <c:size val="5"/>
            <c:spPr>
              <a:ln>
                <a:prstDash val="solid"/>
              </a:ln>
            </c:spPr>
          </c:marker>
          <c:xVal>
            <c:numRef>
              <c:f>ExchangeCurve!$B$35:$B$46</c:f>
              <c:numCache>
                <c:formatCode>"$"#,##0.00</c:formatCode>
                <c:ptCount val="12"/>
                <c:pt idx="0">
                  <c:v>62473.556910124767</c:v>
                </c:pt>
                <c:pt idx="1">
                  <c:v>49389.683342036362</c:v>
                </c:pt>
                <c:pt idx="2">
                  <c:v>44175.475735992921</c:v>
                </c:pt>
                <c:pt idx="3">
                  <c:v>36069.124899293936</c:v>
                </c:pt>
                <c:pt idx="4">
                  <c:v>31236.778455062384</c:v>
                </c:pt>
                <c:pt idx="5">
                  <c:v>27939.024009448141</c:v>
                </c:pt>
                <c:pt idx="6">
                  <c:v>25504.72280775529</c:v>
                </c:pt>
                <c:pt idx="7">
                  <c:v>22087.73786799646</c:v>
                </c:pt>
                <c:pt idx="8">
                  <c:v>19755.873336814544</c:v>
                </c:pt>
                <c:pt idx="9">
                  <c:v>17327.047138467115</c:v>
                </c:pt>
                <c:pt idx="10">
                  <c:v>15618.389227531192</c:v>
                </c:pt>
                <c:pt idx="11">
                  <c:v>13969.512004724071</c:v>
                </c:pt>
              </c:numCache>
            </c:numRef>
          </c:xVal>
          <c:yVal>
            <c:numRef>
              <c:f>ExchangeCurve!$C$35:$C$46</c:f>
              <c:numCache>
                <c:formatCode>"$"#,##0.00</c:formatCode>
                <c:ptCount val="12"/>
                <c:pt idx="0">
                  <c:v>3123.6778455062386</c:v>
                </c:pt>
                <c:pt idx="1">
                  <c:v>3951.1746673629091</c:v>
                </c:pt>
                <c:pt idx="2">
                  <c:v>4417.5475735992914</c:v>
                </c:pt>
                <c:pt idx="3">
                  <c:v>5410.3687348940903</c:v>
                </c:pt>
                <c:pt idx="4">
                  <c:v>6247.3556910124771</c:v>
                </c:pt>
                <c:pt idx="5">
                  <c:v>6984.7560023620354</c:v>
                </c:pt>
                <c:pt idx="6">
                  <c:v>7651.4168423265874</c:v>
                </c:pt>
                <c:pt idx="7">
                  <c:v>8835.0951471985827</c:v>
                </c:pt>
                <c:pt idx="8">
                  <c:v>9877.936668407272</c:v>
                </c:pt>
                <c:pt idx="9">
                  <c:v>11262.580640003625</c:v>
                </c:pt>
                <c:pt idx="10">
                  <c:v>12494.711382024954</c:v>
                </c:pt>
                <c:pt idx="11">
                  <c:v>13969.512004724071</c:v>
                </c:pt>
              </c:numCache>
            </c:numRef>
          </c:yVal>
          <c:smooth val="1"/>
          <c:extLst>
            <c:ext xmlns:c16="http://schemas.microsoft.com/office/drawing/2014/chart" uri="{C3380CC4-5D6E-409C-BE32-E72D297353CC}">
              <c16:uniqueId val="{00000000-707B-C546-BB3D-57643592993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n-US"/>
                  <a:t>Aggregate investment in cycle stock, dollars</a:t>
                </a:r>
              </a:p>
            </c:rich>
          </c:tx>
          <c:overlay val="1"/>
        </c:title>
        <c:numFmt formatCode="&quot;$&quot;#,##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n-US"/>
                  <a:t>Aggregate ordering cost, dollars per year</a:t>
                </a:r>
              </a:p>
            </c:rich>
          </c:tx>
          <c:overlay val="1"/>
        </c:title>
        <c:numFmt formatCode="&quot;$&quot;#,##0.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3</xdr:row>
      <xdr:rowOff>0</xdr:rowOff>
    </xdr:from>
    <xdr:to>
      <xdr:col>23</xdr:col>
      <xdr:colOff>0</xdr:colOff>
      <xdr:row>70</xdr:row>
      <xdr:rowOff>0</xdr:rowOff>
    </xdr:to>
    <xdr:sp macro="" textlink="">
      <xdr:nvSpPr>
        <xdr:cNvPr id="1024" name="TextBox 1">
          <a:extLst>
            <a:ext uri="{FF2B5EF4-FFF2-40B4-BE49-F238E27FC236}">
              <a16:creationId xmlns:a16="http://schemas.microsoft.com/office/drawing/2014/main" id="{00000000-0008-0000-0100-000000040000}"/>
            </a:ext>
          </a:extLst>
        </xdr:cNvPr>
        <xdr:cNvSpPr txBox="1"/>
      </xdr:nvSpPr>
      <xdr:spPr>
        <a:xfrm>
          <a:off x="9800000" y="571500"/>
          <a:ext cx="6300000" cy="127635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How every sheet in this workbook is laid out</a:t>
          </a:r>
        </a:p>
        <a:p>
          <a:r>
            <a:rPr lang="en-US" sz="1100" baseline="0"/>
            <a:t>Inputs that do not vary by item come first, then the results, then the solve cell where there is one, then a check block. The item data is LAST. That order is deliberate: the block you edit most often is the one that has to be able to grow, and a block can only grow downward if nothing sits beneath it.</a:t>
          </a:r>
        </a:p>
        <a:p>
          <a:endParaRPr lang="en-US" sz="1100" baseline="0"/>
        </a:p>
        <a:p>
          <a:r>
            <a:rPr lang="en-US" sz="1100" b="1" baseline="0"/>
            <a:t>Adding an item</a:t>
          </a:r>
        </a:p>
        <a:p>
          <a:r>
            <a:rPr lang="en-US" sz="1100" baseline="0"/>
            <a:t>Type it in the first empty row of the item block and copy the computed cells down one row. Nothing above needs changing. Every summary refers to the item columns through named ranges that already span 100 rows, so the new row is inside them already.</a:t>
          </a:r>
        </a:p>
        <a:p>
          <a:endParaRPr lang="en-US" sz="1100" baseline="0"/>
        </a:p>
        <a:p>
          <a:r>
            <a:rPr lang="en-US" sz="1100" b="1" baseline="0"/>
            <a:t>Why the summaries never divide one column by another</a:t>
          </a:r>
        </a:p>
        <a:p>
          <a:r>
            <a:rPr lang="en-US" sz="1100" baseline="0"/>
            <a:t>A summary is either a SUM of one column or a SUMPRODUCT of several. It never divides one range by another, because the empty rows inside the named range would then be zero divided by zero. Where a per-item ratio is genuinely needed, the ratio gets its own column and the summary sums it.</a:t>
          </a:r>
        </a:p>
        <a:p>
          <a:endParaRPr lang="en-US" sz="1100" baseline="0"/>
        </a:p>
        <a:p>
          <a:r>
            <a:rPr lang="en-US" sz="1100" b="1" baseline="0"/>
            <a:t>Colours</a:t>
          </a:r>
        </a:p>
        <a:p>
          <a:r>
            <a:rPr lang="en-US" sz="1100" baseline="0"/>
            <a:t>Blue cells are inputs and the only cells to type into. Grey cells are answers. Every input carries its units in the cell to its right.</a:t>
          </a:r>
        </a:p>
        <a:p>
          <a:endParaRPr lang="en-US" sz="1100" baseline="0"/>
        </a:p>
        <a:p>
          <a:r>
            <a:rPr lang="en-US" sz="1100" b="1" baseline="0"/>
            <a:t>What this sheet does</a:t>
          </a:r>
        </a:p>
        <a:p>
          <a:r>
            <a:rPr lang="en-US" sz="1100" baseline="0"/>
            <a:t>Several items are ordered out of one scarce resource: a budget, or floor space. The sheet finds the order quantities that minimize total relevant cost while the resource used stays inside the limit.</a:t>
          </a:r>
        </a:p>
        <a:p>
          <a:endParaRPr lang="en-US" sz="1100" baseline="0"/>
        </a:p>
        <a:p>
          <a:r>
            <a:rPr lang="en-US" sz="1100" b="1" baseline="0"/>
            <a:t>The multiplier</a:t>
          </a:r>
        </a:p>
        <a:p>
          <a:r>
            <a:rPr lang="en-US" sz="1100" baseline="0"/>
            <a:t>Theta prices the scarce resource. It belongs to the problem and not to any item, which is why it is one cell that every row of the item block points back to, rather than a column. Putting it in a column would compute the same numbers and would assert that each item has its own shadow price, which is false.</a:t>
          </a:r>
        </a:p>
        <a:p>
          <a:endParaRPr lang="en-US" sz="1100" baseline="0"/>
        </a:p>
        <a:p>
          <a:r>
            <a:rPr lang="en-US" sz="1100" b="1" baseline="0"/>
            <a:t>Solving it</a:t>
          </a:r>
        </a:p>
        <a:p>
          <a:r>
            <a:rPr lang="en-US" sz="1100" baseline="0"/>
            <a:t>Data &gt; What-If Analysis &gt; Goal Seek. Set cell B15 to value 0 by changing cell B14. The sheet ships already solved, so B16 should read solved when you open it.</a:t>
          </a:r>
        </a:p>
        <a:p>
          <a:endParaRPr lang="en-US" sz="1100" baseline="0"/>
        </a:p>
        <a:p>
          <a:r>
            <a:rPr lang="en-US" sz="1100" baseline="0"/>
            <a:t>Goal Seek is a numerical search and carries no guarantee of finding a root, or of finding the one you want. What makes it dependable here is not the software but section 4.2.3, which proves the resource function decreases strictly and therefore has exactly one root. Know that before you trust the button.</a:t>
          </a:r>
        </a:p>
        <a:p>
          <a:endParaRPr lang="en-US" sz="1100" baseline="0"/>
        </a:p>
        <a:p>
          <a:r>
            <a:rPr lang="en-US" sz="1100" baseline="0"/>
            <a:t>Goal Seek does not re-run by itself. Change any input and theta is stale until you run it again, which is what the status cell in B16 is for. Watch it.</a:t>
          </a:r>
        </a:p>
        <a:p>
          <a:endParaRPr lang="en-US" sz="1100" baseline="0"/>
        </a:p>
        <a:p>
          <a:r>
            <a:rPr lang="en-US" sz="1100" b="1" baseline="0"/>
            <a:t>Budget against space</a:t>
          </a:r>
        </a:p>
        <a:p>
          <a:r>
            <a:rPr lang="en-US" sz="1100" baseline="0"/>
            <a:t>Switch B7 and the resource-per-unit column changes from half the unit cost to the volume. Under a budget every order quantity shrinks by the same factor, so the last column of the item block is constant down the rows. Under a space limit it is not. That is the scaling result of section 4.3, and this is the fastest way to see it hold and then fail.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0</xdr:colOff>
      <xdr:row>3</xdr:row>
      <xdr:rowOff>0</xdr:rowOff>
    </xdr:from>
    <xdr:to>
      <xdr:col>26</xdr:col>
      <xdr:colOff>0</xdr:colOff>
      <xdr:row>64</xdr:row>
      <xdr:rowOff>0</xdr:rowOff>
    </xdr:to>
    <xdr:sp macro="" textlink="">
      <xdr:nvSpPr>
        <xdr:cNvPr id="1024" name="TextBox 1">
          <a:extLst>
            <a:ext uri="{FF2B5EF4-FFF2-40B4-BE49-F238E27FC236}">
              <a16:creationId xmlns:a16="http://schemas.microsoft.com/office/drawing/2014/main" id="{00000000-0008-0000-0200-000000040000}"/>
            </a:ext>
          </a:extLst>
        </xdr:cNvPr>
        <xdr:cNvSpPr txBox="1"/>
      </xdr:nvSpPr>
      <xdr:spPr>
        <a:xfrm>
          <a:off x="11900000" y="571500"/>
          <a:ext cx="6300000" cy="116205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How every sheet in this workbook is laid out</a:t>
          </a:r>
        </a:p>
        <a:p>
          <a:r>
            <a:rPr lang="en-US" sz="1100" baseline="0"/>
            <a:t>Inputs that do not vary by item come first, then the results, then the solve cell where there is one, then a check block. The item data is LAST. That order is deliberate: the block you edit most often is the one that has to be able to grow, and a block can only grow downward if nothing sits beneath it.</a:t>
          </a:r>
        </a:p>
        <a:p>
          <a:endParaRPr lang="en-US" sz="1100" baseline="0"/>
        </a:p>
        <a:p>
          <a:r>
            <a:rPr lang="en-US" sz="1100" b="1" baseline="0"/>
            <a:t>Adding an item</a:t>
          </a:r>
        </a:p>
        <a:p>
          <a:r>
            <a:rPr lang="en-US" sz="1100" baseline="0"/>
            <a:t>Type it in the first empty row of the item block and copy the computed cells down one row. Nothing above needs changing. Every summary refers to the item columns through named ranges that already span 100 rows, so the new row is inside them already.</a:t>
          </a:r>
        </a:p>
        <a:p>
          <a:endParaRPr lang="en-US" sz="1100" baseline="0"/>
        </a:p>
        <a:p>
          <a:r>
            <a:rPr lang="en-US" sz="1100" b="1" baseline="0"/>
            <a:t>Why the summaries never divide one column by another</a:t>
          </a:r>
        </a:p>
        <a:p>
          <a:r>
            <a:rPr lang="en-US" sz="1100" baseline="0"/>
            <a:t>A summary is either a SUM of one column or a SUMPRODUCT of several. It never divides one range by another, because the empty rows inside the named range would then be zero divided by zero. Where a per-item ratio is genuinely needed, the ratio gets its own column and the summary sums it.</a:t>
          </a:r>
        </a:p>
        <a:p>
          <a:endParaRPr lang="en-US" sz="1100" baseline="0"/>
        </a:p>
        <a:p>
          <a:r>
            <a:rPr lang="en-US" sz="1100" b="1" baseline="0"/>
            <a:t>Colours</a:t>
          </a:r>
        </a:p>
        <a:p>
          <a:r>
            <a:rPr lang="en-US" sz="1100" baseline="0"/>
            <a:t>Blue cells are inputs and the only cells to type into. Grey cells are answers. Every input carries its units in the cell to its right.</a:t>
          </a:r>
        </a:p>
        <a:p>
          <a:endParaRPr lang="en-US" sz="1100" baseline="0"/>
        </a:p>
        <a:p>
          <a:r>
            <a:rPr lang="en-US" sz="1100" b="1" baseline="0"/>
            <a:t>What this sheet does</a:t>
          </a:r>
        </a:p>
        <a:p>
          <a:r>
            <a:rPr lang="en-US" sz="1100" baseline="0"/>
            <a:t>A central warehouse supplies several regions. Each location chooses a reorder interval, but no region may wait longer than the warehouse feeding it. The sheet finds which regions must be pinned to the warehouse's interval, computes that interval, and rounds every interval to a power of two.</a:t>
          </a:r>
        </a:p>
        <a:p>
          <a:endParaRPr lang="en-US" sz="1100" baseline="0"/>
        </a:p>
        <a:p>
          <a:r>
            <a:rPr lang="en-US" sz="1100" b="1" baseline="0"/>
            <a:t>This looks like an algorithm and is not one</a:t>
          </a:r>
        </a:p>
        <a:p>
          <a:r>
            <a:rPr lang="en-US" sz="1100" baseline="0"/>
            <a:t>Once the regions are sorted by their own ratio, the construction is running totals and one comparison column. There is no Solver, no iteration and no macro on this sheet. Sorting first is what makes a single pass down the list sufficient.</a:t>
          </a:r>
        </a:p>
        <a:p>
          <a:endParaRPr lang="en-US" sz="1100" baseline="0"/>
        </a:p>
        <a:p>
          <a:r>
            <a:rPr lang="en-US" sz="1100" b="1" baseline="0"/>
            <a:t>The one place this sheet breaks the workbook's own rule</a:t>
          </a:r>
        </a:p>
        <a:p>
          <a:r>
            <a:rPr lang="en-US" sz="1100" baseline="0"/>
            <a:t>The scan has one row per region, so adding a seventh region means adding a row in the scan as well as in the item block. Every other sheet here grows by a single row. Saying so is better than hiding it behind array formulas that nobody could read.</a:t>
          </a:r>
        </a:p>
        <a:p>
          <a:endParaRPr lang="en-US" sz="1100" baseline="0"/>
        </a:p>
        <a:p>
          <a:r>
            <a:rPr lang="en-US" sz="1100" b="1" baseline="0"/>
            <a:t>Echelon rates</a:t>
          </a:r>
        </a:p>
        <a:p>
          <a:r>
            <a:rPr lang="en-US" sz="1100" baseline="0"/>
            <a:t>The central warehouse is the first row of the item block, and every region is charged only the value it adds, which is its own holding rate less the central rate. The sheet works that out from the block rather than from a row number, so reordering the regions does not break it.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0</xdr:colOff>
      <xdr:row>33</xdr:row>
      <xdr:rowOff>0</xdr:rowOff>
    </xdr:from>
    <xdr:ext cx="5040000" cy="288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16</xdr:col>
      <xdr:colOff>0</xdr:colOff>
      <xdr:row>3</xdr:row>
      <xdr:rowOff>0</xdr:rowOff>
    </xdr:from>
    <xdr:to>
      <xdr:col>25</xdr:col>
      <xdr:colOff>0</xdr:colOff>
      <xdr:row>60</xdr:row>
      <xdr:rowOff>0</xdr:rowOff>
    </xdr:to>
    <xdr:sp macro="" textlink="">
      <xdr:nvSpPr>
        <xdr:cNvPr id="1024" name="TextBox 1">
          <a:extLst>
            <a:ext uri="{FF2B5EF4-FFF2-40B4-BE49-F238E27FC236}">
              <a16:creationId xmlns:a16="http://schemas.microsoft.com/office/drawing/2014/main" id="{00000000-0008-0000-0300-000000040000}"/>
            </a:ext>
          </a:extLst>
        </xdr:cNvPr>
        <xdr:cNvSpPr txBox="1"/>
      </xdr:nvSpPr>
      <xdr:spPr>
        <a:xfrm>
          <a:off x="11200000" y="571500"/>
          <a:ext cx="6300000" cy="108585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How every sheet in this workbook is laid out</a:t>
          </a:r>
        </a:p>
        <a:p>
          <a:r>
            <a:rPr lang="en-US" sz="1100" baseline="0"/>
            <a:t>Inputs that do not vary by item come first, then the results, then the solve cell where there is one, then a check block. The item data is LAST. That order is deliberate: the block you edit most often is the one that has to be able to grow, and a block can only grow downward if nothing sits beneath it.</a:t>
          </a:r>
        </a:p>
        <a:p>
          <a:endParaRPr lang="en-US" sz="1100" baseline="0"/>
        </a:p>
        <a:p>
          <a:r>
            <a:rPr lang="en-US" sz="1100" b="1" baseline="0"/>
            <a:t>Adding an item</a:t>
          </a:r>
        </a:p>
        <a:p>
          <a:r>
            <a:rPr lang="en-US" sz="1100" baseline="0"/>
            <a:t>Type it in the first empty row of the item block and copy the computed cells down one row. Nothing above needs changing. Every summary refers to the item columns through named ranges that already span 100 rows, so the new row is inside them already.</a:t>
          </a:r>
        </a:p>
        <a:p>
          <a:endParaRPr lang="en-US" sz="1100" baseline="0"/>
        </a:p>
        <a:p>
          <a:r>
            <a:rPr lang="en-US" sz="1100" b="1" baseline="0"/>
            <a:t>Why the summaries never divide one column by another</a:t>
          </a:r>
        </a:p>
        <a:p>
          <a:r>
            <a:rPr lang="en-US" sz="1100" baseline="0"/>
            <a:t>A summary is either a SUM of one column or a SUMPRODUCT of several. It never divides one range by another, because the empty rows inside the named range would then be zero divided by zero. Where a per-item ratio is genuinely needed, the ratio gets its own column and the summary sums it.</a:t>
          </a:r>
        </a:p>
        <a:p>
          <a:endParaRPr lang="en-US" sz="1100" baseline="0"/>
        </a:p>
        <a:p>
          <a:r>
            <a:rPr lang="en-US" sz="1100" b="1" baseline="0"/>
            <a:t>Colours</a:t>
          </a:r>
        </a:p>
        <a:p>
          <a:r>
            <a:rPr lang="en-US" sz="1100" baseline="0"/>
            <a:t>Blue cells are inputs and the only cells to type into. Grey cells are answers. Every input carries its units in the cell to its right.</a:t>
          </a:r>
        </a:p>
        <a:p>
          <a:endParaRPr lang="en-US" sz="1100" baseline="0"/>
        </a:p>
        <a:p>
          <a:r>
            <a:rPr lang="en-US" sz="1100" b="1" baseline="0"/>
            <a:t>What this sheet does</a:t>
          </a:r>
        </a:p>
        <a:p>
          <a:r>
            <a:rPr lang="en-US" sz="1100" baseline="0"/>
            <a:t>Aggregate investment in cycle stock and aggregate ordering cost cannot be chosen separately. Their product is fixed by the item data alone, so the reachable combinations lie on a curve, and the only question is where on it to sit.</a:t>
          </a:r>
        </a:p>
        <a:p>
          <a:endParaRPr lang="en-US" sz="1100" baseline="0"/>
        </a:p>
        <a:p>
          <a:r>
            <a:rPr lang="en-US" sz="1100" b="1" baseline="0"/>
            <a:t>The multiplier is the axis here</a:t>
          </a:r>
        </a:p>
        <a:p>
          <a:r>
            <a:rPr lang="en-US" sz="1100" baseline="0"/>
            <a:t>On the Constrained sheet theta described the problem and lived in one cell. Here it is the thing being varied, so it runs down a column and everything else becomes a column beside it. What a sheet puts in a cell and what it puts in a column is decided by that question and not by convenience.</a:t>
          </a:r>
        </a:p>
        <a:p>
          <a:endParaRPr lang="en-US" sz="1100" baseline="0"/>
        </a:p>
        <a:p>
          <a:r>
            <a:rPr lang="en-US" sz="1100" b="1" baseline="0"/>
            <a:t>The arithmetic check</a:t>
          </a:r>
        </a:p>
        <a:p>
          <a:r>
            <a:rPr lang="en-US" sz="1100" baseline="0"/>
            <a:t>The product column is the same on every row of the curve. If it is not, something has been edited. That check costs nothing and catches almost everything.</a:t>
          </a:r>
        </a:p>
        <a:p>
          <a:endParaRPr lang="en-US" sz="1100" baseline="0"/>
        </a:p>
        <a:p>
          <a:r>
            <a:rPr lang="en-US" sz="1100" b="1" baseline="0"/>
            <a:t>The variety index</a:t>
          </a:r>
        </a:p>
        <a:p>
          <a:r>
            <a:rPr lang="en-US" sz="1100" baseline="0"/>
            <a:t>J* is the effective number of items. Nine items with an index of 5.68 behave in aggregate like fewer than six equal ones. It is a property of the item set and not of any operating point, so it is computed once at the top rather than per row.</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0</xdr:colOff>
      <xdr:row>3</xdr:row>
      <xdr:rowOff>0</xdr:rowOff>
    </xdr:from>
    <xdr:to>
      <xdr:col>22</xdr:col>
      <xdr:colOff>0</xdr:colOff>
      <xdr:row>70</xdr:row>
      <xdr:rowOff>0</xdr:rowOff>
    </xdr:to>
    <xdr:sp macro="" textlink="">
      <xdr:nvSpPr>
        <xdr:cNvPr id="1024" name="TextBox 1">
          <a:extLst>
            <a:ext uri="{FF2B5EF4-FFF2-40B4-BE49-F238E27FC236}">
              <a16:creationId xmlns:a16="http://schemas.microsoft.com/office/drawing/2014/main" id="{00000000-0008-0000-0400-000000040000}"/>
            </a:ext>
          </a:extLst>
        </xdr:cNvPr>
        <xdr:cNvSpPr txBox="1"/>
      </xdr:nvSpPr>
      <xdr:spPr>
        <a:xfrm>
          <a:off x="9100000" y="571500"/>
          <a:ext cx="6300000" cy="127635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How every sheet in this workbook is laid out</a:t>
          </a:r>
        </a:p>
        <a:p>
          <a:r>
            <a:rPr lang="en-US" sz="1100" baseline="0"/>
            <a:t>Inputs that do not vary by item come first, then the results, then the solve cell where there is one, then a check block. The item data is LAST. That order is deliberate: the block you edit most often is the one that has to be able to grow, and a block can only grow downward if nothing sits beneath it.</a:t>
          </a:r>
        </a:p>
        <a:p>
          <a:endParaRPr lang="en-US" sz="1100" baseline="0"/>
        </a:p>
        <a:p>
          <a:r>
            <a:rPr lang="en-US" sz="1100" b="1" baseline="0"/>
            <a:t>Adding an item</a:t>
          </a:r>
        </a:p>
        <a:p>
          <a:r>
            <a:rPr lang="en-US" sz="1100" baseline="0"/>
            <a:t>Type it in the first empty row of the item block and copy the computed cells down one row. Nothing above needs changing. Every summary refers to the item columns through named ranges that already span 100 rows, so the new row is inside them already.</a:t>
          </a:r>
        </a:p>
        <a:p>
          <a:endParaRPr lang="en-US" sz="1100" baseline="0"/>
        </a:p>
        <a:p>
          <a:r>
            <a:rPr lang="en-US" sz="1100" b="1" baseline="0"/>
            <a:t>Why the summaries never divide one column by another</a:t>
          </a:r>
        </a:p>
        <a:p>
          <a:r>
            <a:rPr lang="en-US" sz="1100" baseline="0"/>
            <a:t>A summary is either a SUM of one column or a SUMPRODUCT of several. It never divides one range by another, because the empty rows inside the named range would then be zero divided by zero. Where a per-item ratio is genuinely needed, the ratio gets its own column and the summary sums it.</a:t>
          </a:r>
        </a:p>
        <a:p>
          <a:endParaRPr lang="en-US" sz="1100" baseline="0"/>
        </a:p>
        <a:p>
          <a:r>
            <a:rPr lang="en-US" sz="1100" b="1" baseline="0"/>
            <a:t>Colours</a:t>
          </a:r>
        </a:p>
        <a:p>
          <a:r>
            <a:rPr lang="en-US" sz="1100" baseline="0"/>
            <a:t>Blue cells are inputs and the only cells to type into. Grey cells are answers. Every input carries its units in the cell to its right.</a:t>
          </a:r>
        </a:p>
        <a:p>
          <a:endParaRPr lang="en-US" sz="1100" baseline="0"/>
        </a:p>
        <a:p>
          <a:r>
            <a:rPr lang="en-US" sz="1100" b="1" baseline="0"/>
            <a:t>What this sheet does</a:t>
          </a:r>
        </a:p>
        <a:p>
          <a:r>
            <a:rPr lang="en-US" sz="1100" baseline="0"/>
            <a:t>Several items come from one supplier. Placing an order costs the major setup cost whatever is on it, and each item added to that order costs its own minor setup cost. The sheet finds the base period between order opportunities and how many base periods each item waits between its own replenishments.</a:t>
          </a:r>
        </a:p>
        <a:p>
          <a:endParaRPr lang="en-US" sz="1100" baseline="0"/>
        </a:p>
        <a:p>
          <a:r>
            <a:rPr lang="en-US" sz="1100" b="1" baseline="0"/>
            <a:t>Why there is only one thing to solve for</a:t>
          </a:r>
        </a:p>
        <a:p>
          <a:r>
            <a:rPr lang="en-US" sz="1100" baseline="0"/>
            <a:t>Once the base period is fixed, the multipliers separate: each item's best multiplier depends on its own data and that base period and on nothing else, and the item block computes it in closed form. So the whole problem is one-dimensional and Solver has one cell to change.</a:t>
          </a:r>
        </a:p>
        <a:p>
          <a:endParaRPr lang="en-US" sz="1100" baseline="0"/>
        </a:p>
        <a:p>
          <a:r>
            <a:rPr lang="en-US" sz="1100" b="1" baseline="0"/>
            <a:t>Solving it</a:t>
          </a:r>
        </a:p>
        <a:p>
          <a:r>
            <a:rPr lang="en-US" sz="1100" baseline="0"/>
            <a:t>Data &gt; Solver. Set objective C17 to Min by changing B17, GRG Nonlinear, with B17 constrained to be at least 0.001. Then do the same for C18 by changing B18. The two rules have different optima, which is why they have separate cells.</a:t>
          </a:r>
        </a:p>
        <a:p>
          <a:endParaRPr lang="en-US" sz="1100" baseline="0"/>
        </a:p>
        <a:p>
          <a:r>
            <a:rPr lang="en-US" sz="1100" b="1" baseline="0"/>
            <a:t>Look at the curve before you trust Solver</a:t>
          </a:r>
        </a:p>
        <a:p>
          <a:r>
            <a:rPr lang="en-US" sz="1100" baseline="0"/>
            <a:t>The cost is piecewise smooth. It kinks wherever a multiplier jumps, so a hill climber can stop at a kink rather than at the minimum. The block above the item data plots cost against base period across a wide range, and its job is to show you which basin the answer should be in. This is the opposite of the Constrained sheet, where a proof in section 4.2.3 makes the search safe without looking.</a:t>
          </a:r>
        </a:p>
        <a:p>
          <a:endParaRPr lang="en-US" sz="1100" baseline="0"/>
        </a:p>
        <a:p>
          <a:r>
            <a:rPr lang="en-US" sz="1100" b="1" baseline="0"/>
            <a:t>Why powers of two</a:t>
          </a:r>
        </a:p>
        <a:p>
          <a:r>
            <a:rPr lang="en-US" sz="1100" baseline="0"/>
            <a:t>Multipliers that are powers of two nest: every time a slow item is due, every faster item is due as well, so no order is ever placed for one item alone. The excess cell is what that nesting costs, and on real data it is usually a small fraction of one percent against a worst case of about six.</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workbookViewId="0"/>
  </sheetViews>
  <sheetFormatPr baseColWidth="10" defaultColWidth="8.83203125" defaultRowHeight="15" x14ac:dyDescent="0.2"/>
  <cols>
    <col min="1" max="1" width="22" customWidth="1"/>
    <col min="2" max="2" width="96" customWidth="1"/>
  </cols>
  <sheetData>
    <row r="1" spans="1:2" ht="19" x14ac:dyDescent="0.25">
      <c r="A1" s="1" t="s">
        <v>0</v>
      </c>
    </row>
    <row r="2" spans="1:2" x14ac:dyDescent="0.2">
      <c r="A2" s="2" t="s">
        <v>1</v>
      </c>
    </row>
    <row r="4" spans="1:2" ht="15" customHeight="1" x14ac:dyDescent="0.2">
      <c r="A4" s="3" t="s">
        <v>2</v>
      </c>
      <c r="B4" s="4" t="s">
        <v>3</v>
      </c>
    </row>
    <row r="5" spans="1:2" ht="39" customHeight="1" x14ac:dyDescent="0.2">
      <c r="A5" s="5" t="s">
        <v>4</v>
      </c>
      <c r="B5" s="4" t="s">
        <v>5</v>
      </c>
    </row>
    <row r="6" spans="1:2" ht="26" customHeight="1" x14ac:dyDescent="0.2">
      <c r="A6" s="5" t="s">
        <v>6</v>
      </c>
      <c r="B6" s="4" t="s">
        <v>7</v>
      </c>
    </row>
    <row r="7" spans="1:2" ht="26" customHeight="1" x14ac:dyDescent="0.2">
      <c r="A7" s="5" t="s">
        <v>8</v>
      </c>
      <c r="B7" s="4" t="s">
        <v>9</v>
      </c>
    </row>
    <row r="8" spans="1:2" ht="26" customHeight="1" x14ac:dyDescent="0.2">
      <c r="A8" s="5" t="s">
        <v>10</v>
      </c>
      <c r="B8" s="4" t="s">
        <v>11</v>
      </c>
    </row>
    <row r="9" spans="1:2" x14ac:dyDescent="0.2">
      <c r="A9" s="5"/>
      <c r="B9" s="4"/>
    </row>
    <row r="10" spans="1:2" ht="52" customHeight="1" x14ac:dyDescent="0.2">
      <c r="A10" s="5" t="s">
        <v>12</v>
      </c>
      <c r="B10" s="4" t="s">
        <v>13</v>
      </c>
    </row>
    <row r="11" spans="1:2" ht="26" customHeight="1" x14ac:dyDescent="0.2">
      <c r="A11" s="5" t="s">
        <v>14</v>
      </c>
      <c r="B11" s="4" t="s">
        <v>15</v>
      </c>
    </row>
    <row r="12" spans="1:2" ht="26" customHeight="1" x14ac:dyDescent="0.2">
      <c r="A12" s="5" t="s">
        <v>16</v>
      </c>
      <c r="B12" s="4" t="s">
        <v>17</v>
      </c>
    </row>
    <row r="13" spans="1:2" ht="26" customHeight="1" x14ac:dyDescent="0.2">
      <c r="A13" s="5" t="s">
        <v>18</v>
      </c>
      <c r="B13" s="4" t="s">
        <v>19</v>
      </c>
    </row>
    <row r="14" spans="1:2" ht="26" customHeight="1" x14ac:dyDescent="0.2">
      <c r="A14" s="5" t="s">
        <v>20</v>
      </c>
      <c r="B14" s="4" t="s">
        <v>21</v>
      </c>
    </row>
    <row r="15" spans="1:2" ht="26" customHeight="1" x14ac:dyDescent="0.2">
      <c r="A15" s="5" t="s">
        <v>22</v>
      </c>
      <c r="B15" s="4" t="s">
        <v>23</v>
      </c>
    </row>
    <row r="16" spans="1:2" ht="15" customHeight="1" x14ac:dyDescent="0.2">
      <c r="A16" s="5" t="s">
        <v>24</v>
      </c>
      <c r="B16" s="4"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5"/>
  <sheetViews>
    <sheetView workbookViewId="0"/>
  </sheetViews>
  <sheetFormatPr baseColWidth="10" defaultColWidth="8.83203125" defaultRowHeight="15" x14ac:dyDescent="0.2"/>
  <cols>
    <col min="1" max="1" width="16" customWidth="1"/>
    <col min="2" max="2" width="10" customWidth="1"/>
    <col min="3" max="6" width="9" customWidth="1"/>
    <col min="7" max="7" width="11" customWidth="1"/>
    <col min="8" max="12" width="9" customWidth="1"/>
  </cols>
  <sheetData>
    <row r="1" spans="1:3" ht="19" x14ac:dyDescent="0.25">
      <c r="A1" s="1" t="s">
        <v>26</v>
      </c>
    </row>
    <row r="2" spans="1:3" x14ac:dyDescent="0.2">
      <c r="A2" s="2" t="s">
        <v>27</v>
      </c>
    </row>
    <row r="4" spans="1:3" x14ac:dyDescent="0.2">
      <c r="A4" s="6" t="s">
        <v>28</v>
      </c>
    </row>
    <row r="5" spans="1:3" x14ac:dyDescent="0.2">
      <c r="A5" t="s">
        <v>29</v>
      </c>
      <c r="B5" s="7">
        <v>0.3</v>
      </c>
      <c r="C5" s="2" t="s">
        <v>30</v>
      </c>
    </row>
    <row r="6" spans="1:3" x14ac:dyDescent="0.2">
      <c r="A6" t="s">
        <v>31</v>
      </c>
      <c r="B6" s="8">
        <v>10000</v>
      </c>
      <c r="C6" s="2" t="str">
        <f>IF($B$7="Budget","dollars","cubic feet")</f>
        <v>dollars</v>
      </c>
    </row>
    <row r="7" spans="1:3" x14ac:dyDescent="0.2">
      <c r="A7" t="s">
        <v>32</v>
      </c>
      <c r="B7" s="9" t="s">
        <v>33</v>
      </c>
      <c r="C7" s="2" t="s">
        <v>34</v>
      </c>
    </row>
    <row r="9" spans="1:3" x14ac:dyDescent="0.2">
      <c r="A9" s="6" t="s">
        <v>35</v>
      </c>
    </row>
    <row r="10" spans="1:3" x14ac:dyDescent="0.2">
      <c r="A10" t="s">
        <v>36</v>
      </c>
      <c r="B10" s="10">
        <f>SUMPRODUCT(Con_a,Con_Qfree)</f>
        <v>12198.768261044344</v>
      </c>
    </row>
    <row r="11" spans="1:3" x14ac:dyDescent="0.2">
      <c r="A11" t="s">
        <v>37</v>
      </c>
      <c r="B11" s="11" t="str">
        <f>IF(B10&gt;B6,"yes","no")</f>
        <v>yes</v>
      </c>
    </row>
    <row r="13" spans="1:3" x14ac:dyDescent="0.2">
      <c r="A13" s="6" t="s">
        <v>38</v>
      </c>
    </row>
    <row r="14" spans="1:3" x14ac:dyDescent="0.2">
      <c r="A14" t="s">
        <v>39</v>
      </c>
      <c r="B14" s="12">
        <v>0.14642984100000001</v>
      </c>
      <c r="C14" s="2" t="s">
        <v>40</v>
      </c>
    </row>
    <row r="15" spans="1:3" x14ac:dyDescent="0.2">
      <c r="A15" t="s">
        <v>41</v>
      </c>
      <c r="B15" s="13">
        <f>IF(B11="no",0,SUMPRODUCT(Con_a,Con_Qheld)-B6)</f>
        <v>2.9118637030478567E-6</v>
      </c>
    </row>
    <row r="16" spans="1:3" x14ac:dyDescent="0.2">
      <c r="A16" t="s">
        <v>42</v>
      </c>
      <c r="B16" s="11" t="str">
        <f>IF(B11="no","not needed, the limit does not bind",IF(ABS(B15)&lt;0.000001*B6,"solved","STALE: re-run Goal Seek"))</f>
        <v>solved</v>
      </c>
    </row>
    <row r="17" spans="1:4" x14ac:dyDescent="0.2">
      <c r="A17" t="s">
        <v>43</v>
      </c>
      <c r="B17" s="2" t="s">
        <v>44</v>
      </c>
    </row>
    <row r="18" spans="1:4" x14ac:dyDescent="0.2">
      <c r="A18" t="s">
        <v>45</v>
      </c>
      <c r="B18" s="2" t="s">
        <v>46</v>
      </c>
    </row>
    <row r="20" spans="1:4" x14ac:dyDescent="0.2">
      <c r="A20" s="6" t="s">
        <v>47</v>
      </c>
    </row>
    <row r="21" spans="1:4" ht="30" x14ac:dyDescent="0.2">
      <c r="A21" s="14"/>
      <c r="B21" s="14" t="s">
        <v>48</v>
      </c>
      <c r="C21" s="14" t="s">
        <v>4</v>
      </c>
      <c r="D21" s="14"/>
    </row>
    <row r="22" spans="1:4" x14ac:dyDescent="0.2">
      <c r="A22" t="s">
        <v>49</v>
      </c>
      <c r="B22" s="15">
        <f>SUMPRODUCT(Con_k,Con_NFree)</f>
        <v>3659.6304783133032</v>
      </c>
      <c r="C22" s="15">
        <f>SUMPRODUCT(Con_k,Con_NHeld)</f>
        <v>4464.298411299942</v>
      </c>
    </row>
    <row r="23" spans="1:4" x14ac:dyDescent="0.2">
      <c r="A23" t="s">
        <v>50</v>
      </c>
      <c r="B23" s="15">
        <f>SUMPRODUCT(Con_h,Con_Qfree)/2</f>
        <v>3659.6304783133028</v>
      </c>
      <c r="C23" s="15">
        <f>SUMPRODUCT(Con_h,Con_Qheld)/2</f>
        <v>3000.0000008735587</v>
      </c>
    </row>
    <row r="24" spans="1:4" x14ac:dyDescent="0.2">
      <c r="A24" t="s">
        <v>51</v>
      </c>
      <c r="B24" s="15">
        <f>B22+B23</f>
        <v>7319.2609566266055</v>
      </c>
      <c r="C24" s="15">
        <f>C22+C23</f>
        <v>7464.2984121735008</v>
      </c>
    </row>
    <row r="25" spans="1:4" x14ac:dyDescent="0.2">
      <c r="A25" t="s">
        <v>52</v>
      </c>
      <c r="B25" s="15">
        <f>SUMPRODUCT(Con_c,Con_Qfree)/2</f>
        <v>12198.768261044344</v>
      </c>
      <c r="C25" s="15">
        <f>SUMPRODUCT(Con_c,Con_Qheld)/2</f>
        <v>10000.000002911864</v>
      </c>
    </row>
    <row r="26" spans="1:4" x14ac:dyDescent="0.2">
      <c r="A26" t="s">
        <v>53</v>
      </c>
      <c r="B26" s="10">
        <f>SUM(Con_NFree)</f>
        <v>73.192609566266071</v>
      </c>
      <c r="C26" s="10">
        <f>SUM(Con_NHeld)</f>
        <v>89.285968225998843</v>
      </c>
    </row>
    <row r="27" spans="1:4" x14ac:dyDescent="0.2">
      <c r="A27" t="s">
        <v>54</v>
      </c>
      <c r="B27" s="10">
        <f>SUMPRODUCT(Con_a,Con_Qfree)</f>
        <v>12198.768261044344</v>
      </c>
      <c r="C27" s="10">
        <f>SUMPRODUCT(Con_a,Con_Qheld)</f>
        <v>10000.000002911864</v>
      </c>
    </row>
    <row r="29" spans="1:4" x14ac:dyDescent="0.2">
      <c r="A29" s="6" t="s">
        <v>55</v>
      </c>
    </row>
    <row r="30" spans="1:4" x14ac:dyDescent="0.2">
      <c r="A30" t="s">
        <v>56</v>
      </c>
      <c r="B30" s="15">
        <f>C24-B24</f>
        <v>145.03745554689522</v>
      </c>
    </row>
    <row r="31" spans="1:4" x14ac:dyDescent="0.2">
      <c r="A31" t="s">
        <v>57</v>
      </c>
      <c r="B31" s="16">
        <f>C24/B24-1</f>
        <v>1.9815860700469035E-2</v>
      </c>
    </row>
    <row r="32" spans="1:4" x14ac:dyDescent="0.2">
      <c r="A32" t="s">
        <v>58</v>
      </c>
      <c r="B32" s="15">
        <f>B25-C25</f>
        <v>2198.7682581324807</v>
      </c>
    </row>
    <row r="34" spans="1:12" x14ac:dyDescent="0.2">
      <c r="A34" s="6" t="s">
        <v>59</v>
      </c>
    </row>
    <row r="35" spans="1:12" x14ac:dyDescent="0.2">
      <c r="A35" s="5" t="s">
        <v>60</v>
      </c>
      <c r="B35" t="s">
        <v>61</v>
      </c>
    </row>
    <row r="36" spans="1:12" x14ac:dyDescent="0.2">
      <c r="A36" s="5" t="s">
        <v>62</v>
      </c>
      <c r="B36" t="s">
        <v>63</v>
      </c>
    </row>
    <row r="37" spans="1:12" x14ac:dyDescent="0.2">
      <c r="A37" s="5" t="s">
        <v>64</v>
      </c>
      <c r="B37" t="s">
        <v>65</v>
      </c>
    </row>
    <row r="38" spans="1:12" x14ac:dyDescent="0.2">
      <c r="A38" s="5" t="s">
        <v>66</v>
      </c>
      <c r="B38" t="s">
        <v>67</v>
      </c>
    </row>
    <row r="40" spans="1:12" x14ac:dyDescent="0.2">
      <c r="A40" s="6" t="s">
        <v>68</v>
      </c>
    </row>
    <row r="41" spans="1:12" x14ac:dyDescent="0.2">
      <c r="A41" s="2" t="s">
        <v>69</v>
      </c>
    </row>
    <row r="42" spans="1:12" ht="30" x14ac:dyDescent="0.2">
      <c r="A42" s="14" t="s">
        <v>70</v>
      </c>
      <c r="B42" s="14" t="s">
        <v>71</v>
      </c>
      <c r="C42" s="14" t="s">
        <v>72</v>
      </c>
      <c r="D42" s="14" t="s">
        <v>73</v>
      </c>
      <c r="E42" s="14" t="s">
        <v>74</v>
      </c>
      <c r="F42" s="14" t="s">
        <v>75</v>
      </c>
      <c r="G42" s="14" t="s">
        <v>76</v>
      </c>
      <c r="H42" s="14" t="s">
        <v>77</v>
      </c>
      <c r="I42" s="14" t="s">
        <v>78</v>
      </c>
      <c r="J42" s="14" t="s">
        <v>79</v>
      </c>
      <c r="K42" s="14" t="s">
        <v>80</v>
      </c>
      <c r="L42" s="14" t="s">
        <v>81</v>
      </c>
    </row>
    <row r="43" spans="1:12" x14ac:dyDescent="0.2">
      <c r="A43" s="9" t="s">
        <v>82</v>
      </c>
      <c r="B43" s="17">
        <v>12000</v>
      </c>
      <c r="C43" s="17">
        <v>20</v>
      </c>
      <c r="D43" s="17">
        <v>50</v>
      </c>
      <c r="E43" s="17">
        <v>0.8</v>
      </c>
      <c r="F43" s="18">
        <f>$B$5*C43</f>
        <v>6</v>
      </c>
      <c r="G43" s="19">
        <f>IF($B$7="Budget",C43/2,E43)</f>
        <v>10</v>
      </c>
      <c r="H43" s="20">
        <f>SQRT(2*D43*B43/F43)</f>
        <v>447.21359549995793</v>
      </c>
      <c r="I43" s="20">
        <f>SQRT(2*D43*B43/(F43+2*$B$14*G43))</f>
        <v>366.60553431309648</v>
      </c>
      <c r="J43" s="20">
        <f>B43/H43</f>
        <v>26.832815729997478</v>
      </c>
      <c r="K43" s="20">
        <f>B43/I43</f>
        <v>32.732730078623135</v>
      </c>
      <c r="L43" s="21">
        <f>I43/H43</f>
        <v>0.81975489565171544</v>
      </c>
    </row>
    <row r="44" spans="1:12" x14ac:dyDescent="0.2">
      <c r="A44" s="9" t="s">
        <v>83</v>
      </c>
      <c r="B44" s="17">
        <v>25000</v>
      </c>
      <c r="C44" s="17">
        <v>10</v>
      </c>
      <c r="D44" s="17">
        <v>50</v>
      </c>
      <c r="E44" s="17">
        <v>0.3</v>
      </c>
      <c r="F44" s="18">
        <f>$B$5*C44</f>
        <v>3</v>
      </c>
      <c r="G44" s="19">
        <f>IF($B$7="Budget",C44/2,E44)</f>
        <v>5</v>
      </c>
      <c r="H44" s="20">
        <f>SQRT(2*D44*B44/F44)</f>
        <v>912.87092917527684</v>
      </c>
      <c r="I44" s="20">
        <f>SQRT(2*D44*B44/(F44+2*$B$14*G44))</f>
        <v>748.33041328956358</v>
      </c>
      <c r="J44" s="20">
        <f>B44/H44</f>
        <v>27.386127875258307</v>
      </c>
      <c r="K44" s="20">
        <f>B44/I44</f>
        <v>33.407702742032413</v>
      </c>
      <c r="L44" s="21">
        <f>I44/H44</f>
        <v>0.81975489565171544</v>
      </c>
    </row>
    <row r="45" spans="1:12" x14ac:dyDescent="0.2">
      <c r="A45" s="9" t="s">
        <v>84</v>
      </c>
      <c r="B45" s="17">
        <v>8000</v>
      </c>
      <c r="C45" s="17">
        <v>15</v>
      </c>
      <c r="D45" s="17">
        <v>50</v>
      </c>
      <c r="E45" s="17">
        <v>1.2</v>
      </c>
      <c r="F45" s="18">
        <f>$B$5*C45</f>
        <v>4.5</v>
      </c>
      <c r="G45" s="19">
        <f>IF($B$7="Budget",C45/2,E45)</f>
        <v>7.5</v>
      </c>
      <c r="H45" s="20">
        <f>SQRT(2*D45*B45/F45)</f>
        <v>421.63702135578393</v>
      </c>
      <c r="I45" s="20">
        <f>SQRT(2*D45*B45/(F45+2*$B$14*G45))</f>
        <v>345.6390124444107</v>
      </c>
      <c r="J45" s="20">
        <f>B45/H45</f>
        <v>18.973665961010276</v>
      </c>
      <c r="K45" s="20">
        <f>B45/I45</f>
        <v>23.145535405343296</v>
      </c>
      <c r="L45" s="21">
        <f>I45/H45</f>
        <v>0.81975489565171522</v>
      </c>
    </row>
  </sheetData>
  <dataValidations count="1">
    <dataValidation type="list" sqref="B7" xr:uid="{00000000-0002-0000-0100-000000000000}">
      <formula1>"Budget,Space"</formula1>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8"/>
  <sheetViews>
    <sheetView workbookViewId="0"/>
  </sheetViews>
  <sheetFormatPr baseColWidth="10" defaultColWidth="8.83203125" defaultRowHeight="15" x14ac:dyDescent="0.2"/>
  <cols>
    <col min="1" max="1" width="16" customWidth="1"/>
    <col min="2" max="2" width="10" customWidth="1"/>
    <col min="3" max="3" width="11" customWidth="1"/>
    <col min="4" max="5" width="12" customWidth="1"/>
    <col min="6" max="6" width="13" customWidth="1"/>
    <col min="7" max="7" width="10" customWidth="1"/>
    <col min="8" max="9" width="7" customWidth="1"/>
    <col min="10" max="10" width="8" customWidth="1"/>
    <col min="11" max="11" width="11" customWidth="1"/>
    <col min="12" max="12" width="13" customWidth="1"/>
    <col min="13" max="13" width="5" customWidth="1"/>
    <col min="14" max="14" width="12" customWidth="1"/>
    <col min="15" max="15" width="10" customWidth="1"/>
  </cols>
  <sheetData>
    <row r="1" spans="1:3" ht="19" x14ac:dyDescent="0.25">
      <c r="A1" s="1" t="s">
        <v>85</v>
      </c>
    </row>
    <row r="2" spans="1:3" x14ac:dyDescent="0.2">
      <c r="A2" s="2" t="s">
        <v>86</v>
      </c>
    </row>
    <row r="4" spans="1:3" x14ac:dyDescent="0.2">
      <c r="A4" s="6" t="s">
        <v>28</v>
      </c>
    </row>
    <row r="5" spans="1:3" x14ac:dyDescent="0.2">
      <c r="A5" t="s">
        <v>87</v>
      </c>
      <c r="B5" s="9">
        <v>1</v>
      </c>
      <c r="C5" s="2" t="s">
        <v>88</v>
      </c>
    </row>
    <row r="6" spans="1:3" x14ac:dyDescent="0.2">
      <c r="A6" t="s">
        <v>89</v>
      </c>
      <c r="B6" s="9">
        <v>52</v>
      </c>
      <c r="C6" s="2" t="s">
        <v>90</v>
      </c>
    </row>
    <row r="7" spans="1:3" x14ac:dyDescent="0.2">
      <c r="A7" t="s">
        <v>91</v>
      </c>
      <c r="B7" s="22">
        <f>B5/B6</f>
        <v>1.9230769230769232E-2</v>
      </c>
      <c r="C7" s="2" t="s">
        <v>92</v>
      </c>
    </row>
    <row r="9" spans="1:3" x14ac:dyDescent="0.2">
      <c r="A9" s="6" t="s">
        <v>47</v>
      </c>
    </row>
    <row r="10" spans="1:3" x14ac:dyDescent="0.2">
      <c r="A10" t="s">
        <v>93</v>
      </c>
      <c r="B10" s="11">
        <f>MAX(J32:J37)+1</f>
        <v>3</v>
      </c>
      <c r="C10" s="2" t="s">
        <v>94</v>
      </c>
    </row>
    <row r="11" spans="1:3" x14ac:dyDescent="0.2">
      <c r="A11" t="s">
        <v>95</v>
      </c>
      <c r="B11" s="22">
        <f>IF(MAX(J32:J37)=0,SQRT((INDEX(Dis_k,1)+SUM(Dis_k)-INDEX(Dis_k,1))/(INDEX(Dis_g,1)+SUM(Dis_g)-INDEX(Dis_g,1))),SQRT(INDEX($H$32:$H$37,MATCH(MAX(J32:J37),$A$32:$A$37,0))))</f>
        <v>0.34304945245440677</v>
      </c>
    </row>
    <row r="12" spans="1:3" x14ac:dyDescent="0.2">
      <c r="A12" t="s">
        <v>96</v>
      </c>
      <c r="B12" s="10">
        <f>B11*$B$6</f>
        <v>17.838571527629153</v>
      </c>
    </row>
    <row r="13" spans="1:3" x14ac:dyDescent="0.2">
      <c r="A13" t="s">
        <v>97</v>
      </c>
      <c r="B13" s="23">
        <f>2^MAX(0,CEILING(LOG(B11/(SQRT(2)*$B$7),2),1))*$B$7*$B$6</f>
        <v>16</v>
      </c>
    </row>
    <row r="14" spans="1:3" x14ac:dyDescent="0.2">
      <c r="A14" t="s">
        <v>98</v>
      </c>
      <c r="B14" s="11" t="str">
        <f>IF(B10&gt;6,"empty: every region orders on its own interval","the central warehouse plus the regions at ranks "&amp;B10&amp;" through 6")</f>
        <v>the central warehouse plus the regions at ranks 3 through 6</v>
      </c>
    </row>
    <row r="16" spans="1:3" x14ac:dyDescent="0.2">
      <c r="A16" s="6" t="s">
        <v>59</v>
      </c>
    </row>
    <row r="17" spans="1:15" x14ac:dyDescent="0.2">
      <c r="A17" s="5" t="s">
        <v>99</v>
      </c>
      <c r="B17" t="s">
        <v>100</v>
      </c>
    </row>
    <row r="18" spans="1:15" x14ac:dyDescent="0.2">
      <c r="A18" s="5" t="s">
        <v>93</v>
      </c>
      <c r="B18" t="s">
        <v>101</v>
      </c>
    </row>
    <row r="19" spans="1:15" x14ac:dyDescent="0.2">
      <c r="A19" s="5" t="s">
        <v>98</v>
      </c>
      <c r="B19" t="s">
        <v>102</v>
      </c>
    </row>
    <row r="20" spans="1:15" x14ac:dyDescent="0.2">
      <c r="A20" s="5" t="s">
        <v>103</v>
      </c>
      <c r="B20" t="s">
        <v>104</v>
      </c>
    </row>
    <row r="21" spans="1:15" x14ac:dyDescent="0.2">
      <c r="A21" s="5" t="s">
        <v>105</v>
      </c>
      <c r="B21" t="s">
        <v>106</v>
      </c>
    </row>
    <row r="22" spans="1:15" x14ac:dyDescent="0.2">
      <c r="A22" s="5" t="s">
        <v>107</v>
      </c>
      <c r="B22" t="s">
        <v>108</v>
      </c>
    </row>
    <row r="24" spans="1:15" x14ac:dyDescent="0.2">
      <c r="A24" s="6" t="s">
        <v>109</v>
      </c>
    </row>
    <row r="25" spans="1:15" x14ac:dyDescent="0.2">
      <c r="A25" s="2" t="s">
        <v>110</v>
      </c>
    </row>
    <row r="31" spans="1:15" ht="30" x14ac:dyDescent="0.2">
      <c r="A31" s="14" t="s">
        <v>111</v>
      </c>
      <c r="B31" s="14" t="s">
        <v>112</v>
      </c>
      <c r="C31" s="14" t="s">
        <v>113</v>
      </c>
      <c r="D31" s="14" t="s">
        <v>114</v>
      </c>
      <c r="E31" s="14" t="s">
        <v>115</v>
      </c>
      <c r="F31" s="14" t="s">
        <v>116</v>
      </c>
      <c r="G31" s="14" t="s">
        <v>117</v>
      </c>
      <c r="H31" s="14" t="s">
        <v>118</v>
      </c>
      <c r="I31" s="14" t="s">
        <v>119</v>
      </c>
      <c r="J31" s="14" t="s">
        <v>120</v>
      </c>
      <c r="K31" s="14" t="s">
        <v>121</v>
      </c>
      <c r="L31" s="14" t="s">
        <v>122</v>
      </c>
      <c r="M31" s="14" t="s">
        <v>123</v>
      </c>
      <c r="N31" s="14" t="s">
        <v>124</v>
      </c>
      <c r="O31" s="14" t="s">
        <v>125</v>
      </c>
    </row>
    <row r="32" spans="1:15" x14ac:dyDescent="0.2">
      <c r="A32">
        <v>1</v>
      </c>
      <c r="B32" t="str">
        <f t="shared" ref="B32:B37" si="0">INDEX(Dis_node,MATCH(A32,Dis_rank,0))</f>
        <v>5</v>
      </c>
      <c r="C32" s="18">
        <f t="shared" ref="C32:C37" si="1">INDEX(Dis_k,MATCH(A32,Dis_rank,0))</f>
        <v>75</v>
      </c>
      <c r="D32" s="24">
        <f t="shared" ref="D32:D37" si="2">INDEX(Dis_g,MATCH(A32,Dis_rank,0))</f>
        <v>1000</v>
      </c>
      <c r="E32" s="25">
        <f t="shared" ref="E32:E37" si="3">C32/D32</f>
        <v>7.4999999999999997E-2</v>
      </c>
      <c r="F32" s="18">
        <f t="shared" ref="F32:F37" si="4">INDEX(Dis_k,1)+SUMIF($A$32:$A$37,"&gt;"&amp;A32,$C$32:$C$37)</f>
        <v>1075</v>
      </c>
      <c r="G32" s="24">
        <f t="shared" ref="G32:G37" si="5">INDEX(Dis_g,1)+SUMIF($A$32:$A$37,"&gt;"&amp;A32,$D$32:$D$37)</f>
        <v>9200</v>
      </c>
      <c r="H32" s="25">
        <f t="shared" ref="H32:H37" si="6">F32/G32</f>
        <v>0.11684782608695653</v>
      </c>
      <c r="I32" t="str">
        <f t="shared" ref="I32:I37" si="7">IF(E32&gt;H32,"add","stop")</f>
        <v>stop</v>
      </c>
      <c r="J32">
        <f t="shared" ref="J32:J37" si="8">IF(I32="stop",A32,0)</f>
        <v>1</v>
      </c>
      <c r="K32" s="25">
        <f t="shared" ref="K32:K37" si="9">IF(A32&gt;=$B$10,$B$11,SQRT(E32))</f>
        <v>0.27386127875258304</v>
      </c>
      <c r="L32" s="20">
        <f t="shared" ref="L32:L37" si="10">K32/(SQRT(2)*$B$7)</f>
        <v>10.069756700139282</v>
      </c>
      <c r="M32">
        <f t="shared" ref="M32:M37" si="11">MAX(0,CEILING(LOG(L32,2),1))</f>
        <v>4</v>
      </c>
      <c r="N32" s="25">
        <f t="shared" ref="N32:N37" si="12">2^M32*$B$7</f>
        <v>0.30769230769230771</v>
      </c>
      <c r="O32" s="24">
        <f t="shared" ref="O32:O37" si="13">N32*$B$6</f>
        <v>16</v>
      </c>
    </row>
    <row r="33" spans="1:15" x14ac:dyDescent="0.2">
      <c r="A33">
        <v>2</v>
      </c>
      <c r="B33" t="str">
        <f t="shared" si="0"/>
        <v>3</v>
      </c>
      <c r="C33" s="18">
        <f t="shared" si="1"/>
        <v>110</v>
      </c>
      <c r="D33" s="24">
        <f t="shared" si="2"/>
        <v>1000</v>
      </c>
      <c r="E33" s="25">
        <f t="shared" si="3"/>
        <v>0.11</v>
      </c>
      <c r="F33" s="18">
        <f t="shared" si="4"/>
        <v>965</v>
      </c>
      <c r="G33" s="24">
        <f t="shared" si="5"/>
        <v>8200</v>
      </c>
      <c r="H33" s="25">
        <f t="shared" si="6"/>
        <v>0.11768292682926829</v>
      </c>
      <c r="I33" t="str">
        <f t="shared" si="7"/>
        <v>stop</v>
      </c>
      <c r="J33">
        <f t="shared" si="8"/>
        <v>2</v>
      </c>
      <c r="K33" s="25">
        <f t="shared" si="9"/>
        <v>0.33166247903553997</v>
      </c>
      <c r="L33" s="20">
        <f t="shared" si="10"/>
        <v>12.195080975540915</v>
      </c>
      <c r="M33">
        <f t="shared" si="11"/>
        <v>4</v>
      </c>
      <c r="N33" s="25">
        <f t="shared" si="12"/>
        <v>0.30769230769230771</v>
      </c>
      <c r="O33" s="24">
        <f t="shared" si="13"/>
        <v>16</v>
      </c>
    </row>
    <row r="34" spans="1:15" x14ac:dyDescent="0.2">
      <c r="A34">
        <v>3</v>
      </c>
      <c r="B34" t="str">
        <f t="shared" si="0"/>
        <v>6</v>
      </c>
      <c r="C34" s="18">
        <f t="shared" si="1"/>
        <v>90</v>
      </c>
      <c r="D34" s="24">
        <f t="shared" si="2"/>
        <v>700</v>
      </c>
      <c r="E34" s="25">
        <f t="shared" si="3"/>
        <v>0.12857142857142856</v>
      </c>
      <c r="F34" s="18">
        <f t="shared" si="4"/>
        <v>875</v>
      </c>
      <c r="G34" s="24">
        <f t="shared" si="5"/>
        <v>7500</v>
      </c>
      <c r="H34" s="25">
        <f t="shared" si="6"/>
        <v>0.11666666666666667</v>
      </c>
      <c r="I34" t="str">
        <f t="shared" si="7"/>
        <v>add</v>
      </c>
      <c r="J34">
        <f t="shared" si="8"/>
        <v>0</v>
      </c>
      <c r="K34" s="25">
        <f t="shared" si="9"/>
        <v>0.34304945245440677</v>
      </c>
      <c r="L34" s="20">
        <f t="shared" si="10"/>
        <v>12.613774893867841</v>
      </c>
      <c r="M34">
        <f t="shared" si="11"/>
        <v>4</v>
      </c>
      <c r="N34" s="25">
        <f t="shared" si="12"/>
        <v>0.30769230769230771</v>
      </c>
      <c r="O34" s="24">
        <f t="shared" si="13"/>
        <v>16</v>
      </c>
    </row>
    <row r="35" spans="1:15" x14ac:dyDescent="0.2">
      <c r="A35">
        <v>4</v>
      </c>
      <c r="B35" t="str">
        <f t="shared" si="0"/>
        <v>4</v>
      </c>
      <c r="C35" s="18">
        <f t="shared" si="1"/>
        <v>150</v>
      </c>
      <c r="D35" s="24">
        <f t="shared" si="2"/>
        <v>800</v>
      </c>
      <c r="E35" s="25">
        <f t="shared" si="3"/>
        <v>0.1875</v>
      </c>
      <c r="F35" s="18">
        <f t="shared" si="4"/>
        <v>725</v>
      </c>
      <c r="G35" s="24">
        <f t="shared" si="5"/>
        <v>6700</v>
      </c>
      <c r="H35" s="25">
        <f t="shared" si="6"/>
        <v>0.10820895522388059</v>
      </c>
      <c r="I35" t="str">
        <f t="shared" si="7"/>
        <v>add</v>
      </c>
      <c r="J35">
        <f t="shared" si="8"/>
        <v>0</v>
      </c>
      <c r="K35" s="25">
        <f t="shared" si="9"/>
        <v>0.34304945245440677</v>
      </c>
      <c r="L35" s="20">
        <f t="shared" si="10"/>
        <v>12.613774893867841</v>
      </c>
      <c r="M35">
        <f t="shared" si="11"/>
        <v>4</v>
      </c>
      <c r="N35" s="25">
        <f t="shared" si="12"/>
        <v>0.30769230769230771</v>
      </c>
      <c r="O35" s="24">
        <f t="shared" si="13"/>
        <v>16</v>
      </c>
    </row>
    <row r="36" spans="1:15" x14ac:dyDescent="0.2">
      <c r="A36">
        <v>5</v>
      </c>
      <c r="B36" t="str">
        <f t="shared" si="0"/>
        <v>1</v>
      </c>
      <c r="C36" s="18">
        <f t="shared" si="1"/>
        <v>100</v>
      </c>
      <c r="D36" s="24">
        <f t="shared" si="2"/>
        <v>500</v>
      </c>
      <c r="E36" s="25">
        <f t="shared" si="3"/>
        <v>0.2</v>
      </c>
      <c r="F36" s="18">
        <f t="shared" si="4"/>
        <v>625</v>
      </c>
      <c r="G36" s="24">
        <f t="shared" si="5"/>
        <v>6200</v>
      </c>
      <c r="H36" s="25">
        <f t="shared" si="6"/>
        <v>0.10080645161290322</v>
      </c>
      <c r="I36" t="str">
        <f t="shared" si="7"/>
        <v>add</v>
      </c>
      <c r="J36">
        <f t="shared" si="8"/>
        <v>0</v>
      </c>
      <c r="K36" s="25">
        <f t="shared" si="9"/>
        <v>0.34304945245440677</v>
      </c>
      <c r="L36" s="20">
        <f t="shared" si="10"/>
        <v>12.613774893867841</v>
      </c>
      <c r="M36">
        <f t="shared" si="11"/>
        <v>4</v>
      </c>
      <c r="N36" s="25">
        <f t="shared" si="12"/>
        <v>0.30769230769230771</v>
      </c>
      <c r="O36" s="24">
        <f t="shared" si="13"/>
        <v>16</v>
      </c>
    </row>
    <row r="37" spans="1:15" x14ac:dyDescent="0.2">
      <c r="A37">
        <v>6</v>
      </c>
      <c r="B37" t="str">
        <f t="shared" si="0"/>
        <v>2</v>
      </c>
      <c r="C37" s="18">
        <f t="shared" si="1"/>
        <v>125</v>
      </c>
      <c r="D37" s="24">
        <f t="shared" si="2"/>
        <v>200</v>
      </c>
      <c r="E37" s="25">
        <f t="shared" si="3"/>
        <v>0.625</v>
      </c>
      <c r="F37" s="18">
        <f t="shared" si="4"/>
        <v>500</v>
      </c>
      <c r="G37" s="24">
        <f t="shared" si="5"/>
        <v>6000</v>
      </c>
      <c r="H37" s="25">
        <f t="shared" si="6"/>
        <v>8.3333333333333329E-2</v>
      </c>
      <c r="I37" t="str">
        <f t="shared" si="7"/>
        <v>add</v>
      </c>
      <c r="J37">
        <f t="shared" si="8"/>
        <v>0</v>
      </c>
      <c r="K37" s="25">
        <f t="shared" si="9"/>
        <v>0.34304945245440677</v>
      </c>
      <c r="L37" s="20">
        <f t="shared" si="10"/>
        <v>12.613774893867841</v>
      </c>
      <c r="M37">
        <f t="shared" si="11"/>
        <v>4</v>
      </c>
      <c r="N37" s="25">
        <f t="shared" si="12"/>
        <v>0.30769230769230771</v>
      </c>
      <c r="O37" s="24">
        <f t="shared" si="13"/>
        <v>16</v>
      </c>
    </row>
    <row r="39" spans="1:15" x14ac:dyDescent="0.2">
      <c r="A39" s="6" t="s">
        <v>68</v>
      </c>
    </row>
    <row r="40" spans="1:15" x14ac:dyDescent="0.2">
      <c r="A40" s="2" t="s">
        <v>69</v>
      </c>
    </row>
    <row r="41" spans="1:15" ht="30" x14ac:dyDescent="0.2">
      <c r="A41" s="14" t="s">
        <v>112</v>
      </c>
      <c r="B41" s="14" t="s">
        <v>71</v>
      </c>
      <c r="C41" s="14" t="s">
        <v>126</v>
      </c>
      <c r="D41" s="14" t="s">
        <v>127</v>
      </c>
      <c r="E41" s="14" t="s">
        <v>128</v>
      </c>
      <c r="F41" s="14" t="s">
        <v>129</v>
      </c>
      <c r="G41" s="14" t="s">
        <v>115</v>
      </c>
      <c r="H41" s="14" t="s">
        <v>111</v>
      </c>
    </row>
    <row r="42" spans="1:15" x14ac:dyDescent="0.2">
      <c r="A42" s="9" t="s">
        <v>130</v>
      </c>
      <c r="B42" s="17">
        <v>1200</v>
      </c>
      <c r="C42" s="17">
        <v>500</v>
      </c>
      <c r="D42" s="17">
        <v>10</v>
      </c>
      <c r="E42" s="18">
        <f t="shared" ref="E42:E48" si="14">IF(A42=INDEX(Dis_node,1),D42,D42-INDEX(Dis_h,1))</f>
        <v>10</v>
      </c>
      <c r="F42" s="24">
        <f t="shared" ref="F42:F48" si="15">B42*E42/2</f>
        <v>6000</v>
      </c>
      <c r="G42" s="25">
        <f t="shared" ref="G42:G48" si="16">C42/F42</f>
        <v>8.3333333333333329E-2</v>
      </c>
      <c r="H42" t="str">
        <f>IF(A42=INDEX(Dis_node,1),"",RANK(G42,$G$43:$G$48,1)+COUNTIF($G42:G$43,G42)-1)</f>
        <v/>
      </c>
    </row>
    <row r="43" spans="1:15" x14ac:dyDescent="0.2">
      <c r="A43" s="9" t="s">
        <v>131</v>
      </c>
      <c r="B43" s="17">
        <v>200</v>
      </c>
      <c r="C43" s="17">
        <v>100</v>
      </c>
      <c r="D43" s="17">
        <v>15</v>
      </c>
      <c r="E43" s="18">
        <f t="shared" si="14"/>
        <v>5</v>
      </c>
      <c r="F43" s="24">
        <f t="shared" si="15"/>
        <v>500</v>
      </c>
      <c r="G43" s="25">
        <f t="shared" si="16"/>
        <v>0.2</v>
      </c>
      <c r="H43">
        <f>IF(A43=INDEX(Dis_node,1),"",RANK(G43,$G$43:$G$48,1)+COUNTIF($G$43:G43,G43)-1)</f>
        <v>5</v>
      </c>
    </row>
    <row r="44" spans="1:15" x14ac:dyDescent="0.2">
      <c r="A44" s="9" t="s">
        <v>132</v>
      </c>
      <c r="B44" s="17">
        <v>200</v>
      </c>
      <c r="C44" s="17">
        <v>125</v>
      </c>
      <c r="D44" s="17">
        <v>12</v>
      </c>
      <c r="E44" s="18">
        <f t="shared" si="14"/>
        <v>2</v>
      </c>
      <c r="F44" s="24">
        <f t="shared" si="15"/>
        <v>200</v>
      </c>
      <c r="G44" s="25">
        <f t="shared" si="16"/>
        <v>0.625</v>
      </c>
      <c r="H44">
        <f>IF(A44=INDEX(Dis_node,1),"",RANK(G44,$G$43:$G$48,1)+COUNTIF($G$43:G44,G44)-1)</f>
        <v>6</v>
      </c>
    </row>
    <row r="45" spans="1:15" x14ac:dyDescent="0.2">
      <c r="A45" s="9" t="s">
        <v>101</v>
      </c>
      <c r="B45" s="17">
        <v>200</v>
      </c>
      <c r="C45" s="17">
        <v>110</v>
      </c>
      <c r="D45" s="17">
        <v>20</v>
      </c>
      <c r="E45" s="18">
        <f t="shared" si="14"/>
        <v>10</v>
      </c>
      <c r="F45" s="24">
        <f t="shared" si="15"/>
        <v>1000</v>
      </c>
      <c r="G45" s="25">
        <f t="shared" si="16"/>
        <v>0.11</v>
      </c>
      <c r="H45">
        <f>IF(A45=INDEX(Dis_node,1),"",RANK(G45,$G$43:$G$48,1)+COUNTIF($G$43:G45,G45)-1)</f>
        <v>2</v>
      </c>
    </row>
    <row r="46" spans="1:15" x14ac:dyDescent="0.2">
      <c r="A46" s="9" t="s">
        <v>133</v>
      </c>
      <c r="B46" s="17">
        <v>200</v>
      </c>
      <c r="C46" s="17">
        <v>150</v>
      </c>
      <c r="D46" s="17">
        <v>18</v>
      </c>
      <c r="E46" s="18">
        <f t="shared" si="14"/>
        <v>8</v>
      </c>
      <c r="F46" s="24">
        <f t="shared" si="15"/>
        <v>800</v>
      </c>
      <c r="G46" s="25">
        <f t="shared" si="16"/>
        <v>0.1875</v>
      </c>
      <c r="H46">
        <f>IF(A46=INDEX(Dis_node,1),"",RANK(G46,$G$43:$G$48,1)+COUNTIF($G$43:G46,G46)-1)</f>
        <v>4</v>
      </c>
    </row>
    <row r="47" spans="1:15" x14ac:dyDescent="0.2">
      <c r="A47" s="9" t="s">
        <v>134</v>
      </c>
      <c r="B47" s="17">
        <v>200</v>
      </c>
      <c r="C47" s="17">
        <v>75</v>
      </c>
      <c r="D47" s="17">
        <v>20</v>
      </c>
      <c r="E47" s="18">
        <f t="shared" si="14"/>
        <v>10</v>
      </c>
      <c r="F47" s="24">
        <f t="shared" si="15"/>
        <v>1000</v>
      </c>
      <c r="G47" s="25">
        <f t="shared" si="16"/>
        <v>7.4999999999999997E-2</v>
      </c>
      <c r="H47">
        <f>IF(A47=INDEX(Dis_node,1),"",RANK(G47,$G$43:$G$48,1)+COUNTIF($G$43:G47,G47)-1)</f>
        <v>1</v>
      </c>
    </row>
    <row r="48" spans="1:15" x14ac:dyDescent="0.2">
      <c r="A48" s="9" t="s">
        <v>135</v>
      </c>
      <c r="B48" s="17">
        <v>200</v>
      </c>
      <c r="C48" s="17">
        <v>90</v>
      </c>
      <c r="D48" s="17">
        <v>17</v>
      </c>
      <c r="E48" s="18">
        <f t="shared" si="14"/>
        <v>7</v>
      </c>
      <c r="F48" s="24">
        <f t="shared" si="15"/>
        <v>700</v>
      </c>
      <c r="G48" s="25">
        <f t="shared" si="16"/>
        <v>0.12857142857142856</v>
      </c>
      <c r="H48">
        <f>IF(A48=INDEX(Dis_node,1),"",RANK(G48,$G$43:$G$48,1)+COUNTIF($G$43:G48,G48)-1)</f>
        <v>3</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2"/>
  <sheetViews>
    <sheetView zoomScale="120" zoomScaleNormal="120" workbookViewId="0">
      <selection activeCell="D69" sqref="D69"/>
    </sheetView>
  </sheetViews>
  <sheetFormatPr baseColWidth="10" defaultColWidth="8.83203125" defaultRowHeight="15" x14ac:dyDescent="0.2"/>
  <cols>
    <col min="1" max="1" width="24" customWidth="1"/>
    <col min="2" max="2" width="17" customWidth="1"/>
    <col min="3" max="3" width="10" customWidth="1"/>
    <col min="4" max="6" width="13" customWidth="1"/>
    <col min="7" max="7" width="15" customWidth="1"/>
    <col min="8" max="9" width="11" customWidth="1"/>
    <col min="10" max="10" width="16" customWidth="1"/>
  </cols>
  <sheetData>
    <row r="1" spans="1:4" ht="19" x14ac:dyDescent="0.25">
      <c r="A1" s="1" t="s">
        <v>136</v>
      </c>
    </row>
    <row r="2" spans="1:4" x14ac:dyDescent="0.2">
      <c r="A2" s="2" t="s">
        <v>137</v>
      </c>
    </row>
    <row r="4" spans="1:4" x14ac:dyDescent="0.2">
      <c r="A4" s="6" t="s">
        <v>28</v>
      </c>
    </row>
    <row r="5" spans="1:4" x14ac:dyDescent="0.2">
      <c r="A5" t="s">
        <v>138</v>
      </c>
      <c r="B5" s="8">
        <v>55</v>
      </c>
      <c r="C5" s="2" t="s">
        <v>139</v>
      </c>
    </row>
    <row r="6" spans="1:4" x14ac:dyDescent="0.2">
      <c r="A6" t="s">
        <v>140</v>
      </c>
      <c r="B6" s="7">
        <v>0.25</v>
      </c>
      <c r="C6" s="2" t="s">
        <v>30</v>
      </c>
    </row>
    <row r="7" spans="1:4" x14ac:dyDescent="0.2">
      <c r="A7" t="s">
        <v>141</v>
      </c>
      <c r="B7" s="9">
        <v>0.25</v>
      </c>
      <c r="C7" s="2" t="s">
        <v>30</v>
      </c>
      <c r="D7" s="2" t="s">
        <v>142</v>
      </c>
    </row>
    <row r="9" spans="1:4" x14ac:dyDescent="0.2">
      <c r="A9" s="6" t="s">
        <v>47</v>
      </c>
    </row>
    <row r="10" spans="1:4" x14ac:dyDescent="0.2">
      <c r="A10" t="s">
        <v>143</v>
      </c>
      <c r="B10" s="26">
        <f>SUM(Exc_lambda)</f>
        <v>14445</v>
      </c>
    </row>
    <row r="11" spans="1:4" x14ac:dyDescent="0.2">
      <c r="A11" t="s">
        <v>144</v>
      </c>
      <c r="B11" s="15">
        <f>SUMPRODUCT(Exc_c,Exc_lambda)</f>
        <v>555500</v>
      </c>
    </row>
    <row r="12" spans="1:4" x14ac:dyDescent="0.2">
      <c r="A12" t="s">
        <v>145</v>
      </c>
      <c r="B12" s="15">
        <f>B11/B10</f>
        <v>38.456213222568365</v>
      </c>
    </row>
    <row r="13" spans="1:4" x14ac:dyDescent="0.2">
      <c r="A13" t="s">
        <v>146</v>
      </c>
      <c r="B13" s="15">
        <f>SUMPRODUCT(Exc_k,Exc_c,Exc_lambda)/B11</f>
        <v>123.66831683168317</v>
      </c>
    </row>
    <row r="14" spans="1:4" x14ac:dyDescent="0.2">
      <c r="A14" t="s">
        <v>147</v>
      </c>
      <c r="B14" s="27">
        <f>SUMPRODUCT(Exc_root)^2/SUMPRODUCT(Exc_k,Exc_c,Exc_lambda)</f>
        <v>5.6813291745400658</v>
      </c>
    </row>
    <row r="15" spans="1:4" x14ac:dyDescent="0.2">
      <c r="A15" t="s">
        <v>148</v>
      </c>
      <c r="B15" s="10">
        <f>SUMPRODUCT(Exc_root)^2/2</f>
        <v>195147265.65012991</v>
      </c>
    </row>
    <row r="16" spans="1:4" x14ac:dyDescent="0.2">
      <c r="A16" t="s">
        <v>149</v>
      </c>
      <c r="B16" s="10">
        <f>B14*B13*B10*B12/2</f>
        <v>195147265.65012991</v>
      </c>
    </row>
    <row r="17" spans="1:2" x14ac:dyDescent="0.2">
      <c r="A17" t="s">
        <v>150</v>
      </c>
      <c r="B17" s="15">
        <f>SUMPRODUCT(Exc_c,Exc_Q)/2</f>
        <v>27939.024009448141</v>
      </c>
    </row>
    <row r="18" spans="1:2" x14ac:dyDescent="0.2">
      <c r="A18" t="s">
        <v>151</v>
      </c>
      <c r="B18" s="15">
        <f>SUMPRODUCT(Exc_k,Exc_N)</f>
        <v>6984.7560023620354</v>
      </c>
    </row>
    <row r="19" spans="1:2" x14ac:dyDescent="0.2">
      <c r="A19" t="s">
        <v>152</v>
      </c>
      <c r="B19" s="10">
        <f>B17*B18</f>
        <v>195147265.65012991</v>
      </c>
    </row>
    <row r="20" spans="1:2" x14ac:dyDescent="0.2">
      <c r="A20" t="s">
        <v>153</v>
      </c>
      <c r="B20" s="10">
        <f>SUM(Exc_N)</f>
        <v>81.222881931610999</v>
      </c>
    </row>
    <row r="21" spans="1:2" x14ac:dyDescent="0.2">
      <c r="A21" t="s">
        <v>154</v>
      </c>
      <c r="B21" s="23">
        <f>SUMPRODUCT(Exc_w,Exc_N)</f>
        <v>126.99556367930973</v>
      </c>
    </row>
    <row r="22" spans="1:2" x14ac:dyDescent="0.2">
      <c r="A22" t="s">
        <v>155</v>
      </c>
      <c r="B22" s="28">
        <f>B17/B18</f>
        <v>4</v>
      </c>
    </row>
    <row r="24" spans="1:2" x14ac:dyDescent="0.2">
      <c r="A24" s="6" t="s">
        <v>59</v>
      </c>
    </row>
    <row r="25" spans="1:2" x14ac:dyDescent="0.2">
      <c r="A25" s="5" t="s">
        <v>156</v>
      </c>
      <c r="B25" t="s">
        <v>157</v>
      </c>
    </row>
    <row r="26" spans="1:2" x14ac:dyDescent="0.2">
      <c r="A26" s="5" t="s">
        <v>158</v>
      </c>
      <c r="B26" t="s">
        <v>159</v>
      </c>
    </row>
    <row r="27" spans="1:2" x14ac:dyDescent="0.2">
      <c r="A27" s="5" t="s">
        <v>160</v>
      </c>
      <c r="B27" t="s">
        <v>161</v>
      </c>
    </row>
    <row r="28" spans="1:2" x14ac:dyDescent="0.2">
      <c r="A28" s="5" t="s">
        <v>162</v>
      </c>
      <c r="B28" t="s">
        <v>163</v>
      </c>
    </row>
    <row r="29" spans="1:2" x14ac:dyDescent="0.2">
      <c r="A29" s="5" t="s">
        <v>155</v>
      </c>
      <c r="B29" t="s">
        <v>164</v>
      </c>
    </row>
    <row r="32" spans="1:2" x14ac:dyDescent="0.2">
      <c r="A32" s="6" t="s">
        <v>165</v>
      </c>
    </row>
    <row r="33" spans="1:5" x14ac:dyDescent="0.2">
      <c r="A33" s="2" t="s">
        <v>166</v>
      </c>
    </row>
    <row r="34" spans="1:5" ht="30" x14ac:dyDescent="0.2">
      <c r="A34" s="14" t="s">
        <v>167</v>
      </c>
      <c r="B34" s="14" t="s">
        <v>168</v>
      </c>
      <c r="C34" s="14" t="s">
        <v>169</v>
      </c>
      <c r="D34" s="14" t="s">
        <v>152</v>
      </c>
      <c r="E34" s="14" t="s">
        <v>170</v>
      </c>
    </row>
    <row r="35" spans="1:5" x14ac:dyDescent="0.2">
      <c r="A35" s="29">
        <v>0.05</v>
      </c>
      <c r="B35" s="18">
        <f t="shared" ref="B35:B46" si="0">SUMPRODUCT(SQRT(Exc_k*Exc_lambda*Exc_c/(2*$A35)))</f>
        <v>62473.556910124767</v>
      </c>
      <c r="C35" s="18">
        <f t="shared" ref="C35:C46" si="1">SUMPRODUCT(SQRT(Exc_k*Exc_lambda*Exc_c*$A35/2))</f>
        <v>3123.6778455062386</v>
      </c>
      <c r="D35" s="20">
        <f t="shared" ref="D35:D46" si="2">B35*C35</f>
        <v>195147265.65012991</v>
      </c>
      <c r="E35" s="20">
        <f t="shared" ref="E35:E46" si="3">SQRT($A35)*SUM(Exc_nroot)</f>
        <v>36.323977065504316</v>
      </c>
    </row>
    <row r="36" spans="1:5" x14ac:dyDescent="0.2">
      <c r="A36" s="29">
        <v>0.08</v>
      </c>
      <c r="B36" s="18">
        <f t="shared" si="0"/>
        <v>49389.683342036362</v>
      </c>
      <c r="C36" s="18">
        <f t="shared" si="1"/>
        <v>3951.1746673629091</v>
      </c>
      <c r="D36" s="20">
        <f t="shared" si="2"/>
        <v>195147265.65012994</v>
      </c>
      <c r="E36" s="20">
        <f t="shared" si="3"/>
        <v>45.946600481085149</v>
      </c>
    </row>
    <row r="37" spans="1:5" x14ac:dyDescent="0.2">
      <c r="A37" s="29">
        <v>0.1</v>
      </c>
      <c r="B37" s="18">
        <f t="shared" si="0"/>
        <v>44175.475735992921</v>
      </c>
      <c r="C37" s="18">
        <f t="shared" si="1"/>
        <v>4417.5475735992914</v>
      </c>
      <c r="D37" s="20">
        <f t="shared" si="2"/>
        <v>195147265.65012988</v>
      </c>
      <c r="E37" s="20">
        <f t="shared" si="3"/>
        <v>51.369861005365465</v>
      </c>
    </row>
    <row r="38" spans="1:5" x14ac:dyDescent="0.2">
      <c r="A38" s="29">
        <v>0.15</v>
      </c>
      <c r="B38" s="18">
        <f t="shared" si="0"/>
        <v>36069.124899293936</v>
      </c>
      <c r="C38" s="18">
        <f t="shared" si="1"/>
        <v>5410.3687348940903</v>
      </c>
      <c r="D38" s="20">
        <f t="shared" si="2"/>
        <v>195147265.65012985</v>
      </c>
      <c r="E38" s="20">
        <f t="shared" si="3"/>
        <v>62.914973810420136</v>
      </c>
    </row>
    <row r="39" spans="1:5" x14ac:dyDescent="0.2">
      <c r="A39" s="29">
        <v>0.2</v>
      </c>
      <c r="B39" s="18">
        <f t="shared" si="0"/>
        <v>31236.778455062384</v>
      </c>
      <c r="C39" s="18">
        <f t="shared" si="1"/>
        <v>6247.3556910124771</v>
      </c>
      <c r="D39" s="20">
        <f t="shared" si="2"/>
        <v>195147265.65012991</v>
      </c>
      <c r="E39" s="20">
        <f t="shared" si="3"/>
        <v>72.647954131008632</v>
      </c>
    </row>
    <row r="40" spans="1:5" x14ac:dyDescent="0.2">
      <c r="A40" s="29">
        <v>0.25</v>
      </c>
      <c r="B40" s="18">
        <f t="shared" si="0"/>
        <v>27939.024009448141</v>
      </c>
      <c r="C40" s="18">
        <f t="shared" si="1"/>
        <v>6984.7560023620354</v>
      </c>
      <c r="D40" s="20">
        <f t="shared" si="2"/>
        <v>195147265.65012991</v>
      </c>
      <c r="E40" s="20">
        <f t="shared" si="3"/>
        <v>81.222881931610985</v>
      </c>
    </row>
    <row r="41" spans="1:5" x14ac:dyDescent="0.2">
      <c r="A41" s="29">
        <v>0.3</v>
      </c>
      <c r="B41" s="18">
        <f t="shared" si="0"/>
        <v>25504.72280775529</v>
      </c>
      <c r="C41" s="18">
        <f t="shared" si="1"/>
        <v>7651.4168423265874</v>
      </c>
      <c r="D41" s="20">
        <f t="shared" si="2"/>
        <v>195147265.65012988</v>
      </c>
      <c r="E41" s="20">
        <f t="shared" si="3"/>
        <v>88.975209239044219</v>
      </c>
    </row>
    <row r="42" spans="1:5" x14ac:dyDescent="0.2">
      <c r="A42" s="29">
        <v>0.4</v>
      </c>
      <c r="B42" s="18">
        <f t="shared" si="0"/>
        <v>22087.73786799646</v>
      </c>
      <c r="C42" s="18">
        <f t="shared" si="1"/>
        <v>8835.0951471985827</v>
      </c>
      <c r="D42" s="20">
        <f t="shared" si="2"/>
        <v>195147265.65012988</v>
      </c>
      <c r="E42" s="20">
        <f t="shared" si="3"/>
        <v>102.73972201073093</v>
      </c>
    </row>
    <row r="43" spans="1:5" x14ac:dyDescent="0.2">
      <c r="A43" s="29">
        <v>0.5</v>
      </c>
      <c r="B43" s="18">
        <f t="shared" si="0"/>
        <v>19755.873336814544</v>
      </c>
      <c r="C43" s="18">
        <f t="shared" si="1"/>
        <v>9877.936668407272</v>
      </c>
      <c r="D43" s="20">
        <f t="shared" si="2"/>
        <v>195147265.65012991</v>
      </c>
      <c r="E43" s="20">
        <f t="shared" si="3"/>
        <v>114.86650120271287</v>
      </c>
    </row>
    <row r="44" spans="1:5" x14ac:dyDescent="0.2">
      <c r="A44" s="29">
        <v>0.65</v>
      </c>
      <c r="B44" s="18">
        <f t="shared" si="0"/>
        <v>17327.047138467115</v>
      </c>
      <c r="C44" s="18">
        <f t="shared" si="1"/>
        <v>11262.580640003625</v>
      </c>
      <c r="D44" s="20">
        <f t="shared" si="2"/>
        <v>195147265.65012994</v>
      </c>
      <c r="E44" s="20">
        <f t="shared" si="3"/>
        <v>130.96796183845379</v>
      </c>
    </row>
    <row r="45" spans="1:5" x14ac:dyDescent="0.2">
      <c r="A45" s="29">
        <v>0.8</v>
      </c>
      <c r="B45" s="18">
        <f t="shared" si="0"/>
        <v>15618.389227531192</v>
      </c>
      <c r="C45" s="18">
        <f t="shared" si="1"/>
        <v>12494.711382024954</v>
      </c>
      <c r="D45" s="20">
        <f t="shared" si="2"/>
        <v>195147265.65012991</v>
      </c>
      <c r="E45" s="20">
        <f t="shared" si="3"/>
        <v>145.29590826201726</v>
      </c>
    </row>
    <row r="46" spans="1:5" x14ac:dyDescent="0.2">
      <c r="A46" s="29">
        <v>1</v>
      </c>
      <c r="B46" s="18">
        <f t="shared" si="0"/>
        <v>13969.512004724071</v>
      </c>
      <c r="C46" s="18">
        <f t="shared" si="1"/>
        <v>13969.512004724071</v>
      </c>
      <c r="D46" s="20">
        <f t="shared" si="2"/>
        <v>195147265.65012991</v>
      </c>
      <c r="E46" s="20">
        <f t="shared" si="3"/>
        <v>162.44576386322197</v>
      </c>
    </row>
    <row r="51" spans="1:10" x14ac:dyDescent="0.2">
      <c r="A51" s="6" t="s">
        <v>68</v>
      </c>
    </row>
    <row r="52" spans="1:10" x14ac:dyDescent="0.2">
      <c r="A52" s="2" t="s">
        <v>69</v>
      </c>
    </row>
    <row r="53" spans="1:10" ht="30" x14ac:dyDescent="0.2">
      <c r="A53" s="14" t="s">
        <v>70</v>
      </c>
      <c r="B53" s="14" t="s">
        <v>71</v>
      </c>
      <c r="C53" s="14" t="s">
        <v>72</v>
      </c>
      <c r="D53" s="14" t="s">
        <v>171</v>
      </c>
      <c r="E53" s="14" t="s">
        <v>172</v>
      </c>
      <c r="F53" s="14" t="s">
        <v>173</v>
      </c>
      <c r="G53" s="14" t="s">
        <v>174</v>
      </c>
      <c r="H53" s="14" t="s">
        <v>175</v>
      </c>
      <c r="I53" s="14" t="s">
        <v>176</v>
      </c>
      <c r="J53" s="14" t="s">
        <v>177</v>
      </c>
    </row>
    <row r="54" spans="1:10" x14ac:dyDescent="0.2">
      <c r="A54" s="9" t="s">
        <v>178</v>
      </c>
      <c r="B54" s="17">
        <v>45</v>
      </c>
      <c r="C54" s="17">
        <v>3800</v>
      </c>
      <c r="D54" s="17">
        <v>4</v>
      </c>
      <c r="E54" s="18">
        <f t="shared" ref="E54:E62" si="4">$B$5*D54</f>
        <v>220</v>
      </c>
      <c r="F54" s="18">
        <f t="shared" ref="F54:F62" si="5">$B$6*C54</f>
        <v>950</v>
      </c>
      <c r="G54" s="20">
        <f t="shared" ref="G54:G62" si="6">SQRT(E54*C54*B54)</f>
        <v>6133.5144900782616</v>
      </c>
      <c r="H54" s="20">
        <f t="shared" ref="H54:H62" si="7">SQRT(2*E54*B54/(C54*$B$7))</f>
        <v>4.5653154615160929</v>
      </c>
      <c r="I54" s="20">
        <f t="shared" ref="I54:I62" si="8">B54/H54</f>
        <v>9.8569311100915638</v>
      </c>
      <c r="J54" s="30">
        <f t="shared" ref="J54:J62" si="9">SQRT(B54*C54/(2*E54))</f>
        <v>19.713862220183128</v>
      </c>
    </row>
    <row r="55" spans="1:10" x14ac:dyDescent="0.2">
      <c r="A55" s="9" t="s">
        <v>179</v>
      </c>
      <c r="B55" s="17">
        <v>1200</v>
      </c>
      <c r="C55" s="17">
        <v>95</v>
      </c>
      <c r="D55" s="17">
        <v>2</v>
      </c>
      <c r="E55" s="18">
        <f t="shared" si="4"/>
        <v>110</v>
      </c>
      <c r="F55" s="18">
        <f t="shared" si="5"/>
        <v>23.75</v>
      </c>
      <c r="G55" s="20">
        <f t="shared" si="6"/>
        <v>3541.1862419251547</v>
      </c>
      <c r="H55" s="20">
        <f t="shared" si="7"/>
        <v>105.43144442567507</v>
      </c>
      <c r="I55" s="20">
        <f t="shared" si="8"/>
        <v>11.381803659589922</v>
      </c>
      <c r="J55" s="30">
        <f t="shared" si="9"/>
        <v>22.763607319179844</v>
      </c>
    </row>
    <row r="56" spans="1:10" x14ac:dyDescent="0.2">
      <c r="A56" s="9" t="s">
        <v>180</v>
      </c>
      <c r="B56" s="17">
        <v>800</v>
      </c>
      <c r="C56" s="17">
        <v>115</v>
      </c>
      <c r="D56" s="17">
        <v>1.5</v>
      </c>
      <c r="E56" s="18">
        <f t="shared" si="4"/>
        <v>82.5</v>
      </c>
      <c r="F56" s="18">
        <f t="shared" si="5"/>
        <v>28.75</v>
      </c>
      <c r="G56" s="20">
        <f t="shared" si="6"/>
        <v>2754.995462791182</v>
      </c>
      <c r="H56" s="20">
        <f t="shared" si="7"/>
        <v>67.759164308793586</v>
      </c>
      <c r="I56" s="20">
        <f t="shared" si="8"/>
        <v>11.806521053804945</v>
      </c>
      <c r="J56" s="30">
        <f t="shared" si="9"/>
        <v>23.613042107609889</v>
      </c>
    </row>
    <row r="57" spans="1:10" x14ac:dyDescent="0.2">
      <c r="A57" s="9" t="s">
        <v>181</v>
      </c>
      <c r="B57" s="17">
        <v>900</v>
      </c>
      <c r="C57" s="17">
        <v>48</v>
      </c>
      <c r="D57" s="17">
        <v>1.5</v>
      </c>
      <c r="E57" s="18">
        <f t="shared" si="4"/>
        <v>82.5</v>
      </c>
      <c r="F57" s="18">
        <f t="shared" si="5"/>
        <v>12</v>
      </c>
      <c r="G57" s="20">
        <f t="shared" si="6"/>
        <v>1887.8559267062728</v>
      </c>
      <c r="H57" s="20">
        <f t="shared" si="7"/>
        <v>111.24297730643494</v>
      </c>
      <c r="I57" s="20">
        <f t="shared" si="8"/>
        <v>8.0903983495589049</v>
      </c>
      <c r="J57" s="30">
        <f t="shared" si="9"/>
        <v>16.18079669911781</v>
      </c>
    </row>
    <row r="58" spans="1:10" x14ac:dyDescent="0.2">
      <c r="A58" s="9" t="s">
        <v>182</v>
      </c>
      <c r="B58" s="17">
        <v>600</v>
      </c>
      <c r="C58" s="17">
        <v>62</v>
      </c>
      <c r="D58" s="17">
        <v>1.5</v>
      </c>
      <c r="E58" s="18">
        <f t="shared" si="4"/>
        <v>82.5</v>
      </c>
      <c r="F58" s="18">
        <f t="shared" si="5"/>
        <v>15.5</v>
      </c>
      <c r="G58" s="20">
        <f t="shared" si="6"/>
        <v>1751.8561584787719</v>
      </c>
      <c r="H58" s="20">
        <f t="shared" si="7"/>
        <v>79.919314149919657</v>
      </c>
      <c r="I58" s="20">
        <f t="shared" si="8"/>
        <v>7.5075719352954833</v>
      </c>
      <c r="J58" s="30">
        <f t="shared" si="9"/>
        <v>15.015143870590967</v>
      </c>
    </row>
    <row r="59" spans="1:10" x14ac:dyDescent="0.2">
      <c r="A59" s="9" t="s">
        <v>183</v>
      </c>
      <c r="B59" s="17">
        <v>1500</v>
      </c>
      <c r="C59" s="17">
        <v>28</v>
      </c>
      <c r="D59" s="17">
        <v>1</v>
      </c>
      <c r="E59" s="18">
        <f t="shared" si="4"/>
        <v>55</v>
      </c>
      <c r="F59" s="18">
        <f t="shared" si="5"/>
        <v>7</v>
      </c>
      <c r="G59" s="20">
        <f t="shared" si="6"/>
        <v>1519.8684153570664</v>
      </c>
      <c r="H59" s="20">
        <f t="shared" si="7"/>
        <v>153.5298947157477</v>
      </c>
      <c r="I59" s="20">
        <f t="shared" si="8"/>
        <v>9.7700842091839437</v>
      </c>
      <c r="J59" s="30">
        <f t="shared" si="9"/>
        <v>19.540168418367887</v>
      </c>
    </row>
    <row r="60" spans="1:10" x14ac:dyDescent="0.2">
      <c r="A60" s="9" t="s">
        <v>184</v>
      </c>
      <c r="B60" s="17">
        <v>2400</v>
      </c>
      <c r="C60" s="17">
        <v>14</v>
      </c>
      <c r="D60" s="17">
        <v>0.75</v>
      </c>
      <c r="E60" s="18">
        <f t="shared" si="4"/>
        <v>41.25</v>
      </c>
      <c r="F60" s="18">
        <f t="shared" si="5"/>
        <v>3.5</v>
      </c>
      <c r="G60" s="20">
        <f t="shared" si="6"/>
        <v>1177.285012220915</v>
      </c>
      <c r="H60" s="20">
        <f t="shared" si="7"/>
        <v>237.84749015162757</v>
      </c>
      <c r="I60" s="20">
        <f t="shared" si="8"/>
        <v>10.09049958219026</v>
      </c>
      <c r="J60" s="30">
        <f t="shared" si="9"/>
        <v>20.18099916438052</v>
      </c>
    </row>
    <row r="61" spans="1:10" x14ac:dyDescent="0.2">
      <c r="A61" s="9" t="s">
        <v>185</v>
      </c>
      <c r="B61" s="17">
        <v>6000</v>
      </c>
      <c r="C61" s="17">
        <v>3.4</v>
      </c>
      <c r="D61" s="17">
        <v>0.5</v>
      </c>
      <c r="E61" s="18">
        <f t="shared" si="4"/>
        <v>27.5</v>
      </c>
      <c r="F61" s="18">
        <f t="shared" si="5"/>
        <v>0.85</v>
      </c>
      <c r="G61" s="20">
        <f t="shared" si="6"/>
        <v>748.99933244296017</v>
      </c>
      <c r="H61" s="20">
        <f t="shared" si="7"/>
        <v>623.08530244072278</v>
      </c>
      <c r="I61" s="20">
        <f t="shared" si="8"/>
        <v>9.6295001286293544</v>
      </c>
      <c r="J61" s="30">
        <f t="shared" si="9"/>
        <v>19.259000257258705</v>
      </c>
    </row>
    <row r="62" spans="1:10" x14ac:dyDescent="0.2">
      <c r="A62" s="9" t="s">
        <v>186</v>
      </c>
      <c r="B62" s="17">
        <v>1000</v>
      </c>
      <c r="C62" s="17">
        <v>2.1</v>
      </c>
      <c r="D62" s="17">
        <v>0.5</v>
      </c>
      <c r="E62" s="18">
        <f t="shared" si="4"/>
        <v>27.5</v>
      </c>
      <c r="F62" s="18">
        <f t="shared" si="5"/>
        <v>0.52500000000000002</v>
      </c>
      <c r="G62" s="20">
        <f t="shared" si="6"/>
        <v>240.31229681395831</v>
      </c>
      <c r="H62" s="20">
        <f t="shared" si="7"/>
        <v>323.66943748507481</v>
      </c>
      <c r="I62" s="20">
        <f t="shared" si="8"/>
        <v>3.0895719032666236</v>
      </c>
      <c r="J62" s="30">
        <f t="shared" si="9"/>
        <v>6.1791438065332462</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9"/>
  <sheetViews>
    <sheetView tabSelected="1" topLeftCell="A53" zoomScale="120" zoomScaleNormal="120" workbookViewId="0">
      <selection activeCell="J1" sqref="J1"/>
    </sheetView>
  </sheetViews>
  <sheetFormatPr baseColWidth="10" defaultColWidth="8.83203125" defaultRowHeight="15" x14ac:dyDescent="0.2"/>
  <cols>
    <col min="1" max="1" width="16" customWidth="1"/>
    <col min="2" max="2" width="10" customWidth="1"/>
    <col min="3" max="3" width="9" customWidth="1"/>
    <col min="4" max="4" width="10" customWidth="1"/>
    <col min="5" max="5" width="11" customWidth="1"/>
    <col min="6" max="6" width="12" customWidth="1"/>
    <col min="7" max="7" width="11" customWidth="1"/>
    <col min="8" max="8" width="10" customWidth="1"/>
    <col min="9" max="9" width="13" customWidth="1"/>
    <col min="10" max="10" width="10" customWidth="1"/>
    <col min="11" max="11" width="13" customWidth="1"/>
  </cols>
  <sheetData>
    <row r="1" spans="1:4" ht="19" x14ac:dyDescent="0.25">
      <c r="A1" s="1" t="s">
        <v>187</v>
      </c>
    </row>
    <row r="2" spans="1:4" x14ac:dyDescent="0.2">
      <c r="A2" s="2" t="s">
        <v>188</v>
      </c>
    </row>
    <row r="4" spans="1:4" x14ac:dyDescent="0.2">
      <c r="A4" s="6" t="s">
        <v>28</v>
      </c>
    </row>
    <row r="5" spans="1:4" x14ac:dyDescent="0.2">
      <c r="A5" t="s">
        <v>189</v>
      </c>
      <c r="B5" s="8">
        <v>400</v>
      </c>
      <c r="C5" s="2" t="s">
        <v>190</v>
      </c>
    </row>
    <row r="6" spans="1:4" x14ac:dyDescent="0.2">
      <c r="A6" t="s">
        <v>29</v>
      </c>
      <c r="B6" s="7">
        <v>0.25</v>
      </c>
      <c r="C6" s="2" t="s">
        <v>30</v>
      </c>
    </row>
    <row r="7" spans="1:4" x14ac:dyDescent="0.2">
      <c r="A7" t="s">
        <v>191</v>
      </c>
      <c r="B7" s="9">
        <v>365</v>
      </c>
      <c r="C7" s="2" t="s">
        <v>192</v>
      </c>
    </row>
    <row r="9" spans="1:4" x14ac:dyDescent="0.2">
      <c r="A9" s="6" t="s">
        <v>193</v>
      </c>
    </row>
    <row r="10" spans="1:4" x14ac:dyDescent="0.2">
      <c r="A10" t="s">
        <v>194</v>
      </c>
      <c r="B10" s="15">
        <f>SUMPRODUCT(SQRT(2*($B$5+Jnt_k)*Jnt_h*Jnt_lambda))</f>
        <v>8422.38525604604</v>
      </c>
    </row>
    <row r="11" spans="1:4" x14ac:dyDescent="0.2">
      <c r="A11" t="s">
        <v>195</v>
      </c>
      <c r="B11" s="22">
        <f>SQRT(($B$5+SUM(Jnt_k))/SUM(Jnt_g))</f>
        <v>0.14620922581619594</v>
      </c>
    </row>
    <row r="12" spans="1:4" x14ac:dyDescent="0.2">
      <c r="A12" t="s">
        <v>196</v>
      </c>
      <c r="B12" s="23">
        <f>B11*$B$7</f>
        <v>53.366367422911516</v>
      </c>
    </row>
    <row r="13" spans="1:4" x14ac:dyDescent="0.2">
      <c r="A13" t="s">
        <v>197</v>
      </c>
      <c r="B13" s="15">
        <f>$B$5/B11+SUM(Jnt_k)/B11+SUMPRODUCT(Jnt_g)*B11</f>
        <v>6497.5379952717476</v>
      </c>
    </row>
    <row r="15" spans="1:4" x14ac:dyDescent="0.2">
      <c r="A15" s="6" t="s">
        <v>198</v>
      </c>
    </row>
    <row r="16" spans="1:4" ht="30" x14ac:dyDescent="0.2">
      <c r="A16" s="14" t="s">
        <v>199</v>
      </c>
      <c r="B16" s="14" t="s">
        <v>200</v>
      </c>
      <c r="C16" s="14" t="s">
        <v>201</v>
      </c>
      <c r="D16" s="14" t="s">
        <v>202</v>
      </c>
    </row>
    <row r="17" spans="1:11" x14ac:dyDescent="0.2">
      <c r="A17" s="5" t="s">
        <v>203</v>
      </c>
      <c r="B17" s="31">
        <v>51.881999999999998</v>
      </c>
      <c r="C17" s="15">
        <f>$B$5/(B17/$B$7)+SUM(Jnt_cost_int)</f>
        <v>6402.0621678635343</v>
      </c>
    </row>
    <row r="18" spans="1:11" x14ac:dyDescent="0.2">
      <c r="A18" s="5" t="s">
        <v>204</v>
      </c>
      <c r="B18" s="31">
        <v>51.8</v>
      </c>
      <c r="C18" s="15">
        <f>$B$5/(B18/$B$7)+SUM(Jnt_cost_po2)</f>
        <v>6403.3428769767816</v>
      </c>
      <c r="D18" s="32">
        <f>C18/C17-1</f>
        <v>2.0004634126724596E-4</v>
      </c>
    </row>
    <row r="19" spans="1:11" x14ac:dyDescent="0.2">
      <c r="A19" t="s">
        <v>43</v>
      </c>
      <c r="B19" s="2" t="s">
        <v>205</v>
      </c>
    </row>
    <row r="20" spans="1:11" x14ac:dyDescent="0.2">
      <c r="A20" t="s">
        <v>206</v>
      </c>
      <c r="B20" s="2" t="s">
        <v>207</v>
      </c>
    </row>
    <row r="22" spans="1:11" x14ac:dyDescent="0.2">
      <c r="A22" s="6" t="s">
        <v>59</v>
      </c>
    </row>
    <row r="23" spans="1:11" x14ac:dyDescent="0.2">
      <c r="A23" s="5" t="s">
        <v>208</v>
      </c>
      <c r="B23" t="s">
        <v>209</v>
      </c>
    </row>
    <row r="24" spans="1:11" x14ac:dyDescent="0.2">
      <c r="A24" s="5" t="s">
        <v>210</v>
      </c>
      <c r="B24" t="s">
        <v>211</v>
      </c>
    </row>
    <row r="25" spans="1:11" x14ac:dyDescent="0.2">
      <c r="A25" s="5" t="s">
        <v>203</v>
      </c>
      <c r="B25" t="s">
        <v>212</v>
      </c>
    </row>
    <row r="26" spans="1:11" x14ac:dyDescent="0.2">
      <c r="A26" s="5" t="s">
        <v>204</v>
      </c>
      <c r="B26" t="s">
        <v>213</v>
      </c>
    </row>
    <row r="28" spans="1:11" x14ac:dyDescent="0.2">
      <c r="A28" s="6" t="s">
        <v>214</v>
      </c>
    </row>
    <row r="29" spans="1:11" x14ac:dyDescent="0.2">
      <c r="A29" s="2" t="s">
        <v>215</v>
      </c>
    </row>
    <row r="30" spans="1:11" ht="30" x14ac:dyDescent="0.2">
      <c r="A30" s="14" t="s">
        <v>216</v>
      </c>
      <c r="B30" s="14" t="s">
        <v>217</v>
      </c>
      <c r="C30" s="14" t="s">
        <v>218</v>
      </c>
      <c r="D30" s="14" t="s">
        <v>219</v>
      </c>
      <c r="E30" s="14" t="s">
        <v>220</v>
      </c>
      <c r="F30" s="14" t="s">
        <v>221</v>
      </c>
      <c r="G30" s="14" t="s">
        <v>222</v>
      </c>
      <c r="H30" s="14" t="s">
        <v>223</v>
      </c>
      <c r="I30" s="14" t="s">
        <v>224</v>
      </c>
      <c r="J30" s="14" t="s">
        <v>225</v>
      </c>
      <c r="K30" s="14" t="s">
        <v>226</v>
      </c>
    </row>
    <row r="31" spans="1:11" x14ac:dyDescent="0.2">
      <c r="A31" s="24">
        <f>ROUND($B$12*(0.5+0*0.05),1)</f>
        <v>26.7</v>
      </c>
      <c r="B31" s="33">
        <f t="shared" ref="B31:B51" si="0">MAX(1,CEILING((-1+SQRT(1+4*(INDEX(Jnt_Tpref,1)/($A31/$B$7))^2))/2,1))</f>
        <v>1</v>
      </c>
      <c r="C31" s="33">
        <f t="shared" ref="C31:C51" si="1">MAX(1,CEILING((-1+SQRT(1+4*(INDEX(Jnt_Tpref,2)/($A31/$B$7))^2))/2,1))</f>
        <v>1</v>
      </c>
      <c r="D31" s="33">
        <f t="shared" ref="D31:D51" si="2">MAX(1,CEILING((-1+SQRT(1+4*(INDEX(Jnt_Tpref,3)/($A31/$B$7))^2))/2,1))</f>
        <v>4</v>
      </c>
      <c r="E31" s="33">
        <f t="shared" ref="E31:E51" si="3">MAX(1,CEILING((-1+SQRT(1+4*(INDEX(Jnt_Tpref,4)/($A31/$B$7))^2))/2,1))</f>
        <v>12</v>
      </c>
      <c r="F31" s="18">
        <f t="shared" ref="F31:F51" si="4">$B$5/($A31/$B$7)+INDEX(Jnt_k,1)/(B31*($A31/$B$7))+INDEX(Jnt_g,1)*B31*($A31/$B$7)+INDEX(Jnt_k,2)/(C31*($A31/$B$7))+INDEX(Jnt_g,2)*C31*($A31/$B$7)+INDEX(Jnt_k,3)/(D31*($A31/$B$7))+INDEX(Jnt_g,3)*D31*($A31/$B$7)+INDEX(Jnt_k,4)/(E31*($A31/$B$7))+INDEX(Jnt_g,4)*E31*($A31/$B$7)</f>
        <v>7837.0771740803457</v>
      </c>
      <c r="G31" s="33">
        <f t="shared" ref="G31:G51" si="5">2^MAX(0,CEILING(LOG(MAX(INDEX(Jnt_Tpref,1),1E-300)/(SQRT(2)*($A31/$B$7)),2),1))</f>
        <v>1</v>
      </c>
      <c r="H31" s="33">
        <f t="shared" ref="H31:H51" si="6">2^MAX(0,CEILING(LOG(MAX(INDEX(Jnt_Tpref,2),1E-300)/(SQRT(2)*($A31/$B$7)),2),1))</f>
        <v>1</v>
      </c>
      <c r="I31" s="33">
        <f t="shared" ref="I31:I51" si="7">2^MAX(0,CEILING(LOG(MAX(INDEX(Jnt_Tpref,3),1E-300)/(SQRT(2)*($A31/$B$7)),2),1))</f>
        <v>4</v>
      </c>
      <c r="J31" s="33">
        <f t="shared" ref="J31:J51" si="8">2^MAX(0,CEILING(LOG(MAX(INDEX(Jnt_Tpref,4),1E-300)/(SQRT(2)*($A31/$B$7)),2),1))</f>
        <v>16</v>
      </c>
      <c r="K31" s="18">
        <f t="shared" ref="K31:K51" si="9">$B$5/($A31/$B$7)+INDEX(Jnt_k,1)/(G31*($A31/$B$7))+INDEX(Jnt_g,1)*G31*($A31/$B$7)+INDEX(Jnt_k,2)/(H31*($A31/$B$7))+INDEX(Jnt_g,2)*H31*($A31/$B$7)+INDEX(Jnt_k,3)/(I31*($A31/$B$7))+INDEX(Jnt_g,3)*I31*($A31/$B$7)+INDEX(Jnt_k,4)/(J31*($A31/$B$7))+INDEX(Jnt_g,4)*J31*($A31/$B$7)</f>
        <v>7838.6572251295474</v>
      </c>
    </row>
    <row r="32" spans="1:11" x14ac:dyDescent="0.2">
      <c r="A32" s="24">
        <f>ROUND($B$12*(0.5+1*0.05),1)</f>
        <v>29.4</v>
      </c>
      <c r="B32" s="33">
        <f t="shared" si="0"/>
        <v>1</v>
      </c>
      <c r="C32" s="33">
        <f t="shared" si="1"/>
        <v>1</v>
      </c>
      <c r="D32" s="33">
        <f t="shared" si="2"/>
        <v>3</v>
      </c>
      <c r="E32" s="33">
        <f t="shared" si="3"/>
        <v>11</v>
      </c>
      <c r="F32" s="18">
        <f t="shared" si="4"/>
        <v>7441.7683025389497</v>
      </c>
      <c r="G32" s="33">
        <f t="shared" si="5"/>
        <v>1</v>
      </c>
      <c r="H32" s="33">
        <f t="shared" si="6"/>
        <v>1</v>
      </c>
      <c r="I32" s="33">
        <f t="shared" si="7"/>
        <v>4</v>
      </c>
      <c r="J32" s="33">
        <f t="shared" si="8"/>
        <v>8</v>
      </c>
      <c r="K32" s="18">
        <f t="shared" si="9"/>
        <v>7443.8748695368558</v>
      </c>
    </row>
    <row r="33" spans="1:11" x14ac:dyDescent="0.2">
      <c r="A33" s="24">
        <f>ROUND($B$12*(0.5+2*0.05),1)</f>
        <v>32</v>
      </c>
      <c r="B33" s="33">
        <f t="shared" si="0"/>
        <v>1</v>
      </c>
      <c r="C33" s="33">
        <f t="shared" si="1"/>
        <v>1</v>
      </c>
      <c r="D33" s="33">
        <f t="shared" si="2"/>
        <v>3</v>
      </c>
      <c r="E33" s="33">
        <f t="shared" si="3"/>
        <v>10</v>
      </c>
      <c r="F33" s="18">
        <f t="shared" si="4"/>
        <v>7148.8259845890416</v>
      </c>
      <c r="G33" s="33">
        <f t="shared" si="5"/>
        <v>1</v>
      </c>
      <c r="H33" s="33">
        <f t="shared" si="6"/>
        <v>1</v>
      </c>
      <c r="I33" s="33">
        <f t="shared" si="7"/>
        <v>4</v>
      </c>
      <c r="J33" s="33">
        <f t="shared" si="8"/>
        <v>8</v>
      </c>
      <c r="K33" s="18">
        <f t="shared" si="9"/>
        <v>7152.8729130993142</v>
      </c>
    </row>
    <row r="34" spans="1:11" x14ac:dyDescent="0.2">
      <c r="A34" s="24">
        <f>ROUND($B$12*(0.5+3*0.05),1)</f>
        <v>34.700000000000003</v>
      </c>
      <c r="B34" s="33">
        <f t="shared" si="0"/>
        <v>1</v>
      </c>
      <c r="C34" s="33">
        <f t="shared" si="1"/>
        <v>1</v>
      </c>
      <c r="D34" s="33">
        <f t="shared" si="2"/>
        <v>3</v>
      </c>
      <c r="E34" s="33">
        <f t="shared" si="3"/>
        <v>9</v>
      </c>
      <c r="F34" s="18">
        <f t="shared" si="4"/>
        <v>6916.6208887660696</v>
      </c>
      <c r="G34" s="33">
        <f t="shared" si="5"/>
        <v>1</v>
      </c>
      <c r="H34" s="33">
        <f t="shared" si="6"/>
        <v>1</v>
      </c>
      <c r="I34" s="33">
        <f t="shared" si="7"/>
        <v>4</v>
      </c>
      <c r="J34" s="33">
        <f t="shared" si="8"/>
        <v>8</v>
      </c>
      <c r="K34" s="18">
        <f t="shared" si="9"/>
        <v>6922.7762050452002</v>
      </c>
    </row>
    <row r="35" spans="1:11" x14ac:dyDescent="0.2">
      <c r="A35" s="24">
        <f>ROUND($B$12*(0.5+4*0.05),1)</f>
        <v>37.4</v>
      </c>
      <c r="B35" s="33">
        <f t="shared" si="0"/>
        <v>1</v>
      </c>
      <c r="C35" s="33">
        <f t="shared" si="1"/>
        <v>1</v>
      </c>
      <c r="D35" s="33">
        <f t="shared" si="2"/>
        <v>3</v>
      </c>
      <c r="E35" s="33">
        <f t="shared" si="3"/>
        <v>8</v>
      </c>
      <c r="F35" s="18">
        <f t="shared" si="4"/>
        <v>6742.130574683174</v>
      </c>
      <c r="G35" s="33">
        <f t="shared" si="5"/>
        <v>1</v>
      </c>
      <c r="H35" s="33">
        <f t="shared" si="6"/>
        <v>1</v>
      </c>
      <c r="I35" s="33">
        <f t="shared" si="7"/>
        <v>2</v>
      </c>
      <c r="J35" s="33">
        <f t="shared" si="8"/>
        <v>8</v>
      </c>
      <c r="K35" s="18">
        <f t="shared" si="9"/>
        <v>6746.0358197201676</v>
      </c>
    </row>
    <row r="36" spans="1:11" x14ac:dyDescent="0.2">
      <c r="A36" s="24">
        <f>ROUND($B$12*(0.5+5*0.05),1)</f>
        <v>40</v>
      </c>
      <c r="B36" s="33">
        <f t="shared" si="0"/>
        <v>1</v>
      </c>
      <c r="C36" s="33">
        <f t="shared" si="1"/>
        <v>1</v>
      </c>
      <c r="D36" s="33">
        <f t="shared" si="2"/>
        <v>3</v>
      </c>
      <c r="E36" s="33">
        <f t="shared" si="3"/>
        <v>8</v>
      </c>
      <c r="F36" s="18">
        <f t="shared" si="4"/>
        <v>6617.6059503424658</v>
      </c>
      <c r="G36" s="33">
        <f t="shared" si="5"/>
        <v>1</v>
      </c>
      <c r="H36" s="33">
        <f t="shared" si="6"/>
        <v>1</v>
      </c>
      <c r="I36" s="33">
        <f t="shared" si="7"/>
        <v>2</v>
      </c>
      <c r="J36" s="33">
        <f t="shared" si="8"/>
        <v>8</v>
      </c>
      <c r="K36" s="18">
        <f t="shared" si="9"/>
        <v>6618.5006421232874</v>
      </c>
    </row>
    <row r="37" spans="1:11" x14ac:dyDescent="0.2">
      <c r="A37" s="24">
        <f>ROUND($B$12*(0.5+6*0.05),1)</f>
        <v>42.7</v>
      </c>
      <c r="B37" s="33">
        <f t="shared" si="0"/>
        <v>1</v>
      </c>
      <c r="C37" s="33">
        <f t="shared" si="1"/>
        <v>1</v>
      </c>
      <c r="D37" s="33">
        <f t="shared" si="2"/>
        <v>2</v>
      </c>
      <c r="E37" s="33">
        <f t="shared" si="3"/>
        <v>7</v>
      </c>
      <c r="F37" s="18">
        <f t="shared" si="4"/>
        <v>6523.1626346833382</v>
      </c>
      <c r="G37" s="33">
        <f t="shared" si="5"/>
        <v>1</v>
      </c>
      <c r="H37" s="33">
        <f t="shared" si="6"/>
        <v>1</v>
      </c>
      <c r="I37" s="33">
        <f t="shared" si="7"/>
        <v>2</v>
      </c>
      <c r="J37" s="33">
        <f t="shared" si="8"/>
        <v>8</v>
      </c>
      <c r="K37" s="18">
        <f t="shared" si="9"/>
        <v>6523.2127153443917</v>
      </c>
    </row>
    <row r="38" spans="1:11" x14ac:dyDescent="0.2">
      <c r="A38" s="24">
        <f>ROUND($B$12*(0.5+7*0.05),1)</f>
        <v>45.4</v>
      </c>
      <c r="B38" s="33">
        <f t="shared" si="0"/>
        <v>1</v>
      </c>
      <c r="C38" s="33">
        <f t="shared" si="1"/>
        <v>1</v>
      </c>
      <c r="D38" s="33">
        <f t="shared" si="2"/>
        <v>2</v>
      </c>
      <c r="E38" s="33">
        <f t="shared" si="3"/>
        <v>7</v>
      </c>
      <c r="F38" s="18">
        <f t="shared" si="4"/>
        <v>6458.7738243230424</v>
      </c>
      <c r="G38" s="33">
        <f t="shared" si="5"/>
        <v>1</v>
      </c>
      <c r="H38" s="33">
        <f t="shared" si="6"/>
        <v>1</v>
      </c>
      <c r="I38" s="33">
        <f t="shared" si="7"/>
        <v>2</v>
      </c>
      <c r="J38" s="33">
        <f t="shared" si="8"/>
        <v>8</v>
      </c>
      <c r="K38" s="18">
        <f t="shared" si="9"/>
        <v>6459.1080185263399</v>
      </c>
    </row>
    <row r="39" spans="1:11" x14ac:dyDescent="0.2">
      <c r="A39" s="24">
        <f>ROUND($B$12*(0.5+8*0.05),1)</f>
        <v>48</v>
      </c>
      <c r="B39" s="33">
        <f t="shared" si="0"/>
        <v>1</v>
      </c>
      <c r="C39" s="33">
        <f t="shared" si="1"/>
        <v>1</v>
      </c>
      <c r="D39" s="33">
        <f t="shared" si="2"/>
        <v>2</v>
      </c>
      <c r="E39" s="33">
        <f t="shared" si="3"/>
        <v>7</v>
      </c>
      <c r="F39" s="18">
        <f t="shared" si="4"/>
        <v>6421.3444430854543</v>
      </c>
      <c r="G39" s="33">
        <f t="shared" si="5"/>
        <v>1</v>
      </c>
      <c r="H39" s="33">
        <f t="shared" si="6"/>
        <v>1</v>
      </c>
      <c r="I39" s="33">
        <f t="shared" si="7"/>
        <v>2</v>
      </c>
      <c r="J39" s="33">
        <f t="shared" si="8"/>
        <v>8</v>
      </c>
      <c r="K39" s="18">
        <f t="shared" si="9"/>
        <v>6421.9377497146124</v>
      </c>
    </row>
    <row r="40" spans="1:11" x14ac:dyDescent="0.2">
      <c r="A40" s="24">
        <f>ROUND($B$12*(0.5+9*0.05),1)</f>
        <v>50.7</v>
      </c>
      <c r="B40" s="33">
        <f t="shared" si="0"/>
        <v>1</v>
      </c>
      <c r="C40" s="33">
        <f t="shared" si="1"/>
        <v>1</v>
      </c>
      <c r="D40" s="33">
        <f t="shared" si="2"/>
        <v>2</v>
      </c>
      <c r="E40" s="33">
        <f t="shared" si="3"/>
        <v>6</v>
      </c>
      <c r="F40" s="18">
        <f t="shared" si="4"/>
        <v>6403.761573586231</v>
      </c>
      <c r="G40" s="33">
        <f t="shared" si="5"/>
        <v>1</v>
      </c>
      <c r="H40" s="33">
        <f t="shared" si="6"/>
        <v>1</v>
      </c>
      <c r="I40" s="33">
        <f t="shared" si="7"/>
        <v>2</v>
      </c>
      <c r="J40" s="33">
        <f t="shared" si="8"/>
        <v>8</v>
      </c>
      <c r="K40" s="18">
        <f t="shared" si="9"/>
        <v>6404.8182310664397</v>
      </c>
    </row>
    <row r="41" spans="1:11" x14ac:dyDescent="0.2">
      <c r="A41" s="24">
        <f>ROUND($B$12*(0.5+10*0.05),1)</f>
        <v>53.4</v>
      </c>
      <c r="B41" s="33">
        <f t="shared" si="0"/>
        <v>1</v>
      </c>
      <c r="C41" s="33">
        <f t="shared" si="1"/>
        <v>1</v>
      </c>
      <c r="D41" s="33">
        <f t="shared" si="2"/>
        <v>2</v>
      </c>
      <c r="E41" s="33">
        <f t="shared" si="3"/>
        <v>6</v>
      </c>
      <c r="F41" s="18">
        <f t="shared" si="4"/>
        <v>6404.7255759068294</v>
      </c>
      <c r="G41" s="33">
        <f t="shared" si="5"/>
        <v>1</v>
      </c>
      <c r="H41" s="33">
        <f t="shared" si="6"/>
        <v>1</v>
      </c>
      <c r="I41" s="33">
        <f t="shared" si="7"/>
        <v>2</v>
      </c>
      <c r="J41" s="33">
        <f t="shared" si="8"/>
        <v>8</v>
      </c>
      <c r="K41" s="18">
        <f t="shared" si="9"/>
        <v>6406.3056269560311</v>
      </c>
    </row>
    <row r="42" spans="1:11" x14ac:dyDescent="0.2">
      <c r="A42" s="24">
        <f>ROUND($B$12*(0.5+11*0.05),1)</f>
        <v>56</v>
      </c>
      <c r="B42" s="33">
        <f t="shared" si="0"/>
        <v>1</v>
      </c>
      <c r="C42" s="33">
        <f t="shared" si="1"/>
        <v>1</v>
      </c>
      <c r="D42" s="33">
        <f t="shared" si="2"/>
        <v>2</v>
      </c>
      <c r="E42" s="33">
        <f t="shared" si="3"/>
        <v>6</v>
      </c>
      <c r="F42" s="18">
        <f t="shared" si="4"/>
        <v>6420.7482876712338</v>
      </c>
      <c r="G42" s="33">
        <f t="shared" si="5"/>
        <v>1</v>
      </c>
      <c r="H42" s="33">
        <f t="shared" si="6"/>
        <v>1</v>
      </c>
      <c r="I42" s="33">
        <f t="shared" si="7"/>
        <v>2</v>
      </c>
      <c r="J42" s="33">
        <f t="shared" si="8"/>
        <v>4</v>
      </c>
      <c r="K42" s="18">
        <f t="shared" si="9"/>
        <v>6422.7586227984348</v>
      </c>
    </row>
    <row r="43" spans="1:11" x14ac:dyDescent="0.2">
      <c r="A43" s="24">
        <f>ROUND($B$12*(0.5+12*0.05),1)</f>
        <v>58.7</v>
      </c>
      <c r="B43" s="33">
        <f t="shared" si="0"/>
        <v>1</v>
      </c>
      <c r="C43" s="33">
        <f t="shared" si="1"/>
        <v>1</v>
      </c>
      <c r="D43" s="33">
        <f t="shared" si="2"/>
        <v>2</v>
      </c>
      <c r="E43" s="33">
        <f t="shared" si="3"/>
        <v>5</v>
      </c>
      <c r="F43" s="18">
        <f t="shared" si="4"/>
        <v>6450.818533989871</v>
      </c>
      <c r="G43" s="33">
        <f t="shared" si="5"/>
        <v>1</v>
      </c>
      <c r="H43" s="33">
        <f t="shared" si="6"/>
        <v>1</v>
      </c>
      <c r="I43" s="33">
        <f t="shared" si="7"/>
        <v>2</v>
      </c>
      <c r="J43" s="33">
        <f t="shared" si="8"/>
        <v>4</v>
      </c>
      <c r="K43" s="18">
        <f t="shared" si="9"/>
        <v>6452.2656390749344</v>
      </c>
    </row>
    <row r="44" spans="1:11" x14ac:dyDescent="0.2">
      <c r="A44" s="24">
        <f>ROUND($B$12*(0.5+13*0.05),1)</f>
        <v>61.4</v>
      </c>
      <c r="B44" s="33">
        <f t="shared" si="0"/>
        <v>1</v>
      </c>
      <c r="C44" s="33">
        <f t="shared" si="1"/>
        <v>1</v>
      </c>
      <c r="D44" s="33">
        <f t="shared" si="2"/>
        <v>2</v>
      </c>
      <c r="E44" s="33">
        <f t="shared" si="3"/>
        <v>5</v>
      </c>
      <c r="F44" s="18">
        <f t="shared" si="4"/>
        <v>6492.7083798134845</v>
      </c>
      <c r="G44" s="33">
        <f t="shared" si="5"/>
        <v>1</v>
      </c>
      <c r="H44" s="33">
        <f t="shared" si="6"/>
        <v>1</v>
      </c>
      <c r="I44" s="33">
        <f t="shared" si="7"/>
        <v>2</v>
      </c>
      <c r="J44" s="33">
        <f t="shared" si="8"/>
        <v>4</v>
      </c>
      <c r="K44" s="18">
        <f t="shared" si="9"/>
        <v>6493.8024653072152</v>
      </c>
    </row>
    <row r="45" spans="1:11" x14ac:dyDescent="0.2">
      <c r="A45" s="24">
        <f>ROUND($B$12*(0.5+14*0.05),1)</f>
        <v>64</v>
      </c>
      <c r="B45" s="33">
        <f t="shared" si="0"/>
        <v>1</v>
      </c>
      <c r="C45" s="33">
        <f t="shared" si="1"/>
        <v>1</v>
      </c>
      <c r="D45" s="33">
        <f t="shared" si="2"/>
        <v>2</v>
      </c>
      <c r="E45" s="33">
        <f t="shared" si="3"/>
        <v>5</v>
      </c>
      <c r="F45" s="18">
        <f t="shared" si="4"/>
        <v>6542.9789169520554</v>
      </c>
      <c r="G45" s="33">
        <f t="shared" si="5"/>
        <v>1</v>
      </c>
      <c r="H45" s="33">
        <f t="shared" si="6"/>
        <v>1</v>
      </c>
      <c r="I45" s="33">
        <f t="shared" si="7"/>
        <v>2</v>
      </c>
      <c r="J45" s="33">
        <f t="shared" si="8"/>
        <v>4</v>
      </c>
      <c r="K45" s="18">
        <f t="shared" si="9"/>
        <v>6543.7494113869861</v>
      </c>
    </row>
    <row r="46" spans="1:11" x14ac:dyDescent="0.2">
      <c r="A46" s="24">
        <f>ROUND($B$12*(0.5+15*0.05),1)</f>
        <v>66.7</v>
      </c>
      <c r="B46" s="33">
        <f t="shared" si="0"/>
        <v>1</v>
      </c>
      <c r="C46" s="33">
        <f t="shared" si="1"/>
        <v>1</v>
      </c>
      <c r="D46" s="33">
        <f t="shared" si="2"/>
        <v>2</v>
      </c>
      <c r="E46" s="33">
        <f t="shared" si="3"/>
        <v>5</v>
      </c>
      <c r="F46" s="18">
        <f t="shared" si="4"/>
        <v>6604.2600275204868</v>
      </c>
      <c r="G46" s="33">
        <f t="shared" si="5"/>
        <v>1</v>
      </c>
      <c r="H46" s="33">
        <f t="shared" si="6"/>
        <v>1</v>
      </c>
      <c r="I46" s="33">
        <f t="shared" si="7"/>
        <v>2</v>
      </c>
      <c r="J46" s="33">
        <f t="shared" si="8"/>
        <v>4</v>
      </c>
      <c r="K46" s="18">
        <f t="shared" si="9"/>
        <v>6604.709430900989</v>
      </c>
    </row>
    <row r="47" spans="1:11" x14ac:dyDescent="0.2">
      <c r="A47" s="24">
        <f>ROUND($B$12*(0.5+16*0.05),1)</f>
        <v>69.400000000000006</v>
      </c>
      <c r="B47" s="33">
        <f t="shared" si="0"/>
        <v>1</v>
      </c>
      <c r="C47" s="33">
        <f t="shared" si="1"/>
        <v>1</v>
      </c>
      <c r="D47" s="33">
        <f t="shared" si="2"/>
        <v>2</v>
      </c>
      <c r="E47" s="33">
        <f t="shared" si="3"/>
        <v>5</v>
      </c>
      <c r="F47" s="18">
        <f t="shared" si="4"/>
        <v>6673.7234021554614</v>
      </c>
      <c r="G47" s="33">
        <f t="shared" si="5"/>
        <v>1</v>
      </c>
      <c r="H47" s="33">
        <f t="shared" si="6"/>
        <v>1</v>
      </c>
      <c r="I47" s="33">
        <f t="shared" si="7"/>
        <v>2</v>
      </c>
      <c r="J47" s="33">
        <f t="shared" si="8"/>
        <v>4</v>
      </c>
      <c r="K47" s="18">
        <f t="shared" si="9"/>
        <v>6673.8651869251107</v>
      </c>
    </row>
    <row r="48" spans="1:11" x14ac:dyDescent="0.2">
      <c r="A48" s="24">
        <f>ROUND($B$12*(0.5+17*0.05),1)</f>
        <v>72</v>
      </c>
      <c r="B48" s="33">
        <f t="shared" si="0"/>
        <v>1</v>
      </c>
      <c r="C48" s="33">
        <f t="shared" si="1"/>
        <v>1</v>
      </c>
      <c r="D48" s="33">
        <f t="shared" si="2"/>
        <v>1</v>
      </c>
      <c r="E48" s="33">
        <f t="shared" si="3"/>
        <v>4</v>
      </c>
      <c r="F48" s="18">
        <f t="shared" si="4"/>
        <v>6745.9137652207</v>
      </c>
      <c r="G48" s="33">
        <f t="shared" si="5"/>
        <v>1</v>
      </c>
      <c r="H48" s="33">
        <f t="shared" si="6"/>
        <v>1</v>
      </c>
      <c r="I48" s="33">
        <f t="shared" si="7"/>
        <v>1</v>
      </c>
      <c r="J48" s="33">
        <f t="shared" si="8"/>
        <v>4</v>
      </c>
      <c r="K48" s="18">
        <f t="shared" si="9"/>
        <v>6745.9137652207</v>
      </c>
    </row>
    <row r="49" spans="1:11" x14ac:dyDescent="0.2">
      <c r="A49" s="24">
        <f>ROUND($B$12*(0.5+18*0.05),1)</f>
        <v>74.7</v>
      </c>
      <c r="B49" s="33">
        <f t="shared" si="0"/>
        <v>1</v>
      </c>
      <c r="C49" s="33">
        <f t="shared" si="1"/>
        <v>1</v>
      </c>
      <c r="D49" s="33">
        <f t="shared" si="2"/>
        <v>1</v>
      </c>
      <c r="E49" s="33">
        <f t="shared" si="3"/>
        <v>4</v>
      </c>
      <c r="F49" s="18">
        <f t="shared" si="4"/>
        <v>6825.7504520364564</v>
      </c>
      <c r="G49" s="33">
        <f t="shared" si="5"/>
        <v>1</v>
      </c>
      <c r="H49" s="33">
        <f t="shared" si="6"/>
        <v>1</v>
      </c>
      <c r="I49" s="33">
        <f t="shared" si="7"/>
        <v>1</v>
      </c>
      <c r="J49" s="33">
        <f t="shared" si="8"/>
        <v>4</v>
      </c>
      <c r="K49" s="18">
        <f t="shared" si="9"/>
        <v>6825.7504520364564</v>
      </c>
    </row>
    <row r="50" spans="1:11" x14ac:dyDescent="0.2">
      <c r="A50" s="24">
        <f>ROUND($B$12*(0.5+19*0.05),1)</f>
        <v>77.400000000000006</v>
      </c>
      <c r="B50" s="33">
        <f t="shared" si="0"/>
        <v>1</v>
      </c>
      <c r="C50" s="33">
        <f t="shared" si="1"/>
        <v>1</v>
      </c>
      <c r="D50" s="33">
        <f t="shared" si="2"/>
        <v>1</v>
      </c>
      <c r="E50" s="33">
        <f t="shared" si="3"/>
        <v>4</v>
      </c>
      <c r="F50" s="18">
        <f t="shared" si="4"/>
        <v>6911.5155764397723</v>
      </c>
      <c r="G50" s="33">
        <f t="shared" si="5"/>
        <v>1</v>
      </c>
      <c r="H50" s="33">
        <f t="shared" si="6"/>
        <v>1</v>
      </c>
      <c r="I50" s="33">
        <f t="shared" si="7"/>
        <v>1</v>
      </c>
      <c r="J50" s="33">
        <f t="shared" si="8"/>
        <v>4</v>
      </c>
      <c r="K50" s="18">
        <f t="shared" si="9"/>
        <v>6911.5155764397723</v>
      </c>
    </row>
    <row r="51" spans="1:11" x14ac:dyDescent="0.2">
      <c r="A51" s="24">
        <f>ROUND($B$12*(0.5+20*0.05),1)</f>
        <v>80</v>
      </c>
      <c r="B51" s="33">
        <f t="shared" si="0"/>
        <v>1</v>
      </c>
      <c r="C51" s="33">
        <f t="shared" si="1"/>
        <v>1</v>
      </c>
      <c r="D51" s="33">
        <f t="shared" si="2"/>
        <v>1</v>
      </c>
      <c r="E51" s="33">
        <f t="shared" si="3"/>
        <v>4</v>
      </c>
      <c r="F51" s="18">
        <f t="shared" si="4"/>
        <v>6999.1470462328771</v>
      </c>
      <c r="G51" s="33">
        <f t="shared" si="5"/>
        <v>1</v>
      </c>
      <c r="H51" s="33">
        <f t="shared" si="6"/>
        <v>1</v>
      </c>
      <c r="I51" s="33">
        <f t="shared" si="7"/>
        <v>1</v>
      </c>
      <c r="J51" s="33">
        <f t="shared" si="8"/>
        <v>4</v>
      </c>
      <c r="K51" s="18">
        <f t="shared" si="9"/>
        <v>6999.1470462328771</v>
      </c>
    </row>
    <row r="53" spans="1:11" x14ac:dyDescent="0.2">
      <c r="A53" s="6" t="s">
        <v>68</v>
      </c>
    </row>
    <row r="54" spans="1:11" x14ac:dyDescent="0.2">
      <c r="A54" s="2" t="s">
        <v>69</v>
      </c>
    </row>
    <row r="55" spans="1:11" ht="30" x14ac:dyDescent="0.2">
      <c r="A55" s="14" t="s">
        <v>70</v>
      </c>
      <c r="B55" s="14" t="s">
        <v>71</v>
      </c>
      <c r="C55" s="14" t="s">
        <v>72</v>
      </c>
      <c r="D55" s="14" t="s">
        <v>227</v>
      </c>
      <c r="E55" s="14" t="s">
        <v>228</v>
      </c>
      <c r="F55" s="14" t="s">
        <v>229</v>
      </c>
      <c r="G55" s="14" t="s">
        <v>230</v>
      </c>
      <c r="H55" s="14" t="s">
        <v>231</v>
      </c>
      <c r="I55" s="14" t="s">
        <v>232</v>
      </c>
      <c r="J55" s="14" t="s">
        <v>233</v>
      </c>
      <c r="K55" s="14" t="s">
        <v>232</v>
      </c>
    </row>
    <row r="56" spans="1:11" x14ac:dyDescent="0.2">
      <c r="A56" s="9" t="s">
        <v>234</v>
      </c>
      <c r="B56" s="17">
        <v>8000</v>
      </c>
      <c r="C56" s="17">
        <v>20</v>
      </c>
      <c r="D56" s="17">
        <v>25</v>
      </c>
      <c r="E56" s="18">
        <f>$B$6*C56</f>
        <v>5</v>
      </c>
      <c r="F56" s="24">
        <f>E56*B56/2</f>
        <v>20000</v>
      </c>
      <c r="G56" s="25">
        <f>SQRT(D56/F56)</f>
        <v>3.5355339059327376E-2</v>
      </c>
      <c r="H56" s="33">
        <f>MAX(1,CEILING((-1+SQRT(1+4*(G56/($B$17/$B$7))^2))/2,1))</f>
        <v>1</v>
      </c>
      <c r="I56" s="18">
        <f>D56/(H56*($B$17/$B$7))+F56*H56*($B$17/$B$7)</f>
        <v>3018.7291963375264</v>
      </c>
      <c r="J56" s="33">
        <f>2^MAX(0,CEILING(LOG(G56/(SQRT(2)*($B$18/$B$7)),2),1))</f>
        <v>1</v>
      </c>
      <c r="K56" s="18">
        <f>D56/(J56*($B$18/$B$7))+F56*J56*($B$18/$B$7)</f>
        <v>3014.5144655418626</v>
      </c>
    </row>
    <row r="57" spans="1:11" x14ac:dyDescent="0.2">
      <c r="A57" s="9" t="s">
        <v>235</v>
      </c>
      <c r="B57" s="17">
        <v>800</v>
      </c>
      <c r="C57" s="17">
        <v>20</v>
      </c>
      <c r="D57" s="17">
        <v>20</v>
      </c>
      <c r="E57" s="18">
        <f>$B$6*C57</f>
        <v>5</v>
      </c>
      <c r="F57" s="24">
        <f>E57*B57/2</f>
        <v>2000</v>
      </c>
      <c r="G57" s="25">
        <f>SQRT(D57/F57)</f>
        <v>0.1</v>
      </c>
      <c r="H57" s="33">
        <f>MAX(1,CEILING((-1+SQRT(1+4*(G57/($B$17/$B$7))^2))/2,1))</f>
        <v>1</v>
      </c>
      <c r="I57" s="18">
        <f>D57/(H57*($B$17/$B$7))+F57*H57*($B$17/$B$7)</f>
        <v>424.98883652207621</v>
      </c>
      <c r="J57" s="33">
        <f>2^MAX(0,CEILING(LOG(G57/(SQRT(2)*($B$18/$B$7)),2),1))</f>
        <v>1</v>
      </c>
      <c r="K57" s="18">
        <f>D57/(J57*($B$18/$B$7))+F57*J57*($B$18/$B$7)</f>
        <v>424.76225736499714</v>
      </c>
    </row>
    <row r="58" spans="1:11" x14ac:dyDescent="0.2">
      <c r="A58" s="9" t="s">
        <v>236</v>
      </c>
      <c r="B58" s="17">
        <v>200</v>
      </c>
      <c r="C58" s="17">
        <v>8</v>
      </c>
      <c r="D58" s="17">
        <v>15</v>
      </c>
      <c r="E58" s="18">
        <f>$B$6*C58</f>
        <v>2</v>
      </c>
      <c r="F58" s="24">
        <f>E58*B58/2</f>
        <v>200</v>
      </c>
      <c r="G58" s="25">
        <f>SQRT(D58/F58)</f>
        <v>0.27386127875258304</v>
      </c>
      <c r="H58" s="33">
        <f>MAX(1,CEILING((-1+SQRT(1+4*(G58/($B$17/$B$7))^2))/2,1))</f>
        <v>2</v>
      </c>
      <c r="I58" s="18">
        <f>D58/(H58*($B$17/$B$7))+F58*H58*($B$17/$B$7)</f>
        <v>109.62095068207994</v>
      </c>
      <c r="J58" s="33">
        <f>2^MAX(0,CEILING(LOG(G58/(SQRT(2)*($B$18/$B$7)),2),1))</f>
        <v>2</v>
      </c>
      <c r="K58" s="18">
        <f>D58/(J58*($B$18/$B$7))+F58*J58*($B$18/$B$7)</f>
        <v>109.61461363516158</v>
      </c>
    </row>
    <row r="59" spans="1:11" x14ac:dyDescent="0.2">
      <c r="A59" s="9" t="s">
        <v>237</v>
      </c>
      <c r="B59" s="17">
        <v>40</v>
      </c>
      <c r="C59" s="17">
        <v>4</v>
      </c>
      <c r="D59" s="17">
        <v>15</v>
      </c>
      <c r="E59" s="18">
        <f>$B$6*C59</f>
        <v>1</v>
      </c>
      <c r="F59" s="24">
        <f>E59*B59/2</f>
        <v>20</v>
      </c>
      <c r="G59" s="25">
        <f>SQRT(D59/F59)</f>
        <v>0.8660254037844386</v>
      </c>
      <c r="H59" s="33">
        <f>MAX(1,CEILING((-1+SQRT(1+4*(G59/($B$17/$B$7))^2))/2,1))</f>
        <v>6</v>
      </c>
      <c r="I59" s="18">
        <f>D59/(H59*($B$17/$B$7))+F59*H59*($B$17/$B$7)</f>
        <v>34.645084017314318</v>
      </c>
      <c r="J59" s="33">
        <f>2^MAX(0,CEILING(LOG(G59/(SQRT(2)*($B$18/$B$7)),2),1))</f>
        <v>8</v>
      </c>
      <c r="K59" s="18">
        <f>D59/(J59*($B$18/$B$7))+F59*J59*($B$18/$B$7)</f>
        <v>35.918721901941083</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41</vt:i4>
      </vt:variant>
    </vt:vector>
  </HeadingPairs>
  <TitlesOfParts>
    <vt:vector size="46" baseType="lpstr">
      <vt:lpstr>Notes</vt:lpstr>
      <vt:lpstr>Constrained</vt:lpstr>
      <vt:lpstr>Distribution</vt:lpstr>
      <vt:lpstr>ExchangeCurve</vt:lpstr>
      <vt:lpstr>JointReplenishment</vt:lpstr>
      <vt:lpstr>Con_a</vt:lpstr>
      <vt:lpstr>Con_c</vt:lpstr>
      <vt:lpstr>Con_h</vt:lpstr>
      <vt:lpstr>Con_k</vt:lpstr>
      <vt:lpstr>Con_lambda</vt:lpstr>
      <vt:lpstr>Con_name</vt:lpstr>
      <vt:lpstr>Con_NFree</vt:lpstr>
      <vt:lpstr>Con_NHeld</vt:lpstr>
      <vt:lpstr>Con_Qfree</vt:lpstr>
      <vt:lpstr>Con_Qheld</vt:lpstr>
      <vt:lpstr>Con_ratio</vt:lpstr>
      <vt:lpstr>Con_v</vt:lpstr>
      <vt:lpstr>Dis_g</vt:lpstr>
      <vt:lpstr>Dis_h</vt:lpstr>
      <vt:lpstr>Dis_hprime</vt:lpstr>
      <vt:lpstr>Dis_k</vt:lpstr>
      <vt:lpstr>Dis_lambda</vt:lpstr>
      <vt:lpstr>Dis_node</vt:lpstr>
      <vt:lpstr>Dis_rank</vt:lpstr>
      <vt:lpstr>Dis_ratio</vt:lpstr>
      <vt:lpstr>Exc_c</vt:lpstr>
      <vt:lpstr>Exc_h</vt:lpstr>
      <vt:lpstr>Exc_k</vt:lpstr>
      <vt:lpstr>Exc_lambda</vt:lpstr>
      <vt:lpstr>Exc_N</vt:lpstr>
      <vt:lpstr>Exc_name</vt:lpstr>
      <vt:lpstr>Exc_nroot</vt:lpstr>
      <vt:lpstr>Exc_Q</vt:lpstr>
      <vt:lpstr>Exc_root</vt:lpstr>
      <vt:lpstr>Exc_w</vt:lpstr>
      <vt:lpstr>Jnt_c</vt:lpstr>
      <vt:lpstr>Jnt_cost_int</vt:lpstr>
      <vt:lpstr>Jnt_cost_po2</vt:lpstr>
      <vt:lpstr>Jnt_g</vt:lpstr>
      <vt:lpstr>Jnt_h</vt:lpstr>
      <vt:lpstr>Jnt_k</vt:lpstr>
      <vt:lpstr>Jnt_lambda</vt:lpstr>
      <vt:lpstr>Jnt_m_int</vt:lpstr>
      <vt:lpstr>Jnt_m_po2</vt:lpstr>
      <vt:lpstr>Jnt_name</vt:lpstr>
      <vt:lpstr>Jnt_Tpref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Manuel Rossetti</cp:lastModifiedBy>
  <dcterms:created xsi:type="dcterms:W3CDTF">2026-09-12T13:54:40Z</dcterms:created>
  <dcterms:modified xsi:type="dcterms:W3CDTF">2026-09-12T16:01:25Z</dcterms:modified>
</cp:coreProperties>
</file>