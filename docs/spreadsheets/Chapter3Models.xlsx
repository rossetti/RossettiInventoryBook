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rossetti/Documents/GitHub/InventoryCourse/background/chapter3/"/>
    </mc:Choice>
  </mc:AlternateContent>
  <xr:revisionPtr revIDLastSave="0" documentId="13_ncr:1_{7D70A223-21C4-A049-AA41-104BCBEF6D0D}" xr6:coauthVersionLast="47" xr6:coauthVersionMax="47" xr10:uidLastSave="{00000000-0000-0000-0000-000000000000}"/>
  <bookViews>
    <workbookView xWindow="38400" yWindow="500" windowWidth="27800" windowHeight="23500" tabRatio="500" activeTab="2" xr2:uid="{00000000-000D-0000-FFFF-FFFF00000000}"/>
  </bookViews>
  <sheets>
    <sheet name="Classic EOQ" sheetId="1" r:id="rId1"/>
    <sheet name="Plot of OC + HC for EOQ" sheetId="3" r:id="rId2"/>
    <sheet name="Classic POQ" sheetId="4" r:id="rId3"/>
    <sheet name="All Units Discount" sheetId="5" r:id="rId4"/>
    <sheet name="Incremental Discount" sheetId="6" r:id="rId5"/>
    <sheet name="Constrained Total Investment" sheetId="7" r:id="rId6"/>
  </sheets>
  <definedNames>
    <definedName name="solver_adj" localSheetId="3" hidden="1">'All Units Discount'!$B$9</definedName>
    <definedName name="solver_adj" localSheetId="5" hidden="1">'Constrained Total Investment'!$B$9:$D$9</definedName>
    <definedName name="solver_adj" localSheetId="4" hidden="1">'Incremental Discount'!$B$9</definedName>
    <definedName name="solver_cvg" localSheetId="3" hidden="1">0.0001</definedName>
    <definedName name="solver_cvg" localSheetId="5" hidden="1">0.0001</definedName>
    <definedName name="solver_cvg" localSheetId="4" hidden="1">0.0001</definedName>
    <definedName name="solver_drv" localSheetId="3" hidden="1">1</definedName>
    <definedName name="solver_drv" localSheetId="5" hidden="1">1</definedName>
    <definedName name="solver_drv" localSheetId="4" hidden="1">1</definedName>
    <definedName name="solver_eng" localSheetId="3" hidden="1">1</definedName>
    <definedName name="solver_eng" localSheetId="5" hidden="1">1</definedName>
    <definedName name="solver_eng" localSheetId="4" hidden="1">1</definedName>
    <definedName name="solver_itr" localSheetId="3" hidden="1">2147483647</definedName>
    <definedName name="solver_itr" localSheetId="5" hidden="1">2147483647</definedName>
    <definedName name="solver_itr" localSheetId="4" hidden="1">2147483647</definedName>
    <definedName name="solver_lhs1" localSheetId="3" hidden="1">'All Units Discount'!$B$9</definedName>
    <definedName name="solver_lhs1" localSheetId="5" hidden="1">'Constrained Total Investment'!$B$23</definedName>
    <definedName name="solver_lhs1" localSheetId="4" hidden="1">'Incremental Discount'!$B$9</definedName>
    <definedName name="solver_lhs2" localSheetId="3" hidden="1">'All Units Discount'!$B$9</definedName>
    <definedName name="solver_lhs2" localSheetId="5" hidden="1">'Constrained Total Investment'!$B$9:$D$9</definedName>
    <definedName name="solver_lhs2" localSheetId="4" hidden="1">'Incremental Discount'!$B$9</definedName>
    <definedName name="solver_lin" localSheetId="3" hidden="1">2</definedName>
    <definedName name="solver_lin" localSheetId="5" hidden="1">2</definedName>
    <definedName name="solver_lin" localSheetId="4" hidden="1">2</definedName>
    <definedName name="solver_mip" localSheetId="3" hidden="1">2147483647</definedName>
    <definedName name="solver_mip" localSheetId="5" hidden="1">2147483647</definedName>
    <definedName name="solver_mip" localSheetId="4" hidden="1">2147483647</definedName>
    <definedName name="solver_mni" localSheetId="3" hidden="1">30</definedName>
    <definedName name="solver_mni" localSheetId="5" hidden="1">30</definedName>
    <definedName name="solver_mni" localSheetId="4" hidden="1">30</definedName>
    <definedName name="solver_mrt" localSheetId="3" hidden="1">0.075</definedName>
    <definedName name="solver_mrt" localSheetId="5" hidden="1">0.075</definedName>
    <definedName name="solver_mrt" localSheetId="4" hidden="1">0.075</definedName>
    <definedName name="solver_msl" localSheetId="3" hidden="1">2</definedName>
    <definedName name="solver_msl" localSheetId="5" hidden="1">2</definedName>
    <definedName name="solver_msl" localSheetId="4" hidden="1">2</definedName>
    <definedName name="solver_neg" localSheetId="3" hidden="1">1</definedName>
    <definedName name="solver_neg" localSheetId="5" hidden="1">1</definedName>
    <definedName name="solver_neg" localSheetId="4" hidden="1">1</definedName>
    <definedName name="solver_nod" localSheetId="3" hidden="1">2147483647</definedName>
    <definedName name="solver_nod" localSheetId="5" hidden="1">2147483647</definedName>
    <definedName name="solver_nod" localSheetId="4" hidden="1">2147483647</definedName>
    <definedName name="solver_num" localSheetId="3" hidden="1">1</definedName>
    <definedName name="solver_num" localSheetId="5" hidden="1">2</definedName>
    <definedName name="solver_num" localSheetId="4" hidden="1">1</definedName>
    <definedName name="solver_opt" localSheetId="3" hidden="1">'All Units Discount'!$B$19</definedName>
    <definedName name="solver_opt" localSheetId="5" hidden="1">'Constrained Total Investment'!$B$22</definedName>
    <definedName name="solver_opt" localSheetId="4" hidden="1">'Incremental Discount'!$B$20</definedName>
    <definedName name="solver_pre" localSheetId="3" hidden="1">0.000001</definedName>
    <definedName name="solver_pre" localSheetId="5" hidden="1">0.000001</definedName>
    <definedName name="solver_pre" localSheetId="4" hidden="1">0.000001</definedName>
    <definedName name="solver_rbv" localSheetId="3" hidden="1">1</definedName>
    <definedName name="solver_rbv" localSheetId="5" hidden="1">1</definedName>
    <definedName name="solver_rbv" localSheetId="4" hidden="1">1</definedName>
    <definedName name="solver_rel1" localSheetId="3" hidden="1">3</definedName>
    <definedName name="solver_rel1" localSheetId="5" hidden="1">1</definedName>
    <definedName name="solver_rel1" localSheetId="4" hidden="1">3</definedName>
    <definedName name="solver_rel2" localSheetId="3" hidden="1">3</definedName>
    <definedName name="solver_rel2" localSheetId="5" hidden="1">3</definedName>
    <definedName name="solver_rel2" localSheetId="4" hidden="1">3</definedName>
    <definedName name="solver_rhs1" localSheetId="3" hidden="1">1</definedName>
    <definedName name="solver_rhs1" localSheetId="5" hidden="1">'Constrained Total Investment'!$B$24</definedName>
    <definedName name="solver_rhs1" localSheetId="4" hidden="1">1</definedName>
    <definedName name="solver_rhs2" localSheetId="3" hidden="1">'All Units Discount'!$E$4</definedName>
    <definedName name="solver_rhs2" localSheetId="5" hidden="1">0</definedName>
    <definedName name="solver_rhs2" localSheetId="4" hidden="1">'Incremental Discount'!$E$4</definedName>
    <definedName name="solver_rlx" localSheetId="3" hidden="1">2</definedName>
    <definedName name="solver_rlx" localSheetId="5" hidden="1">1</definedName>
    <definedName name="solver_rlx" localSheetId="4" hidden="1">2</definedName>
    <definedName name="solver_rsd" localSheetId="3" hidden="1">0</definedName>
    <definedName name="solver_rsd" localSheetId="5" hidden="1">0</definedName>
    <definedName name="solver_rsd" localSheetId="4" hidden="1">0</definedName>
    <definedName name="solver_scl" localSheetId="3" hidden="1">1</definedName>
    <definedName name="solver_scl" localSheetId="5" hidden="1">2</definedName>
    <definedName name="solver_scl" localSheetId="4" hidden="1">1</definedName>
    <definedName name="solver_sho" localSheetId="3" hidden="1">2</definedName>
    <definedName name="solver_sho" localSheetId="5" hidden="1">2</definedName>
    <definedName name="solver_sho" localSheetId="4" hidden="1">2</definedName>
    <definedName name="solver_ssz" localSheetId="3" hidden="1">100</definedName>
    <definedName name="solver_ssz" localSheetId="5" hidden="1">100</definedName>
    <definedName name="solver_ssz" localSheetId="4" hidden="1">100</definedName>
    <definedName name="solver_tim" localSheetId="3" hidden="1">2147483647</definedName>
    <definedName name="solver_tim" localSheetId="5" hidden="1">2147483647</definedName>
    <definedName name="solver_tim" localSheetId="4" hidden="1">2147483647</definedName>
    <definedName name="solver_tol" localSheetId="3" hidden="1">0.01</definedName>
    <definedName name="solver_tol" localSheetId="5" hidden="1">0.01</definedName>
    <definedName name="solver_tol" localSheetId="4" hidden="1">0.01</definedName>
    <definedName name="solver_typ" localSheetId="3" hidden="1">2</definedName>
    <definedName name="solver_typ" localSheetId="5" hidden="1">2</definedName>
    <definedName name="solver_typ" localSheetId="4" hidden="1">2</definedName>
    <definedName name="solver_val" localSheetId="3" hidden="1">0</definedName>
    <definedName name="solver_val" localSheetId="5" hidden="1">0</definedName>
    <definedName name="solver_val" localSheetId="4" hidden="1">0</definedName>
    <definedName name="solver_ver" localSheetId="3" hidden="1">2</definedName>
    <definedName name="solver_ver" localSheetId="5" hidden="1">2</definedName>
    <definedName name="solver_ver" localSheetId="4" hidden="1">2</definedName>
  </definedNames>
  <calcPr calcId="191029" iterate="1" iterateCount="1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4" i="1" l="1"/>
  <c r="H5" i="6"/>
  <c r="H6" i="6" s="1"/>
  <c r="B6" i="1"/>
  <c r="B25" i="1" s="1"/>
  <c r="B27" i="1" s="1"/>
  <c r="B18" i="7"/>
  <c r="C18" i="7"/>
  <c r="D18" i="7"/>
  <c r="B23" i="7"/>
  <c r="B25" i="7" s="1"/>
  <c r="B10" i="7"/>
  <c r="B14" i="7" s="1"/>
  <c r="B12" i="7"/>
  <c r="B15" i="7"/>
  <c r="B16" i="7" s="1"/>
  <c r="C10" i="7"/>
  <c r="C11" i="7" s="1"/>
  <c r="C14" i="7"/>
  <c r="C16" i="7" s="1"/>
  <c r="C17" i="7" s="1"/>
  <c r="C12" i="7"/>
  <c r="D10" i="7"/>
  <c r="D14" i="7"/>
  <c r="D12" i="7"/>
  <c r="D6" i="7"/>
  <c r="D15" i="7" s="1"/>
  <c r="D16" i="7" s="1"/>
  <c r="D17" i="7" s="1"/>
  <c r="D13" i="7"/>
  <c r="D11" i="7"/>
  <c r="C6" i="7"/>
  <c r="C15" i="7" s="1"/>
  <c r="C13" i="7"/>
  <c r="B11" i="7"/>
  <c r="B6" i="7"/>
  <c r="B13" i="7"/>
  <c r="B10" i="6"/>
  <c r="B11" i="6"/>
  <c r="B16" i="6" s="1"/>
  <c r="B12" i="6"/>
  <c r="B18" i="6" s="1"/>
  <c r="B15" i="6"/>
  <c r="B13" i="6"/>
  <c r="B17" i="6" s="1"/>
  <c r="B14" i="6"/>
  <c r="K5" i="5"/>
  <c r="K6" i="5"/>
  <c r="K4" i="5"/>
  <c r="J5" i="5"/>
  <c r="I5" i="5"/>
  <c r="I6" i="5"/>
  <c r="I4" i="5"/>
  <c r="H5" i="5"/>
  <c r="H6" i="5"/>
  <c r="J6" i="5" s="1"/>
  <c r="H4" i="5"/>
  <c r="J4" i="5" s="1"/>
  <c r="B12" i="5"/>
  <c r="B13" i="5" s="1"/>
  <c r="B10" i="5"/>
  <c r="B15" i="5" s="1"/>
  <c r="B14" i="5"/>
  <c r="B7" i="4"/>
  <c r="B10" i="4"/>
  <c r="B11" i="4" s="1"/>
  <c r="B12" i="4" s="1"/>
  <c r="D3" i="4"/>
  <c r="B30" i="1"/>
  <c r="D11" i="3"/>
  <c r="D12" i="3"/>
  <c r="G12" i="3" s="1"/>
  <c r="D13" i="3"/>
  <c r="D14" i="3"/>
  <c r="D15" i="3"/>
  <c r="D16" i="3"/>
  <c r="D17" i="3"/>
  <c r="D18" i="3"/>
  <c r="D19" i="3"/>
  <c r="D20" i="3"/>
  <c r="G20" i="3" s="1"/>
  <c r="D21" i="3"/>
  <c r="D22" i="3"/>
  <c r="D23" i="3"/>
  <c r="G23" i="3" s="1"/>
  <c r="H23" i="3" s="1"/>
  <c r="D24" i="3"/>
  <c r="G24" i="3" s="1"/>
  <c r="D25" i="3"/>
  <c r="D26" i="3"/>
  <c r="D27" i="3"/>
  <c r="D28" i="3"/>
  <c r="D29" i="3"/>
  <c r="D30" i="3"/>
  <c r="D31" i="3"/>
  <c r="D32" i="3"/>
  <c r="G32" i="3" s="1"/>
  <c r="D33" i="3"/>
  <c r="D34" i="3"/>
  <c r="D35" i="3"/>
  <c r="G35" i="3" s="1"/>
  <c r="H35" i="3" s="1"/>
  <c r="D36" i="3"/>
  <c r="G36" i="3" s="1"/>
  <c r="D37" i="3"/>
  <c r="G37" i="3" s="1"/>
  <c r="D38" i="3"/>
  <c r="D39" i="3"/>
  <c r="D40" i="3"/>
  <c r="D41" i="3"/>
  <c r="D42" i="3"/>
  <c r="D43" i="3"/>
  <c r="D44" i="3"/>
  <c r="G44" i="3" s="1"/>
  <c r="D45" i="3"/>
  <c r="D46" i="3"/>
  <c r="G46" i="3" s="1"/>
  <c r="H46" i="3" s="1"/>
  <c r="D47" i="3"/>
  <c r="G47" i="3" s="1"/>
  <c r="H47" i="3" s="1"/>
  <c r="D48" i="3"/>
  <c r="G48" i="3" s="1"/>
  <c r="D49" i="3"/>
  <c r="D50" i="3"/>
  <c r="D51" i="3"/>
  <c r="D52" i="3"/>
  <c r="D53" i="3"/>
  <c r="D54" i="3"/>
  <c r="D55" i="3"/>
  <c r="D56" i="3"/>
  <c r="D57" i="3"/>
  <c r="G57" i="3" s="1"/>
  <c r="D58" i="3"/>
  <c r="D59" i="3"/>
  <c r="D60" i="3"/>
  <c r="D61" i="3"/>
  <c r="G61" i="3" s="1"/>
  <c r="D62" i="3"/>
  <c r="D63" i="3"/>
  <c r="D64" i="3"/>
  <c r="D65" i="3"/>
  <c r="G65" i="3" s="1"/>
  <c r="D66" i="3"/>
  <c r="D67" i="3"/>
  <c r="D68" i="3"/>
  <c r="D69" i="3"/>
  <c r="D70" i="3"/>
  <c r="D71" i="3"/>
  <c r="D72" i="3"/>
  <c r="G72" i="3" s="1"/>
  <c r="D73" i="3"/>
  <c r="G73" i="3" s="1"/>
  <c r="D74" i="3"/>
  <c r="D75" i="3"/>
  <c r="D76" i="3"/>
  <c r="D77" i="3"/>
  <c r="D78" i="3"/>
  <c r="D79" i="3"/>
  <c r="D80" i="3"/>
  <c r="G80" i="3" s="1"/>
  <c r="D81" i="3"/>
  <c r="D82" i="3"/>
  <c r="D83" i="3"/>
  <c r="G83" i="3" s="1"/>
  <c r="H83" i="3" s="1"/>
  <c r="D84" i="3"/>
  <c r="G84" i="3" s="1"/>
  <c r="D85" i="3"/>
  <c r="G85" i="3" s="1"/>
  <c r="D86" i="3"/>
  <c r="D87" i="3"/>
  <c r="D88" i="3"/>
  <c r="D89" i="3"/>
  <c r="D90" i="3"/>
  <c r="D91" i="3"/>
  <c r="D92" i="3"/>
  <c r="G92" i="3" s="1"/>
  <c r="D93" i="3"/>
  <c r="D94" i="3"/>
  <c r="D95" i="3"/>
  <c r="G95" i="3" s="1"/>
  <c r="H95" i="3" s="1"/>
  <c r="D96" i="3"/>
  <c r="G96" i="3" s="1"/>
  <c r="D97" i="3"/>
  <c r="G97" i="3" s="1"/>
  <c r="D98" i="3"/>
  <c r="D99" i="3"/>
  <c r="D100" i="3"/>
  <c r="D101" i="3"/>
  <c r="D102" i="3"/>
  <c r="D103" i="3"/>
  <c r="D104" i="3"/>
  <c r="G104" i="3" s="1"/>
  <c r="D105" i="3"/>
  <c r="D106" i="3"/>
  <c r="D107" i="3"/>
  <c r="D108" i="3"/>
  <c r="G108" i="3" s="1"/>
  <c r="D10" i="3"/>
  <c r="G10" i="3" s="1"/>
  <c r="C11" i="3"/>
  <c r="F11" i="3" s="1"/>
  <c r="C12" i="3"/>
  <c r="C13" i="3"/>
  <c r="C14" i="3"/>
  <c r="C15" i="3"/>
  <c r="C16" i="3"/>
  <c r="C17" i="3"/>
  <c r="C18" i="3"/>
  <c r="C19" i="3"/>
  <c r="C20" i="3"/>
  <c r="F20" i="3" s="1"/>
  <c r="H20" i="3" s="1"/>
  <c r="C21" i="3"/>
  <c r="F21" i="3" s="1"/>
  <c r="C22" i="3"/>
  <c r="F22" i="3" s="1"/>
  <c r="C23" i="3"/>
  <c r="C24" i="3"/>
  <c r="C25" i="3"/>
  <c r="C26" i="3"/>
  <c r="C27" i="3"/>
  <c r="C28" i="3"/>
  <c r="C29" i="3"/>
  <c r="C30" i="3"/>
  <c r="C31" i="3"/>
  <c r="F31" i="3" s="1"/>
  <c r="H31" i="3" s="1"/>
  <c r="C32" i="3"/>
  <c r="F32" i="3" s="1"/>
  <c r="H32" i="3" s="1"/>
  <c r="C33" i="3"/>
  <c r="F33" i="3" s="1"/>
  <c r="C34" i="3"/>
  <c r="F34" i="3" s="1"/>
  <c r="C35" i="3"/>
  <c r="C36" i="3"/>
  <c r="C37" i="3"/>
  <c r="C38" i="3"/>
  <c r="C39" i="3"/>
  <c r="C40" i="3"/>
  <c r="C41" i="3"/>
  <c r="C42" i="3"/>
  <c r="C43" i="3"/>
  <c r="F43" i="3" s="1"/>
  <c r="H43" i="3" s="1"/>
  <c r="C44" i="3"/>
  <c r="F44" i="3" s="1"/>
  <c r="H44" i="3" s="1"/>
  <c r="C45" i="3"/>
  <c r="F45" i="3" s="1"/>
  <c r="C46" i="3"/>
  <c r="F46" i="3" s="1"/>
  <c r="C47" i="3"/>
  <c r="C48" i="3"/>
  <c r="C49" i="3"/>
  <c r="C50" i="3"/>
  <c r="C51" i="3"/>
  <c r="C52" i="3"/>
  <c r="C53" i="3"/>
  <c r="C54" i="3"/>
  <c r="C55" i="3"/>
  <c r="F55" i="3" s="1"/>
  <c r="H55" i="3" s="1"/>
  <c r="C56" i="3"/>
  <c r="F56" i="3" s="1"/>
  <c r="H56" i="3" s="1"/>
  <c r="C57" i="3"/>
  <c r="C58" i="3"/>
  <c r="F58" i="3" s="1"/>
  <c r="C59" i="3"/>
  <c r="F59" i="3" s="1"/>
  <c r="C60" i="3"/>
  <c r="C61" i="3"/>
  <c r="C62" i="3"/>
  <c r="C63" i="3"/>
  <c r="F63" i="3" s="1"/>
  <c r="C64" i="3"/>
  <c r="C65" i="3"/>
  <c r="C66" i="3"/>
  <c r="C67" i="3"/>
  <c r="F67" i="3" s="1"/>
  <c r="H67" i="3" s="1"/>
  <c r="C68" i="3"/>
  <c r="F68" i="3" s="1"/>
  <c r="H68" i="3" s="1"/>
  <c r="C69" i="3"/>
  <c r="F69" i="3" s="1"/>
  <c r="H69" i="3" s="1"/>
  <c r="C70" i="3"/>
  <c r="F70" i="3" s="1"/>
  <c r="C71" i="3"/>
  <c r="C72" i="3"/>
  <c r="C73" i="3"/>
  <c r="C74" i="3"/>
  <c r="C75" i="3"/>
  <c r="C76" i="3"/>
  <c r="C77" i="3"/>
  <c r="C78" i="3"/>
  <c r="C79" i="3"/>
  <c r="F79" i="3" s="1"/>
  <c r="H79" i="3" s="1"/>
  <c r="C80" i="3"/>
  <c r="F80" i="3" s="1"/>
  <c r="H80" i="3" s="1"/>
  <c r="C81" i="3"/>
  <c r="F81" i="3" s="1"/>
  <c r="H81" i="3" s="1"/>
  <c r="C82" i="3"/>
  <c r="F82" i="3" s="1"/>
  <c r="C83" i="3"/>
  <c r="C84" i="3"/>
  <c r="C85" i="3"/>
  <c r="C86" i="3"/>
  <c r="C87" i="3"/>
  <c r="C88" i="3"/>
  <c r="C89" i="3"/>
  <c r="C90" i="3"/>
  <c r="C91" i="3"/>
  <c r="F91" i="3" s="1"/>
  <c r="H91" i="3" s="1"/>
  <c r="C92" i="3"/>
  <c r="F92" i="3" s="1"/>
  <c r="H92" i="3" s="1"/>
  <c r="C93" i="3"/>
  <c r="F93" i="3" s="1"/>
  <c r="C94" i="3"/>
  <c r="F94" i="3" s="1"/>
  <c r="C95" i="3"/>
  <c r="C96" i="3"/>
  <c r="C97" i="3"/>
  <c r="C98" i="3"/>
  <c r="C99" i="3"/>
  <c r="C100" i="3"/>
  <c r="C101" i="3"/>
  <c r="C102" i="3"/>
  <c r="C103" i="3"/>
  <c r="F103" i="3" s="1"/>
  <c r="H103" i="3" s="1"/>
  <c r="C104" i="3"/>
  <c r="F104" i="3" s="1"/>
  <c r="H104" i="3" s="1"/>
  <c r="C105" i="3"/>
  <c r="F105" i="3" s="1"/>
  <c r="C106" i="3"/>
  <c r="F106" i="3" s="1"/>
  <c r="C107" i="3"/>
  <c r="C108" i="3"/>
  <c r="C10" i="3"/>
  <c r="B6" i="3"/>
  <c r="G76" i="3" s="1"/>
  <c r="G69" i="3"/>
  <c r="G70" i="3"/>
  <c r="H70" i="3"/>
  <c r="F71" i="3"/>
  <c r="G71" i="3"/>
  <c r="H71" i="3" s="1"/>
  <c r="F72" i="3"/>
  <c r="H72" i="3" s="1"/>
  <c r="F73" i="3"/>
  <c r="H73" i="3" s="1"/>
  <c r="F74" i="3"/>
  <c r="G74" i="3"/>
  <c r="H74" i="3"/>
  <c r="F75" i="3"/>
  <c r="G75" i="3"/>
  <c r="H75" i="3"/>
  <c r="F76" i="3"/>
  <c r="H76" i="3" s="1"/>
  <c r="F77" i="3"/>
  <c r="H77" i="3" s="1"/>
  <c r="G77" i="3"/>
  <c r="F78" i="3"/>
  <c r="G78" i="3"/>
  <c r="H78" i="3"/>
  <c r="G79" i="3"/>
  <c r="G81" i="3"/>
  <c r="G82" i="3"/>
  <c r="H82" i="3"/>
  <c r="F83" i="3"/>
  <c r="F84" i="3"/>
  <c r="H84" i="3" s="1"/>
  <c r="F85" i="3"/>
  <c r="H85" i="3" s="1"/>
  <c r="F86" i="3"/>
  <c r="G86" i="3"/>
  <c r="H86" i="3"/>
  <c r="F87" i="3"/>
  <c r="G87" i="3"/>
  <c r="H87" i="3"/>
  <c r="F88" i="3"/>
  <c r="F89" i="3"/>
  <c r="G89" i="3"/>
  <c r="F90" i="3"/>
  <c r="G90" i="3"/>
  <c r="H90" i="3"/>
  <c r="G91" i="3"/>
  <c r="G93" i="3"/>
  <c r="G94" i="3"/>
  <c r="H94" i="3"/>
  <c r="F95" i="3"/>
  <c r="F96" i="3"/>
  <c r="H96" i="3" s="1"/>
  <c r="F97" i="3"/>
  <c r="F98" i="3"/>
  <c r="G98" i="3"/>
  <c r="H98" i="3"/>
  <c r="F99" i="3"/>
  <c r="G99" i="3"/>
  <c r="H99" i="3"/>
  <c r="F100" i="3"/>
  <c r="F101" i="3"/>
  <c r="G101" i="3"/>
  <c r="F102" i="3"/>
  <c r="G102" i="3"/>
  <c r="H102" i="3" s="1"/>
  <c r="G103" i="3"/>
  <c r="G105" i="3"/>
  <c r="G106" i="3"/>
  <c r="H106" i="3"/>
  <c r="F107" i="3"/>
  <c r="H107" i="3" s="1"/>
  <c r="G107" i="3"/>
  <c r="F108" i="3"/>
  <c r="H108" i="3" s="1"/>
  <c r="F54" i="3"/>
  <c r="G54" i="3"/>
  <c r="G55" i="3"/>
  <c r="G56" i="3"/>
  <c r="F57" i="3"/>
  <c r="H57" i="3" s="1"/>
  <c r="G58" i="3"/>
  <c r="G59" i="3"/>
  <c r="H59" i="3" s="1"/>
  <c r="F60" i="3"/>
  <c r="H60" i="3" s="1"/>
  <c r="G60" i="3"/>
  <c r="F61" i="3"/>
  <c r="H61" i="3" s="1"/>
  <c r="F62" i="3"/>
  <c r="H62" i="3" s="1"/>
  <c r="G62" i="3"/>
  <c r="G63" i="3"/>
  <c r="H63" i="3"/>
  <c r="F64" i="3"/>
  <c r="G64" i="3"/>
  <c r="H64" i="3"/>
  <c r="F65" i="3"/>
  <c r="F66" i="3"/>
  <c r="H66" i="3" s="1"/>
  <c r="G66" i="3"/>
  <c r="G67" i="3"/>
  <c r="G68" i="3"/>
  <c r="F12" i="3"/>
  <c r="H12" i="3" s="1"/>
  <c r="F13" i="3"/>
  <c r="G13" i="3"/>
  <c r="F14" i="3"/>
  <c r="G14" i="3"/>
  <c r="H14" i="3"/>
  <c r="F15" i="3"/>
  <c r="G15" i="3"/>
  <c r="H15" i="3"/>
  <c r="F16" i="3"/>
  <c r="F17" i="3"/>
  <c r="G17" i="3"/>
  <c r="F18" i="3"/>
  <c r="G18" i="3"/>
  <c r="H18" i="3"/>
  <c r="F19" i="3"/>
  <c r="H19" i="3" s="1"/>
  <c r="G19" i="3"/>
  <c r="G21" i="3"/>
  <c r="G22" i="3"/>
  <c r="H22" i="3"/>
  <c r="F23" i="3"/>
  <c r="F24" i="3"/>
  <c r="H24" i="3" s="1"/>
  <c r="F25" i="3"/>
  <c r="G25" i="3"/>
  <c r="F26" i="3"/>
  <c r="G26" i="3"/>
  <c r="H26" i="3" s="1"/>
  <c r="F27" i="3"/>
  <c r="G27" i="3"/>
  <c r="H27" i="3"/>
  <c r="F28" i="3"/>
  <c r="F29" i="3"/>
  <c r="G29" i="3"/>
  <c r="F30" i="3"/>
  <c r="G30" i="3"/>
  <c r="H30" i="3"/>
  <c r="G31" i="3"/>
  <c r="G33" i="3"/>
  <c r="G34" i="3"/>
  <c r="H34" i="3"/>
  <c r="F35" i="3"/>
  <c r="F36" i="3"/>
  <c r="H36" i="3" s="1"/>
  <c r="F37" i="3"/>
  <c r="F38" i="3"/>
  <c r="G38" i="3"/>
  <c r="H38" i="3"/>
  <c r="F39" i="3"/>
  <c r="G39" i="3"/>
  <c r="H39" i="3"/>
  <c r="F40" i="3"/>
  <c r="F41" i="3"/>
  <c r="G41" i="3"/>
  <c r="F42" i="3"/>
  <c r="G42" i="3"/>
  <c r="H42" i="3" s="1"/>
  <c r="G43" i="3"/>
  <c r="G45" i="3"/>
  <c r="F47" i="3"/>
  <c r="F48" i="3"/>
  <c r="H48" i="3" s="1"/>
  <c r="F49" i="3"/>
  <c r="G49" i="3"/>
  <c r="F50" i="3"/>
  <c r="G50" i="3"/>
  <c r="H50" i="3"/>
  <c r="F51" i="3"/>
  <c r="G51" i="3"/>
  <c r="H51" i="3"/>
  <c r="F52" i="3"/>
  <c r="F53" i="3"/>
  <c r="G53" i="3"/>
  <c r="G11" i="3"/>
  <c r="H11" i="3" s="1"/>
  <c r="F10" i="3"/>
  <c r="H10" i="3" s="1"/>
  <c r="B14" i="1"/>
  <c r="B29" i="1" l="1"/>
  <c r="B32" i="1" s="1"/>
  <c r="B10" i="1"/>
  <c r="B22" i="7"/>
  <c r="B17" i="7"/>
  <c r="B21" i="7" s="1"/>
  <c r="B31" i="1"/>
  <c r="B33" i="1" s="1"/>
  <c r="B34" i="1" s="1"/>
  <c r="B28" i="1"/>
  <c r="B35" i="1" s="1"/>
  <c r="D35" i="1" s="1"/>
  <c r="B31" i="4"/>
  <c r="B30" i="4"/>
  <c r="B11" i="5"/>
  <c r="B17" i="5" s="1"/>
  <c r="B16" i="5"/>
  <c r="B19" i="6"/>
  <c r="B20" i="6" s="1"/>
  <c r="H28" i="3"/>
  <c r="H17" i="3"/>
  <c r="H16" i="3"/>
  <c r="H53" i="3"/>
  <c r="H89" i="3"/>
  <c r="H41" i="3"/>
  <c r="H40" i="3"/>
  <c r="H29" i="3"/>
  <c r="H54" i="3"/>
  <c r="D25" i="1"/>
  <c r="H37" i="3"/>
  <c r="H25" i="3"/>
  <c r="H101" i="3"/>
  <c r="H13" i="3"/>
  <c r="H97" i="3"/>
  <c r="H58" i="3"/>
  <c r="H49" i="3"/>
  <c r="H65" i="3"/>
  <c r="H105" i="3"/>
  <c r="H93" i="3"/>
  <c r="H45" i="3"/>
  <c r="H33" i="3"/>
  <c r="H21" i="3"/>
  <c r="B26" i="1"/>
  <c r="G52" i="3"/>
  <c r="H52" i="3" s="1"/>
  <c r="G40" i="3"/>
  <c r="G28" i="3"/>
  <c r="G16" i="3"/>
  <c r="G100" i="3"/>
  <c r="H100" i="3" s="1"/>
  <c r="G88" i="3"/>
  <c r="H88" i="3" s="1"/>
  <c r="B11" i="1" l="1"/>
  <c r="D10" i="1"/>
  <c r="B13" i="1"/>
  <c r="B16" i="1" s="1"/>
  <c r="B18" i="5"/>
  <c r="B19" i="5" s="1"/>
  <c r="B32" i="4"/>
  <c r="B15" i="4"/>
  <c r="B33" i="4"/>
  <c r="D30" i="4"/>
  <c r="B35" i="4"/>
  <c r="B37" i="4" s="1"/>
  <c r="B39" i="4" s="1"/>
  <c r="B20" i="4" l="1"/>
  <c r="B19" i="4"/>
  <c r="B21" i="4" s="1"/>
  <c r="B23" i="4" s="1"/>
  <c r="B17" i="4"/>
  <c r="D15" i="4"/>
  <c r="B34" i="4"/>
  <c r="B36" i="4"/>
  <c r="B38" i="4" s="1"/>
  <c r="B40" i="4" s="1"/>
  <c r="B15" i="1"/>
  <c r="B17" i="1" s="1"/>
  <c r="B12" i="1"/>
  <c r="B19" i="1" s="1"/>
  <c r="D19" i="1" s="1"/>
  <c r="B20" i="1" l="1"/>
  <c r="B18" i="1"/>
  <c r="B21" i="1"/>
  <c r="B22" i="1" s="1"/>
  <c r="B22" i="4"/>
  <c r="B24" i="4" s="1"/>
  <c r="B16" i="4"/>
  <c r="B18" i="4" s="1"/>
  <c r="B26" i="4" l="1"/>
  <c r="B27" i="4" s="1"/>
  <c r="B2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Manuel Rossetti</author>
  </authors>
  <commentList>
    <comment ref="B10" authorId="0" shapeId="0" xr:uid="{00000000-0006-0000-0000-000001000000}">
      <text>
        <r>
          <rPr>
            <b/>
            <sz val="9"/>
            <color rgb="FF000000"/>
            <rFont val="Calibri"/>
            <family val="2"/>
          </rPr>
          <t>Manuel Rossetti: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>The way that this spreadsheet is set up, any value for Q can be placed here.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Manuel Rossetti</author>
  </authors>
  <commentList>
    <comment ref="B15" authorId="0" shapeId="0" xr:uid="{00000000-0006-0000-0200-000001000000}">
      <text>
        <r>
          <rPr>
            <b/>
            <sz val="9"/>
            <color rgb="FF000000"/>
            <rFont val="Calibri"/>
            <family val="2"/>
          </rPr>
          <t>Manuel Rossetti: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>The way that this spreadsheet is set up, any value for Q can be placed here.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Manuel Rossetti</author>
  </authors>
  <commentList>
    <comment ref="B9" authorId="0" shapeId="0" xr:uid="{00000000-0006-0000-0300-000001000000}">
      <text>
        <r>
          <rPr>
            <b/>
            <sz val="9"/>
            <color indexed="81"/>
            <rFont val="Calibri"/>
            <family val="2"/>
          </rPr>
          <t>Manuel Rossetti:</t>
        </r>
        <r>
          <rPr>
            <sz val="9"/>
            <color indexed="81"/>
            <rFont val="Calibri"/>
            <family val="2"/>
          </rPr>
          <t xml:space="preserve">
The way that this spreadsheet is set up, any value for Q can be placed here.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Manuel Rossetti</author>
  </authors>
  <commentList>
    <comment ref="B9" authorId="0" shapeId="0" xr:uid="{00000000-0006-0000-0400-000001000000}">
      <text>
        <r>
          <rPr>
            <b/>
            <sz val="9"/>
            <color indexed="81"/>
            <rFont val="Calibri"/>
            <family val="2"/>
          </rPr>
          <t>Manuel Rossetti:</t>
        </r>
        <r>
          <rPr>
            <sz val="9"/>
            <color indexed="81"/>
            <rFont val="Calibri"/>
            <family val="2"/>
          </rPr>
          <t xml:space="preserve">
The way that this spreadsheet is set up, any value for Q can be placed here.</t>
        </r>
      </text>
    </comment>
  </commentList>
</comments>
</file>

<file path=xl/sharedStrings.xml><?xml version="1.0" encoding="utf-8"?>
<sst xmlns="http://schemas.openxmlformats.org/spreadsheetml/2006/main" count="243" uniqueCount="84">
  <si>
    <t>Inputs</t>
  </si>
  <si>
    <t>(units/time)</t>
  </si>
  <si>
    <t>Cost per unit</t>
  </si>
  <si>
    <t>($)</t>
  </si>
  <si>
    <t>($/$/time)</t>
  </si>
  <si>
    <t>Demand per time (λ)</t>
  </si>
  <si>
    <t>Holding interest rate (i)</t>
  </si>
  <si>
    <t>Cost per unit (c)</t>
  </si>
  <si>
    <t>Cost per order (K)</t>
  </si>
  <si>
    <t>($/order)</t>
  </si>
  <si>
    <t>Holding cost per unit (h=i*c)</t>
  </si>
  <si>
    <t>($/unit/time)</t>
  </si>
  <si>
    <t>Outputs</t>
  </si>
  <si>
    <t>Rounded</t>
  </si>
  <si>
    <t>Ordering Frequency (λ/Q)</t>
  </si>
  <si>
    <t>Economic Order Quantity (Q*)</t>
  </si>
  <si>
    <t>Order Quantity (Q)</t>
  </si>
  <si>
    <t>(units)</t>
  </si>
  <si>
    <t>(orders/time)</t>
  </si>
  <si>
    <t>($/time)</t>
  </si>
  <si>
    <t>Ordering cost per time</t>
  </si>
  <si>
    <t>Purchase cost per time (λ*c)</t>
  </si>
  <si>
    <t>Holding cost per time</t>
  </si>
  <si>
    <t>Average Inventory Onhand (I)</t>
  </si>
  <si>
    <t>Total Cost per time</t>
  </si>
  <si>
    <t>Cycle time (Q/λ)</t>
  </si>
  <si>
    <t>time</t>
  </si>
  <si>
    <t>Q</t>
  </si>
  <si>
    <t>OF</t>
  </si>
  <si>
    <t>I</t>
  </si>
  <si>
    <t>OC</t>
  </si>
  <si>
    <t>HC</t>
  </si>
  <si>
    <t>OC + HC</t>
  </si>
  <si>
    <t>Lead time (τ)</t>
  </si>
  <si>
    <t>Reorder point (R)</t>
  </si>
  <si>
    <t>(time)</t>
  </si>
  <si>
    <t>Optimal OC + HC at Q*</t>
  </si>
  <si>
    <t>Outputs for any Q</t>
  </si>
  <si>
    <t>Optimal Ordering Frequency (λ/Q*)</t>
  </si>
  <si>
    <t>Optimal Cycle time (Q*/λ)</t>
  </si>
  <si>
    <t>Optimal Average Inventory Onhand (I)</t>
  </si>
  <si>
    <t>Optimal Ordering cost per time</t>
  </si>
  <si>
    <t>Optimal Holding cost per time</t>
  </si>
  <si>
    <t>Optimal Ordering + Holding Cost</t>
  </si>
  <si>
    <t>Outputs for EOQ (Q*)</t>
  </si>
  <si>
    <t>Ratio of cost to optimal cost</t>
  </si>
  <si>
    <t>Cost difference from optimal</t>
  </si>
  <si>
    <t>$/time</t>
  </si>
  <si>
    <t>Relative Cost Error from Optimal</t>
  </si>
  <si>
    <t>Demand per time (λ)</t>
  </si>
  <si>
    <t>Ordering + Holding Cost per time</t>
  </si>
  <si>
    <t>Production rate (P)</t>
  </si>
  <si>
    <t>Setup Cost per order (K)</t>
  </si>
  <si>
    <t>Max On Hand Inventory (H)</t>
  </si>
  <si>
    <t>Time spent in production (Q/P)</t>
  </si>
  <si>
    <t>Time Spent using production</t>
  </si>
  <si>
    <t>Outputs for POQ (Q*)</t>
  </si>
  <si>
    <t>Economic Production Quantity (Q*)</t>
  </si>
  <si>
    <t>1- (λ/P)</t>
  </si>
  <si>
    <t>Demand/Production Rate Ratio (λ/P)</t>
  </si>
  <si>
    <t>Intermediate Calculations</t>
  </si>
  <si>
    <t>Production Quantity (Q)</t>
  </si>
  <si>
    <t>h prime = h*(1-λ/P)</t>
  </si>
  <si>
    <t>Cost Schedule Per Unit</t>
  </si>
  <si>
    <t>Lower Limit</t>
  </si>
  <si>
    <t>Upper Limit</t>
  </si>
  <si>
    <t>EOQ</t>
  </si>
  <si>
    <t>TC(EOQ)</t>
  </si>
  <si>
    <t>Feasible?</t>
  </si>
  <si>
    <t>$/unit</t>
  </si>
  <si>
    <t>TC(Lower Limit)</t>
  </si>
  <si>
    <t>Fixed Cost</t>
  </si>
  <si>
    <t>C(Q)</t>
  </si>
  <si>
    <t>C(Q)/Q</t>
  </si>
  <si>
    <t>Purchase cost per time (λ*C(Q)/Q)</t>
  </si>
  <si>
    <t>Item 1</t>
  </si>
  <si>
    <t>Item 2</t>
  </si>
  <si>
    <t>Item 3</t>
  </si>
  <si>
    <t>Inventory Investment (Q*c)</t>
  </si>
  <si>
    <t>Total Investment</t>
  </si>
  <si>
    <t>Total Investment Budget</t>
  </si>
  <si>
    <t>For all Items</t>
  </si>
  <si>
    <t>Total Ordering + Holding Cost per time</t>
  </si>
  <si>
    <t>Available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</si>
</sst>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.000"/>
  </numFmts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indexed="81"/>
      <name val="Calibri"/>
      <family val="2"/>
    </font>
    <font>
      <b/>
      <sz val="9"/>
      <color indexed="81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164" fontId="0" fillId="0" borderId="0" xfId="0" applyNumberFormat="1"/>
    <xf numFmtId="165" fontId="0" fillId="0" borderId="0" xfId="0" applyNumberFormat="1"/>
  </cellXfs>
  <cellStyles count="3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'Plot of OC + HC for EOQ'!$F$9</c:f>
              <c:strCache>
                <c:ptCount val="1"/>
                <c:pt idx="0">
                  <c:v>OC</c:v>
                </c:pt>
              </c:strCache>
            </c:strRef>
          </c:tx>
          <c:spPr>
            <a:ln w="47625">
              <a:noFill/>
            </a:ln>
          </c:spPr>
          <c:xVal>
            <c:numRef>
              <c:f>'Plot of OC + HC for EOQ'!$E$10:$E$500</c:f>
              <c:numCache>
                <c:formatCode>General</c:formatCode>
                <c:ptCount val="491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  <c:pt idx="30">
                  <c:v>1550</c:v>
                </c:pt>
                <c:pt idx="31">
                  <c:v>1600</c:v>
                </c:pt>
                <c:pt idx="32">
                  <c:v>1650</c:v>
                </c:pt>
                <c:pt idx="33">
                  <c:v>1700</c:v>
                </c:pt>
                <c:pt idx="34">
                  <c:v>1750</c:v>
                </c:pt>
                <c:pt idx="35">
                  <c:v>1800</c:v>
                </c:pt>
                <c:pt idx="36">
                  <c:v>1850</c:v>
                </c:pt>
                <c:pt idx="37">
                  <c:v>1900</c:v>
                </c:pt>
                <c:pt idx="38">
                  <c:v>1950</c:v>
                </c:pt>
                <c:pt idx="39">
                  <c:v>2000</c:v>
                </c:pt>
                <c:pt idx="40">
                  <c:v>2050</c:v>
                </c:pt>
                <c:pt idx="41">
                  <c:v>2100</c:v>
                </c:pt>
                <c:pt idx="42">
                  <c:v>2150</c:v>
                </c:pt>
                <c:pt idx="43">
                  <c:v>2200</c:v>
                </c:pt>
                <c:pt idx="44">
                  <c:v>2250</c:v>
                </c:pt>
                <c:pt idx="45">
                  <c:v>2300</c:v>
                </c:pt>
                <c:pt idx="46">
                  <c:v>2350</c:v>
                </c:pt>
                <c:pt idx="47">
                  <c:v>2400</c:v>
                </c:pt>
                <c:pt idx="48">
                  <c:v>2450</c:v>
                </c:pt>
                <c:pt idx="49">
                  <c:v>2500</c:v>
                </c:pt>
                <c:pt idx="50">
                  <c:v>2550</c:v>
                </c:pt>
                <c:pt idx="51">
                  <c:v>2600</c:v>
                </c:pt>
                <c:pt idx="52">
                  <c:v>2650</c:v>
                </c:pt>
                <c:pt idx="53">
                  <c:v>2700</c:v>
                </c:pt>
                <c:pt idx="54">
                  <c:v>2750</c:v>
                </c:pt>
                <c:pt idx="55">
                  <c:v>2800</c:v>
                </c:pt>
                <c:pt idx="56">
                  <c:v>2850</c:v>
                </c:pt>
                <c:pt idx="57">
                  <c:v>2900</c:v>
                </c:pt>
                <c:pt idx="58">
                  <c:v>2950</c:v>
                </c:pt>
                <c:pt idx="59">
                  <c:v>3000</c:v>
                </c:pt>
                <c:pt idx="60">
                  <c:v>3050</c:v>
                </c:pt>
                <c:pt idx="61">
                  <c:v>3100</c:v>
                </c:pt>
                <c:pt idx="62">
                  <c:v>3150</c:v>
                </c:pt>
                <c:pt idx="63">
                  <c:v>3200</c:v>
                </c:pt>
                <c:pt idx="64">
                  <c:v>3250</c:v>
                </c:pt>
                <c:pt idx="65">
                  <c:v>3300</c:v>
                </c:pt>
                <c:pt idx="66">
                  <c:v>3350</c:v>
                </c:pt>
                <c:pt idx="67">
                  <c:v>3400</c:v>
                </c:pt>
                <c:pt idx="68">
                  <c:v>3450</c:v>
                </c:pt>
                <c:pt idx="69">
                  <c:v>3500</c:v>
                </c:pt>
                <c:pt idx="70">
                  <c:v>3550</c:v>
                </c:pt>
                <c:pt idx="71">
                  <c:v>3600</c:v>
                </c:pt>
                <c:pt idx="72">
                  <c:v>3650</c:v>
                </c:pt>
                <c:pt idx="73">
                  <c:v>3700</c:v>
                </c:pt>
                <c:pt idx="74">
                  <c:v>3750</c:v>
                </c:pt>
                <c:pt idx="75">
                  <c:v>3800</c:v>
                </c:pt>
                <c:pt idx="76">
                  <c:v>3850</c:v>
                </c:pt>
                <c:pt idx="77">
                  <c:v>3900</c:v>
                </c:pt>
                <c:pt idx="78">
                  <c:v>3950</c:v>
                </c:pt>
                <c:pt idx="79">
                  <c:v>4000</c:v>
                </c:pt>
                <c:pt idx="80">
                  <c:v>4050</c:v>
                </c:pt>
                <c:pt idx="81">
                  <c:v>4100</c:v>
                </c:pt>
                <c:pt idx="82">
                  <c:v>4150</c:v>
                </c:pt>
                <c:pt idx="83">
                  <c:v>4200</c:v>
                </c:pt>
                <c:pt idx="84">
                  <c:v>4250</c:v>
                </c:pt>
                <c:pt idx="85">
                  <c:v>4300</c:v>
                </c:pt>
                <c:pt idx="86">
                  <c:v>4350</c:v>
                </c:pt>
                <c:pt idx="87">
                  <c:v>4400</c:v>
                </c:pt>
                <c:pt idx="88">
                  <c:v>4450</c:v>
                </c:pt>
                <c:pt idx="89">
                  <c:v>4500</c:v>
                </c:pt>
                <c:pt idx="90">
                  <c:v>4550</c:v>
                </c:pt>
                <c:pt idx="91">
                  <c:v>4600</c:v>
                </c:pt>
                <c:pt idx="92">
                  <c:v>4650</c:v>
                </c:pt>
                <c:pt idx="93">
                  <c:v>4700</c:v>
                </c:pt>
                <c:pt idx="94">
                  <c:v>4750</c:v>
                </c:pt>
                <c:pt idx="95">
                  <c:v>4800</c:v>
                </c:pt>
                <c:pt idx="96">
                  <c:v>4850</c:v>
                </c:pt>
                <c:pt idx="97">
                  <c:v>4900</c:v>
                </c:pt>
                <c:pt idx="98">
                  <c:v>4950</c:v>
                </c:pt>
              </c:numCache>
            </c:numRef>
          </c:xVal>
          <c:yVal>
            <c:numRef>
              <c:f>'Plot of OC + HC for EOQ'!$F$10:$F$500</c:f>
              <c:numCache>
                <c:formatCode>General</c:formatCode>
                <c:ptCount val="491"/>
                <c:pt idx="0">
                  <c:v>20000</c:v>
                </c:pt>
                <c:pt idx="1">
                  <c:v>10000</c:v>
                </c:pt>
                <c:pt idx="2">
                  <c:v>6666.666666666667</c:v>
                </c:pt>
                <c:pt idx="3">
                  <c:v>5000</c:v>
                </c:pt>
                <c:pt idx="4">
                  <c:v>4000</c:v>
                </c:pt>
                <c:pt idx="5">
                  <c:v>3333.3333333333335</c:v>
                </c:pt>
                <c:pt idx="6">
                  <c:v>2857.1428571428573</c:v>
                </c:pt>
                <c:pt idx="7">
                  <c:v>2500</c:v>
                </c:pt>
                <c:pt idx="8">
                  <c:v>2222.2222222222222</c:v>
                </c:pt>
                <c:pt idx="9">
                  <c:v>2000</c:v>
                </c:pt>
                <c:pt idx="10">
                  <c:v>1818.1818181818182</c:v>
                </c:pt>
                <c:pt idx="11">
                  <c:v>1666.6666666666667</c:v>
                </c:pt>
                <c:pt idx="12">
                  <c:v>1538.4615384615386</c:v>
                </c:pt>
                <c:pt idx="13">
                  <c:v>1428.5714285714287</c:v>
                </c:pt>
                <c:pt idx="14">
                  <c:v>1333.3333333333335</c:v>
                </c:pt>
                <c:pt idx="15">
                  <c:v>1250</c:v>
                </c:pt>
                <c:pt idx="16">
                  <c:v>1176.4705882352941</c:v>
                </c:pt>
                <c:pt idx="17">
                  <c:v>1111.1111111111111</c:v>
                </c:pt>
                <c:pt idx="18">
                  <c:v>1052.6315789473686</c:v>
                </c:pt>
                <c:pt idx="19">
                  <c:v>1000</c:v>
                </c:pt>
                <c:pt idx="20">
                  <c:v>952.38095238095241</c:v>
                </c:pt>
                <c:pt idx="21">
                  <c:v>909.09090909090912</c:v>
                </c:pt>
                <c:pt idx="22">
                  <c:v>869.56521739130426</c:v>
                </c:pt>
                <c:pt idx="23">
                  <c:v>833.33333333333337</c:v>
                </c:pt>
                <c:pt idx="24">
                  <c:v>800</c:v>
                </c:pt>
                <c:pt idx="25">
                  <c:v>769.23076923076928</c:v>
                </c:pt>
                <c:pt idx="26">
                  <c:v>740.74074074074076</c:v>
                </c:pt>
                <c:pt idx="27">
                  <c:v>714.28571428571433</c:v>
                </c:pt>
                <c:pt idx="28">
                  <c:v>689.65517241379303</c:v>
                </c:pt>
                <c:pt idx="29">
                  <c:v>666.66666666666674</c:v>
                </c:pt>
                <c:pt idx="30">
                  <c:v>645.16129032258061</c:v>
                </c:pt>
                <c:pt idx="31">
                  <c:v>625</c:v>
                </c:pt>
                <c:pt idx="32">
                  <c:v>606.06060606060601</c:v>
                </c:pt>
                <c:pt idx="33">
                  <c:v>588.23529411764707</c:v>
                </c:pt>
                <c:pt idx="34">
                  <c:v>571.42857142857144</c:v>
                </c:pt>
                <c:pt idx="35">
                  <c:v>555.55555555555554</c:v>
                </c:pt>
                <c:pt idx="36">
                  <c:v>540.54054054054052</c:v>
                </c:pt>
                <c:pt idx="37">
                  <c:v>526.31578947368428</c:v>
                </c:pt>
                <c:pt idx="38">
                  <c:v>512.82051282051282</c:v>
                </c:pt>
                <c:pt idx="39">
                  <c:v>500</c:v>
                </c:pt>
                <c:pt idx="40">
                  <c:v>487.80487804878049</c:v>
                </c:pt>
                <c:pt idx="41">
                  <c:v>476.1904761904762</c:v>
                </c:pt>
                <c:pt idx="42">
                  <c:v>465.11627906976747</c:v>
                </c:pt>
                <c:pt idx="43">
                  <c:v>454.54545454545456</c:v>
                </c:pt>
                <c:pt idx="44">
                  <c:v>444.44444444444446</c:v>
                </c:pt>
                <c:pt idx="45">
                  <c:v>434.78260869565213</c:v>
                </c:pt>
                <c:pt idx="46">
                  <c:v>425.531914893617</c:v>
                </c:pt>
                <c:pt idx="47">
                  <c:v>416.66666666666669</c:v>
                </c:pt>
                <c:pt idx="48">
                  <c:v>408.16326530612247</c:v>
                </c:pt>
                <c:pt idx="49">
                  <c:v>400</c:v>
                </c:pt>
                <c:pt idx="50">
                  <c:v>392.15686274509801</c:v>
                </c:pt>
                <c:pt idx="51">
                  <c:v>384.61538461538464</c:v>
                </c:pt>
                <c:pt idx="52">
                  <c:v>377.35849056603774</c:v>
                </c:pt>
                <c:pt idx="53">
                  <c:v>370.37037037037038</c:v>
                </c:pt>
                <c:pt idx="54">
                  <c:v>363.63636363636363</c:v>
                </c:pt>
                <c:pt idx="55">
                  <c:v>357.14285714285717</c:v>
                </c:pt>
                <c:pt idx="56">
                  <c:v>350.87719298245611</c:v>
                </c:pt>
                <c:pt idx="57">
                  <c:v>344.82758620689651</c:v>
                </c:pt>
                <c:pt idx="58">
                  <c:v>338.9830508474576</c:v>
                </c:pt>
                <c:pt idx="59">
                  <c:v>333.33333333333337</c:v>
                </c:pt>
                <c:pt idx="60">
                  <c:v>327.86885245901641</c:v>
                </c:pt>
                <c:pt idx="61">
                  <c:v>322.58064516129031</c:v>
                </c:pt>
                <c:pt idx="62">
                  <c:v>317.46031746031747</c:v>
                </c:pt>
                <c:pt idx="63">
                  <c:v>312.5</c:v>
                </c:pt>
                <c:pt idx="64">
                  <c:v>307.69230769230774</c:v>
                </c:pt>
                <c:pt idx="65">
                  <c:v>303.030303030303</c:v>
                </c:pt>
                <c:pt idx="66">
                  <c:v>298.50746268656718</c:v>
                </c:pt>
                <c:pt idx="67">
                  <c:v>294.11764705882354</c:v>
                </c:pt>
                <c:pt idx="68">
                  <c:v>289.85507246376812</c:v>
                </c:pt>
                <c:pt idx="69">
                  <c:v>285.71428571428572</c:v>
                </c:pt>
                <c:pt idx="70">
                  <c:v>281.6901408450704</c:v>
                </c:pt>
                <c:pt idx="71">
                  <c:v>277.77777777777777</c:v>
                </c:pt>
                <c:pt idx="72">
                  <c:v>273.97260273972603</c:v>
                </c:pt>
                <c:pt idx="73">
                  <c:v>270.27027027027026</c:v>
                </c:pt>
                <c:pt idx="74">
                  <c:v>266.66666666666663</c:v>
                </c:pt>
                <c:pt idx="75">
                  <c:v>263.15789473684214</c:v>
                </c:pt>
                <c:pt idx="76">
                  <c:v>259.74025974025972</c:v>
                </c:pt>
                <c:pt idx="77">
                  <c:v>256.41025641025641</c:v>
                </c:pt>
                <c:pt idx="78">
                  <c:v>253.16455696202533</c:v>
                </c:pt>
                <c:pt idx="79">
                  <c:v>250</c:v>
                </c:pt>
                <c:pt idx="80">
                  <c:v>246.91358024691357</c:v>
                </c:pt>
                <c:pt idx="81">
                  <c:v>243.90243902439025</c:v>
                </c:pt>
                <c:pt idx="82">
                  <c:v>240.96385542168676</c:v>
                </c:pt>
                <c:pt idx="83">
                  <c:v>238.0952380952381</c:v>
                </c:pt>
                <c:pt idx="84">
                  <c:v>235.29411764705884</c:v>
                </c:pt>
                <c:pt idx="85">
                  <c:v>232.55813953488374</c:v>
                </c:pt>
                <c:pt idx="86">
                  <c:v>229.88505747126436</c:v>
                </c:pt>
                <c:pt idx="87">
                  <c:v>227.27272727272728</c:v>
                </c:pt>
                <c:pt idx="88">
                  <c:v>224.71910112359552</c:v>
                </c:pt>
                <c:pt idx="89">
                  <c:v>222.22222222222223</c:v>
                </c:pt>
                <c:pt idx="90">
                  <c:v>219.7802197802198</c:v>
                </c:pt>
                <c:pt idx="91">
                  <c:v>217.39130434782606</c:v>
                </c:pt>
                <c:pt idx="92">
                  <c:v>215.05376344086019</c:v>
                </c:pt>
                <c:pt idx="93">
                  <c:v>212.7659574468085</c:v>
                </c:pt>
                <c:pt idx="94">
                  <c:v>210.52631578947367</c:v>
                </c:pt>
                <c:pt idx="95">
                  <c:v>208.33333333333334</c:v>
                </c:pt>
                <c:pt idx="96">
                  <c:v>206.18556701030926</c:v>
                </c:pt>
                <c:pt idx="97">
                  <c:v>204.08163265306123</c:v>
                </c:pt>
                <c:pt idx="98">
                  <c:v>202.02020202020202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A0-0C48-B515-EEBC19C149E2}"/>
            </c:ext>
          </c:extLst>
        </c:ser>
        <c:ser>
          <c:idx val="1"/>
          <c:order val="1"/>
          <c:tx>
            <c:strRef>
              <c:f>'Plot of OC + HC for EOQ'!$G$9</c:f>
              <c:strCache>
                <c:ptCount val="1"/>
                <c:pt idx="0">
                  <c:v>HC</c:v>
                </c:pt>
              </c:strCache>
            </c:strRef>
          </c:tx>
          <c:spPr>
            <a:ln w="47625">
              <a:noFill/>
            </a:ln>
          </c:spPr>
          <c:xVal>
            <c:numRef>
              <c:f>'Plot of OC + HC for EOQ'!$E$10:$E$500</c:f>
              <c:numCache>
                <c:formatCode>General</c:formatCode>
                <c:ptCount val="491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  <c:pt idx="30">
                  <c:v>1550</c:v>
                </c:pt>
                <c:pt idx="31">
                  <c:v>1600</c:v>
                </c:pt>
                <c:pt idx="32">
                  <c:v>1650</c:v>
                </c:pt>
                <c:pt idx="33">
                  <c:v>1700</c:v>
                </c:pt>
                <c:pt idx="34">
                  <c:v>1750</c:v>
                </c:pt>
                <c:pt idx="35">
                  <c:v>1800</c:v>
                </c:pt>
                <c:pt idx="36">
                  <c:v>1850</c:v>
                </c:pt>
                <c:pt idx="37">
                  <c:v>1900</c:v>
                </c:pt>
                <c:pt idx="38">
                  <c:v>1950</c:v>
                </c:pt>
                <c:pt idx="39">
                  <c:v>2000</c:v>
                </c:pt>
                <c:pt idx="40">
                  <c:v>2050</c:v>
                </c:pt>
                <c:pt idx="41">
                  <c:v>2100</c:v>
                </c:pt>
                <c:pt idx="42">
                  <c:v>2150</c:v>
                </c:pt>
                <c:pt idx="43">
                  <c:v>2200</c:v>
                </c:pt>
                <c:pt idx="44">
                  <c:v>2250</c:v>
                </c:pt>
                <c:pt idx="45">
                  <c:v>2300</c:v>
                </c:pt>
                <c:pt idx="46">
                  <c:v>2350</c:v>
                </c:pt>
                <c:pt idx="47">
                  <c:v>2400</c:v>
                </c:pt>
                <c:pt idx="48">
                  <c:v>2450</c:v>
                </c:pt>
                <c:pt idx="49">
                  <c:v>2500</c:v>
                </c:pt>
                <c:pt idx="50">
                  <c:v>2550</c:v>
                </c:pt>
                <c:pt idx="51">
                  <c:v>2600</c:v>
                </c:pt>
                <c:pt idx="52">
                  <c:v>2650</c:v>
                </c:pt>
                <c:pt idx="53">
                  <c:v>2700</c:v>
                </c:pt>
                <c:pt idx="54">
                  <c:v>2750</c:v>
                </c:pt>
                <c:pt idx="55">
                  <c:v>2800</c:v>
                </c:pt>
                <c:pt idx="56">
                  <c:v>2850</c:v>
                </c:pt>
                <c:pt idx="57">
                  <c:v>2900</c:v>
                </c:pt>
                <c:pt idx="58">
                  <c:v>2950</c:v>
                </c:pt>
                <c:pt idx="59">
                  <c:v>3000</c:v>
                </c:pt>
                <c:pt idx="60">
                  <c:v>3050</c:v>
                </c:pt>
                <c:pt idx="61">
                  <c:v>3100</c:v>
                </c:pt>
                <c:pt idx="62">
                  <c:v>3150</c:v>
                </c:pt>
                <c:pt idx="63">
                  <c:v>3200</c:v>
                </c:pt>
                <c:pt idx="64">
                  <c:v>3250</c:v>
                </c:pt>
                <c:pt idx="65">
                  <c:v>3300</c:v>
                </c:pt>
                <c:pt idx="66">
                  <c:v>3350</c:v>
                </c:pt>
                <c:pt idx="67">
                  <c:v>3400</c:v>
                </c:pt>
                <c:pt idx="68">
                  <c:v>3450</c:v>
                </c:pt>
                <c:pt idx="69">
                  <c:v>3500</c:v>
                </c:pt>
                <c:pt idx="70">
                  <c:v>3550</c:v>
                </c:pt>
                <c:pt idx="71">
                  <c:v>3600</c:v>
                </c:pt>
                <c:pt idx="72">
                  <c:v>3650</c:v>
                </c:pt>
                <c:pt idx="73">
                  <c:v>3700</c:v>
                </c:pt>
                <c:pt idx="74">
                  <c:v>3750</c:v>
                </c:pt>
                <c:pt idx="75">
                  <c:v>3800</c:v>
                </c:pt>
                <c:pt idx="76">
                  <c:v>3850</c:v>
                </c:pt>
                <c:pt idx="77">
                  <c:v>3900</c:v>
                </c:pt>
                <c:pt idx="78">
                  <c:v>3950</c:v>
                </c:pt>
                <c:pt idx="79">
                  <c:v>4000</c:v>
                </c:pt>
                <c:pt idx="80">
                  <c:v>4050</c:v>
                </c:pt>
                <c:pt idx="81">
                  <c:v>4100</c:v>
                </c:pt>
                <c:pt idx="82">
                  <c:v>4150</c:v>
                </c:pt>
                <c:pt idx="83">
                  <c:v>4200</c:v>
                </c:pt>
                <c:pt idx="84">
                  <c:v>4250</c:v>
                </c:pt>
                <c:pt idx="85">
                  <c:v>4300</c:v>
                </c:pt>
                <c:pt idx="86">
                  <c:v>4350</c:v>
                </c:pt>
                <c:pt idx="87">
                  <c:v>4400</c:v>
                </c:pt>
                <c:pt idx="88">
                  <c:v>4450</c:v>
                </c:pt>
                <c:pt idx="89">
                  <c:v>4500</c:v>
                </c:pt>
                <c:pt idx="90">
                  <c:v>4550</c:v>
                </c:pt>
                <c:pt idx="91">
                  <c:v>4600</c:v>
                </c:pt>
                <c:pt idx="92">
                  <c:v>4650</c:v>
                </c:pt>
                <c:pt idx="93">
                  <c:v>4700</c:v>
                </c:pt>
                <c:pt idx="94">
                  <c:v>4750</c:v>
                </c:pt>
                <c:pt idx="95">
                  <c:v>4800</c:v>
                </c:pt>
                <c:pt idx="96">
                  <c:v>4850</c:v>
                </c:pt>
                <c:pt idx="97">
                  <c:v>4900</c:v>
                </c:pt>
                <c:pt idx="98">
                  <c:v>4950</c:v>
                </c:pt>
              </c:numCache>
            </c:numRef>
          </c:xVal>
          <c:yVal>
            <c:numRef>
              <c:f>'Plot of OC + HC for EOQ'!$G$10:$G$500</c:f>
              <c:numCache>
                <c:formatCode>General</c:formatCode>
                <c:ptCount val="491"/>
                <c:pt idx="0">
                  <c:v>93.75</c:v>
                </c:pt>
                <c:pt idx="1">
                  <c:v>187.5</c:v>
                </c:pt>
                <c:pt idx="2">
                  <c:v>281.25</c:v>
                </c:pt>
                <c:pt idx="3">
                  <c:v>375</c:v>
                </c:pt>
                <c:pt idx="4">
                  <c:v>468.75</c:v>
                </c:pt>
                <c:pt idx="5">
                  <c:v>562.5</c:v>
                </c:pt>
                <c:pt idx="6">
                  <c:v>656.25</c:v>
                </c:pt>
                <c:pt idx="7">
                  <c:v>750</c:v>
                </c:pt>
                <c:pt idx="8">
                  <c:v>843.75</c:v>
                </c:pt>
                <c:pt idx="9">
                  <c:v>937.5</c:v>
                </c:pt>
                <c:pt idx="10">
                  <c:v>1031.25</c:v>
                </c:pt>
                <c:pt idx="11">
                  <c:v>1125</c:v>
                </c:pt>
                <c:pt idx="12">
                  <c:v>1218.75</c:v>
                </c:pt>
                <c:pt idx="13">
                  <c:v>1312.5</c:v>
                </c:pt>
                <c:pt idx="14">
                  <c:v>1406.25</c:v>
                </c:pt>
                <c:pt idx="15">
                  <c:v>1500</c:v>
                </c:pt>
                <c:pt idx="16">
                  <c:v>1593.75</c:v>
                </c:pt>
                <c:pt idx="17">
                  <c:v>1687.5</c:v>
                </c:pt>
                <c:pt idx="18">
                  <c:v>1781.25</c:v>
                </c:pt>
                <c:pt idx="19">
                  <c:v>1875</c:v>
                </c:pt>
                <c:pt idx="20">
                  <c:v>1968.75</c:v>
                </c:pt>
                <c:pt idx="21">
                  <c:v>2062.5</c:v>
                </c:pt>
                <c:pt idx="22">
                  <c:v>2156.25</c:v>
                </c:pt>
                <c:pt idx="23">
                  <c:v>2250</c:v>
                </c:pt>
                <c:pt idx="24">
                  <c:v>2343.75</c:v>
                </c:pt>
                <c:pt idx="25">
                  <c:v>2437.5</c:v>
                </c:pt>
                <c:pt idx="26">
                  <c:v>2531.25</c:v>
                </c:pt>
                <c:pt idx="27">
                  <c:v>2625</c:v>
                </c:pt>
                <c:pt idx="28">
                  <c:v>2718.75</c:v>
                </c:pt>
                <c:pt idx="29">
                  <c:v>2812.5</c:v>
                </c:pt>
                <c:pt idx="30">
                  <c:v>2906.25</c:v>
                </c:pt>
                <c:pt idx="31">
                  <c:v>3000</c:v>
                </c:pt>
                <c:pt idx="32">
                  <c:v>3093.75</c:v>
                </c:pt>
                <c:pt idx="33">
                  <c:v>3187.5</c:v>
                </c:pt>
                <c:pt idx="34">
                  <c:v>3281.25</c:v>
                </c:pt>
                <c:pt idx="35">
                  <c:v>3375</c:v>
                </c:pt>
                <c:pt idx="36">
                  <c:v>3468.75</c:v>
                </c:pt>
                <c:pt idx="37">
                  <c:v>3562.5</c:v>
                </c:pt>
                <c:pt idx="38">
                  <c:v>3656.25</c:v>
                </c:pt>
                <c:pt idx="39">
                  <c:v>3750</c:v>
                </c:pt>
                <c:pt idx="40">
                  <c:v>3843.75</c:v>
                </c:pt>
                <c:pt idx="41">
                  <c:v>3937.5</c:v>
                </c:pt>
                <c:pt idx="42">
                  <c:v>4031.25</c:v>
                </c:pt>
                <c:pt idx="43">
                  <c:v>4125</c:v>
                </c:pt>
                <c:pt idx="44">
                  <c:v>4218.75</c:v>
                </c:pt>
                <c:pt idx="45">
                  <c:v>4312.5</c:v>
                </c:pt>
                <c:pt idx="46">
                  <c:v>4406.25</c:v>
                </c:pt>
                <c:pt idx="47">
                  <c:v>4500</c:v>
                </c:pt>
                <c:pt idx="48">
                  <c:v>4593.75</c:v>
                </c:pt>
                <c:pt idx="49">
                  <c:v>4687.5</c:v>
                </c:pt>
                <c:pt idx="50">
                  <c:v>4781.25</c:v>
                </c:pt>
                <c:pt idx="51">
                  <c:v>4875</c:v>
                </c:pt>
                <c:pt idx="52">
                  <c:v>4968.75</c:v>
                </c:pt>
                <c:pt idx="53">
                  <c:v>5062.5</c:v>
                </c:pt>
                <c:pt idx="54">
                  <c:v>5156.25</c:v>
                </c:pt>
                <c:pt idx="55">
                  <c:v>5250</c:v>
                </c:pt>
                <c:pt idx="56">
                  <c:v>5343.75</c:v>
                </c:pt>
                <c:pt idx="57">
                  <c:v>5437.5</c:v>
                </c:pt>
                <c:pt idx="58">
                  <c:v>5531.25</c:v>
                </c:pt>
                <c:pt idx="59">
                  <c:v>5625</c:v>
                </c:pt>
                <c:pt idx="60">
                  <c:v>5718.75</c:v>
                </c:pt>
                <c:pt idx="61">
                  <c:v>5812.5</c:v>
                </c:pt>
                <c:pt idx="62">
                  <c:v>5906.25</c:v>
                </c:pt>
                <c:pt idx="63">
                  <c:v>6000</c:v>
                </c:pt>
                <c:pt idx="64">
                  <c:v>6093.75</c:v>
                </c:pt>
                <c:pt idx="65">
                  <c:v>6187.5</c:v>
                </c:pt>
                <c:pt idx="66">
                  <c:v>6281.25</c:v>
                </c:pt>
                <c:pt idx="67">
                  <c:v>6375</c:v>
                </c:pt>
                <c:pt idx="68">
                  <c:v>6468.75</c:v>
                </c:pt>
                <c:pt idx="69">
                  <c:v>6562.5</c:v>
                </c:pt>
                <c:pt idx="70">
                  <c:v>6656.25</c:v>
                </c:pt>
                <c:pt idx="71">
                  <c:v>6750</c:v>
                </c:pt>
                <c:pt idx="72">
                  <c:v>6843.75</c:v>
                </c:pt>
                <c:pt idx="73">
                  <c:v>6937.5</c:v>
                </c:pt>
                <c:pt idx="74">
                  <c:v>7031.25</c:v>
                </c:pt>
                <c:pt idx="75">
                  <c:v>7125</c:v>
                </c:pt>
                <c:pt idx="76">
                  <c:v>7218.75</c:v>
                </c:pt>
                <c:pt idx="77">
                  <c:v>7312.5</c:v>
                </c:pt>
                <c:pt idx="78">
                  <c:v>7406.25</c:v>
                </c:pt>
                <c:pt idx="79">
                  <c:v>7500</c:v>
                </c:pt>
                <c:pt idx="80">
                  <c:v>7593.75</c:v>
                </c:pt>
                <c:pt idx="81">
                  <c:v>7687.5</c:v>
                </c:pt>
                <c:pt idx="82">
                  <c:v>7781.25</c:v>
                </c:pt>
                <c:pt idx="83">
                  <c:v>7875</c:v>
                </c:pt>
                <c:pt idx="84">
                  <c:v>7968.75</c:v>
                </c:pt>
                <c:pt idx="85">
                  <c:v>8062.5</c:v>
                </c:pt>
                <c:pt idx="86">
                  <c:v>8156.25</c:v>
                </c:pt>
                <c:pt idx="87">
                  <c:v>8250</c:v>
                </c:pt>
                <c:pt idx="88">
                  <c:v>8343.75</c:v>
                </c:pt>
                <c:pt idx="89">
                  <c:v>8437.5</c:v>
                </c:pt>
                <c:pt idx="90">
                  <c:v>8531.25</c:v>
                </c:pt>
                <c:pt idx="91">
                  <c:v>8625</c:v>
                </c:pt>
                <c:pt idx="92">
                  <c:v>8718.75</c:v>
                </c:pt>
                <c:pt idx="93">
                  <c:v>8812.5</c:v>
                </c:pt>
                <c:pt idx="94">
                  <c:v>8906.25</c:v>
                </c:pt>
                <c:pt idx="95">
                  <c:v>9000</c:v>
                </c:pt>
                <c:pt idx="96">
                  <c:v>9093.75</c:v>
                </c:pt>
                <c:pt idx="97">
                  <c:v>9187.5</c:v>
                </c:pt>
                <c:pt idx="98">
                  <c:v>9281.25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A0-0C48-B515-EEBC19C149E2}"/>
            </c:ext>
          </c:extLst>
        </c:ser>
        <c:ser>
          <c:idx val="2"/>
          <c:order val="2"/>
          <c:tx>
            <c:strRef>
              <c:f>'Plot of OC + HC for EOQ'!$H$9</c:f>
              <c:strCache>
                <c:ptCount val="1"/>
                <c:pt idx="0">
                  <c:v>OC + HC</c:v>
                </c:pt>
              </c:strCache>
            </c:strRef>
          </c:tx>
          <c:spPr>
            <a:ln w="47625">
              <a:noFill/>
            </a:ln>
          </c:spPr>
          <c:xVal>
            <c:numRef>
              <c:f>'Plot of OC + HC for EOQ'!$E$10:$E$500</c:f>
              <c:numCache>
                <c:formatCode>General</c:formatCode>
                <c:ptCount val="491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  <c:pt idx="30">
                  <c:v>1550</c:v>
                </c:pt>
                <c:pt idx="31">
                  <c:v>1600</c:v>
                </c:pt>
                <c:pt idx="32">
                  <c:v>1650</c:v>
                </c:pt>
                <c:pt idx="33">
                  <c:v>1700</c:v>
                </c:pt>
                <c:pt idx="34">
                  <c:v>1750</c:v>
                </c:pt>
                <c:pt idx="35">
                  <c:v>1800</c:v>
                </c:pt>
                <c:pt idx="36">
                  <c:v>1850</c:v>
                </c:pt>
                <c:pt idx="37">
                  <c:v>1900</c:v>
                </c:pt>
                <c:pt idx="38">
                  <c:v>1950</c:v>
                </c:pt>
                <c:pt idx="39">
                  <c:v>2000</c:v>
                </c:pt>
                <c:pt idx="40">
                  <c:v>2050</c:v>
                </c:pt>
                <c:pt idx="41">
                  <c:v>2100</c:v>
                </c:pt>
                <c:pt idx="42">
                  <c:v>2150</c:v>
                </c:pt>
                <c:pt idx="43">
                  <c:v>2200</c:v>
                </c:pt>
                <c:pt idx="44">
                  <c:v>2250</c:v>
                </c:pt>
                <c:pt idx="45">
                  <c:v>2300</c:v>
                </c:pt>
                <c:pt idx="46">
                  <c:v>2350</c:v>
                </c:pt>
                <c:pt idx="47">
                  <c:v>2400</c:v>
                </c:pt>
                <c:pt idx="48">
                  <c:v>2450</c:v>
                </c:pt>
                <c:pt idx="49">
                  <c:v>2500</c:v>
                </c:pt>
                <c:pt idx="50">
                  <c:v>2550</c:v>
                </c:pt>
                <c:pt idx="51">
                  <c:v>2600</c:v>
                </c:pt>
                <c:pt idx="52">
                  <c:v>2650</c:v>
                </c:pt>
                <c:pt idx="53">
                  <c:v>2700</c:v>
                </c:pt>
                <c:pt idx="54">
                  <c:v>2750</c:v>
                </c:pt>
                <c:pt idx="55">
                  <c:v>2800</c:v>
                </c:pt>
                <c:pt idx="56">
                  <c:v>2850</c:v>
                </c:pt>
                <c:pt idx="57">
                  <c:v>2900</c:v>
                </c:pt>
                <c:pt idx="58">
                  <c:v>2950</c:v>
                </c:pt>
                <c:pt idx="59">
                  <c:v>3000</c:v>
                </c:pt>
                <c:pt idx="60">
                  <c:v>3050</c:v>
                </c:pt>
                <c:pt idx="61">
                  <c:v>3100</c:v>
                </c:pt>
                <c:pt idx="62">
                  <c:v>3150</c:v>
                </c:pt>
                <c:pt idx="63">
                  <c:v>3200</c:v>
                </c:pt>
                <c:pt idx="64">
                  <c:v>3250</c:v>
                </c:pt>
                <c:pt idx="65">
                  <c:v>3300</c:v>
                </c:pt>
                <c:pt idx="66">
                  <c:v>3350</c:v>
                </c:pt>
                <c:pt idx="67">
                  <c:v>3400</c:v>
                </c:pt>
                <c:pt idx="68">
                  <c:v>3450</c:v>
                </c:pt>
                <c:pt idx="69">
                  <c:v>3500</c:v>
                </c:pt>
                <c:pt idx="70">
                  <c:v>3550</c:v>
                </c:pt>
                <c:pt idx="71">
                  <c:v>3600</c:v>
                </c:pt>
                <c:pt idx="72">
                  <c:v>3650</c:v>
                </c:pt>
                <c:pt idx="73">
                  <c:v>3700</c:v>
                </c:pt>
                <c:pt idx="74">
                  <c:v>3750</c:v>
                </c:pt>
                <c:pt idx="75">
                  <c:v>3800</c:v>
                </c:pt>
                <c:pt idx="76">
                  <c:v>3850</c:v>
                </c:pt>
                <c:pt idx="77">
                  <c:v>3900</c:v>
                </c:pt>
                <c:pt idx="78">
                  <c:v>3950</c:v>
                </c:pt>
                <c:pt idx="79">
                  <c:v>4000</c:v>
                </c:pt>
                <c:pt idx="80">
                  <c:v>4050</c:v>
                </c:pt>
                <c:pt idx="81">
                  <c:v>4100</c:v>
                </c:pt>
                <c:pt idx="82">
                  <c:v>4150</c:v>
                </c:pt>
                <c:pt idx="83">
                  <c:v>4200</c:v>
                </c:pt>
                <c:pt idx="84">
                  <c:v>4250</c:v>
                </c:pt>
                <c:pt idx="85">
                  <c:v>4300</c:v>
                </c:pt>
                <c:pt idx="86">
                  <c:v>4350</c:v>
                </c:pt>
                <c:pt idx="87">
                  <c:v>4400</c:v>
                </c:pt>
                <c:pt idx="88">
                  <c:v>4450</c:v>
                </c:pt>
                <c:pt idx="89">
                  <c:v>4500</c:v>
                </c:pt>
                <c:pt idx="90">
                  <c:v>4550</c:v>
                </c:pt>
                <c:pt idx="91">
                  <c:v>4600</c:v>
                </c:pt>
                <c:pt idx="92">
                  <c:v>4650</c:v>
                </c:pt>
                <c:pt idx="93">
                  <c:v>4700</c:v>
                </c:pt>
                <c:pt idx="94">
                  <c:v>4750</c:v>
                </c:pt>
                <c:pt idx="95">
                  <c:v>4800</c:v>
                </c:pt>
                <c:pt idx="96">
                  <c:v>4850</c:v>
                </c:pt>
                <c:pt idx="97">
                  <c:v>4900</c:v>
                </c:pt>
                <c:pt idx="98">
                  <c:v>4950</c:v>
                </c:pt>
              </c:numCache>
            </c:numRef>
          </c:xVal>
          <c:yVal>
            <c:numRef>
              <c:f>'Plot of OC + HC for EOQ'!$H$10:$H$500</c:f>
              <c:numCache>
                <c:formatCode>General</c:formatCode>
                <c:ptCount val="491"/>
                <c:pt idx="0">
                  <c:v>20093.75</c:v>
                </c:pt>
                <c:pt idx="1">
                  <c:v>10187.5</c:v>
                </c:pt>
                <c:pt idx="2">
                  <c:v>6947.916666666667</c:v>
                </c:pt>
                <c:pt idx="3">
                  <c:v>5375</c:v>
                </c:pt>
                <c:pt idx="4">
                  <c:v>4468.75</c:v>
                </c:pt>
                <c:pt idx="5">
                  <c:v>3895.8333333333335</c:v>
                </c:pt>
                <c:pt idx="6">
                  <c:v>3513.3928571428573</c:v>
                </c:pt>
                <c:pt idx="7">
                  <c:v>3250</c:v>
                </c:pt>
                <c:pt idx="8">
                  <c:v>3065.9722222222222</c:v>
                </c:pt>
                <c:pt idx="9">
                  <c:v>2937.5</c:v>
                </c:pt>
                <c:pt idx="10">
                  <c:v>2849.431818181818</c:v>
                </c:pt>
                <c:pt idx="11">
                  <c:v>2791.666666666667</c:v>
                </c:pt>
                <c:pt idx="12">
                  <c:v>2757.2115384615386</c:v>
                </c:pt>
                <c:pt idx="13">
                  <c:v>2741.0714285714284</c:v>
                </c:pt>
                <c:pt idx="14">
                  <c:v>2739.5833333333335</c:v>
                </c:pt>
                <c:pt idx="15">
                  <c:v>2750</c:v>
                </c:pt>
                <c:pt idx="16">
                  <c:v>2770.2205882352941</c:v>
                </c:pt>
                <c:pt idx="17">
                  <c:v>2798.6111111111113</c:v>
                </c:pt>
                <c:pt idx="18">
                  <c:v>2833.8815789473683</c:v>
                </c:pt>
                <c:pt idx="19">
                  <c:v>2875</c:v>
                </c:pt>
                <c:pt idx="20">
                  <c:v>2921.1309523809523</c:v>
                </c:pt>
                <c:pt idx="21">
                  <c:v>2971.590909090909</c:v>
                </c:pt>
                <c:pt idx="22">
                  <c:v>3025.815217391304</c:v>
                </c:pt>
                <c:pt idx="23">
                  <c:v>3083.3333333333335</c:v>
                </c:pt>
                <c:pt idx="24">
                  <c:v>3143.75</c:v>
                </c:pt>
                <c:pt idx="25">
                  <c:v>3206.7307692307695</c:v>
                </c:pt>
                <c:pt idx="26">
                  <c:v>3271.9907407407409</c:v>
                </c:pt>
                <c:pt idx="27">
                  <c:v>3339.2857142857142</c:v>
                </c:pt>
                <c:pt idx="28">
                  <c:v>3408.405172413793</c:v>
                </c:pt>
                <c:pt idx="29">
                  <c:v>3479.166666666667</c:v>
                </c:pt>
                <c:pt idx="30">
                  <c:v>3551.4112903225805</c:v>
                </c:pt>
                <c:pt idx="31">
                  <c:v>3625</c:v>
                </c:pt>
                <c:pt idx="32">
                  <c:v>3699.810606060606</c:v>
                </c:pt>
                <c:pt idx="33">
                  <c:v>3775.7352941176468</c:v>
                </c:pt>
                <c:pt idx="34">
                  <c:v>3852.6785714285716</c:v>
                </c:pt>
                <c:pt idx="35">
                  <c:v>3930.5555555555557</c:v>
                </c:pt>
                <c:pt idx="36">
                  <c:v>4009.2905405405404</c:v>
                </c:pt>
                <c:pt idx="37">
                  <c:v>4088.8157894736842</c:v>
                </c:pt>
                <c:pt idx="38">
                  <c:v>4169.0705128205127</c:v>
                </c:pt>
                <c:pt idx="39">
                  <c:v>4250</c:v>
                </c:pt>
                <c:pt idx="40">
                  <c:v>4331.5548780487807</c:v>
                </c:pt>
                <c:pt idx="41">
                  <c:v>4413.6904761904761</c:v>
                </c:pt>
                <c:pt idx="42">
                  <c:v>4496.3662790697672</c:v>
                </c:pt>
                <c:pt idx="43">
                  <c:v>4579.545454545455</c:v>
                </c:pt>
                <c:pt idx="44">
                  <c:v>4663.1944444444443</c:v>
                </c:pt>
                <c:pt idx="45">
                  <c:v>4747.282608695652</c:v>
                </c:pt>
                <c:pt idx="46">
                  <c:v>4831.7819148936169</c:v>
                </c:pt>
                <c:pt idx="47">
                  <c:v>4916.666666666667</c:v>
                </c:pt>
                <c:pt idx="48">
                  <c:v>5001.9132653061224</c:v>
                </c:pt>
                <c:pt idx="49">
                  <c:v>5087.5</c:v>
                </c:pt>
                <c:pt idx="50">
                  <c:v>5173.4068627450979</c:v>
                </c:pt>
                <c:pt idx="51">
                  <c:v>5259.6153846153848</c:v>
                </c:pt>
                <c:pt idx="52">
                  <c:v>5346.1084905660373</c:v>
                </c:pt>
                <c:pt idx="53">
                  <c:v>5432.8703703703704</c:v>
                </c:pt>
                <c:pt idx="54">
                  <c:v>5519.886363636364</c:v>
                </c:pt>
                <c:pt idx="55">
                  <c:v>5607.1428571428569</c:v>
                </c:pt>
                <c:pt idx="56">
                  <c:v>5694.6271929824561</c:v>
                </c:pt>
                <c:pt idx="57">
                  <c:v>5782.3275862068967</c:v>
                </c:pt>
                <c:pt idx="58">
                  <c:v>5870.2330508474579</c:v>
                </c:pt>
                <c:pt idx="59">
                  <c:v>5958.333333333333</c:v>
                </c:pt>
                <c:pt idx="60">
                  <c:v>6046.6188524590161</c:v>
                </c:pt>
                <c:pt idx="61">
                  <c:v>6135.0806451612907</c:v>
                </c:pt>
                <c:pt idx="62">
                  <c:v>6223.7103174603171</c:v>
                </c:pt>
                <c:pt idx="63">
                  <c:v>6312.5</c:v>
                </c:pt>
                <c:pt idx="64">
                  <c:v>6401.4423076923076</c:v>
                </c:pt>
                <c:pt idx="65">
                  <c:v>6490.530303030303</c:v>
                </c:pt>
                <c:pt idx="66">
                  <c:v>6579.7574626865671</c:v>
                </c:pt>
                <c:pt idx="67">
                  <c:v>6669.1176470588234</c:v>
                </c:pt>
                <c:pt idx="68">
                  <c:v>6758.605072463768</c:v>
                </c:pt>
                <c:pt idx="69">
                  <c:v>6848.2142857142853</c:v>
                </c:pt>
                <c:pt idx="70">
                  <c:v>6937.9401408450703</c:v>
                </c:pt>
                <c:pt idx="71">
                  <c:v>7027.7777777777774</c:v>
                </c:pt>
                <c:pt idx="72">
                  <c:v>7117.7226027397264</c:v>
                </c:pt>
                <c:pt idx="73">
                  <c:v>7207.77027027027</c:v>
                </c:pt>
                <c:pt idx="74">
                  <c:v>7297.916666666667</c:v>
                </c:pt>
                <c:pt idx="75">
                  <c:v>7388.1578947368425</c:v>
                </c:pt>
                <c:pt idx="76">
                  <c:v>7478.4902597402597</c:v>
                </c:pt>
                <c:pt idx="77">
                  <c:v>7568.9102564102568</c:v>
                </c:pt>
                <c:pt idx="78">
                  <c:v>7659.414556962025</c:v>
                </c:pt>
                <c:pt idx="79">
                  <c:v>7750</c:v>
                </c:pt>
                <c:pt idx="80">
                  <c:v>7840.6635802469136</c:v>
                </c:pt>
                <c:pt idx="81">
                  <c:v>7931.4024390243903</c:v>
                </c:pt>
                <c:pt idx="82">
                  <c:v>8022.2138554216872</c:v>
                </c:pt>
                <c:pt idx="83">
                  <c:v>8113.0952380952385</c:v>
                </c:pt>
                <c:pt idx="84">
                  <c:v>8204.0441176470595</c:v>
                </c:pt>
                <c:pt idx="85">
                  <c:v>8295.0581395348836</c:v>
                </c:pt>
                <c:pt idx="86">
                  <c:v>8386.1350574712651</c:v>
                </c:pt>
                <c:pt idx="87">
                  <c:v>8477.2727272727279</c:v>
                </c:pt>
                <c:pt idx="88">
                  <c:v>8568.4691011235955</c:v>
                </c:pt>
                <c:pt idx="89">
                  <c:v>8659.7222222222226</c:v>
                </c:pt>
                <c:pt idx="90">
                  <c:v>8751.0302197802193</c:v>
                </c:pt>
                <c:pt idx="91">
                  <c:v>8842.391304347826</c:v>
                </c:pt>
                <c:pt idx="92">
                  <c:v>8933.8037634408611</c:v>
                </c:pt>
                <c:pt idx="93">
                  <c:v>9025.2659574468089</c:v>
                </c:pt>
                <c:pt idx="94">
                  <c:v>9116.7763157894733</c:v>
                </c:pt>
                <c:pt idx="95">
                  <c:v>9208.3333333333339</c:v>
                </c:pt>
                <c:pt idx="96">
                  <c:v>9299.9355670103087</c:v>
                </c:pt>
                <c:pt idx="97">
                  <c:v>9391.5816326530621</c:v>
                </c:pt>
                <c:pt idx="98">
                  <c:v>9483.2702020202014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4A0-0C48-B515-EEBC19C14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7688"/>
        <c:axId val="5840680"/>
      </c:scatterChart>
      <c:valAx>
        <c:axId val="5837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840680"/>
        <c:crosses val="autoZero"/>
        <c:crossBetween val="midCat"/>
      </c:valAx>
      <c:valAx>
        <c:axId val="5840680"/>
        <c:scaling>
          <c:orientation val="minMax"/>
          <c:max val="22000"/>
          <c:min val="-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837688"/>
        <c:crosses val="autoZero"/>
        <c:crossBetween val="midCat"/>
      </c:valAx>
    </c:plotArea>
    <c:legend>
      <c:legendPos val="r"/>
      <c:overlay val="0"/>
    </c:legend>
    <c:plotVisOnly val="1"/>
    <c:dispBlanksAs val="span"/>
    <c:showDLblsOverMax val="0"/>
  </c:chart>
  <c:printSettings>
    <c:headerFooter/>
    <c:pageMargins b="1" l="0.75" r="0.75" t="1" header="0.5" footer="0.5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338667</xdr:colOff>
      <xdr:row>0</xdr:row>
      <xdr:rowOff>76200</xdr:rowOff>
    </xdr:from>
    <xdr:to>
      <xdr:col>11</xdr:col>
      <xdr:colOff>550334</xdr:colOff>
      <xdr:row>39</xdr:row>
      <xdr:rowOff>25400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681134" y="76200"/>
          <a:ext cx="5190067" cy="6959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Inputs:</a:t>
          </a:r>
        </a:p>
        <a:p>
          <a:r>
            <a:rPr lang="en-US" sz="1100"/>
            <a:t>Demand</a:t>
          </a:r>
          <a:r>
            <a:rPr lang="en-US" sz="1100" baseline="0"/>
            <a:t> per time = This is the demand rate in units per time.  For example, 100 units/year.  Typically denoted as D or λ in equations.</a:t>
          </a:r>
        </a:p>
        <a:p>
          <a:endParaRPr lang="en-US" sz="1100" baseline="0"/>
        </a:p>
        <a:p>
          <a:r>
            <a:rPr lang="en-US" sz="1100" baseline="0"/>
            <a:t>Cost per unit = This the cost of the unit (to purchase) in $/unit.  Other monetary units work as well.</a:t>
          </a:r>
        </a:p>
        <a:p>
          <a:endParaRPr lang="en-US" sz="1100" baseline="0"/>
        </a:p>
        <a:p>
          <a:r>
            <a:rPr lang="en-US" sz="1100"/>
            <a:t>Holding interest rate = The cost of holding items in inventory expressed</a:t>
          </a:r>
          <a:r>
            <a:rPr lang="en-US" sz="1100" baseline="0"/>
            <a:t> as an interest rate (e.g. 10% per year).  Sometimes called the carrying charge.</a:t>
          </a:r>
        </a:p>
        <a:p>
          <a:endParaRPr lang="en-US" sz="1100" baseline="0"/>
        </a:p>
        <a:p>
          <a:r>
            <a:rPr lang="en-US" sz="1100" baseline="0"/>
            <a:t>Cost per order = The cost of placing an order in $ per order.  Also interpreted as the step up cost.</a:t>
          </a:r>
        </a:p>
        <a:p>
          <a:endParaRPr lang="en-US" sz="1100" baseline="0"/>
        </a:p>
        <a:p>
          <a:r>
            <a:rPr lang="en-US" sz="1100" baseline="0"/>
            <a:t>Holding cost per unit (h = i*c)  = This is the cost of holding 1 unit of inventory for 1 time period.  It is sometimes given directly, rather than as the product of the holding rate times the cost per unit.</a:t>
          </a:r>
        </a:p>
        <a:p>
          <a:endParaRPr lang="en-US" sz="1100" baseline="0"/>
        </a:p>
        <a:p>
          <a:r>
            <a:rPr lang="en-US" sz="1100" b="1" baseline="0"/>
            <a:t>Outputs for any Q</a:t>
          </a:r>
        </a:p>
        <a:p>
          <a:r>
            <a:rPr lang="en-US" sz="1100" baseline="0"/>
            <a:t>Order Quantity (Q) = by default it is set equal to Q*, but can be directly changed. Cost calculations are based on this value.</a:t>
          </a:r>
        </a:p>
        <a:p>
          <a:endParaRPr lang="en-US" sz="1100" baseline="0"/>
        </a:p>
        <a:p>
          <a:r>
            <a:rPr lang="en-US" sz="1100" b="1" baseline="0"/>
            <a:t>Outputs for EOQ (Q*)</a:t>
          </a:r>
        </a:p>
        <a:p>
          <a:endParaRPr lang="en-US" sz="1100" b="0" baseline="0"/>
        </a:p>
        <a:p>
          <a:r>
            <a:rPr lang="en-US" sz="1100" b="0" baseline="0"/>
            <a:t>Economic order quantity (Q*) = determined by SQRT(2*K*</a:t>
          </a:r>
          <a:r>
            <a:rPr lang="el-GR" sz="1100" b="0" baseline="0"/>
            <a:t>λ</a:t>
          </a:r>
          <a:r>
            <a:rPr lang="en-US" sz="1100" b="0" baseline="0"/>
            <a:t>/h)</a:t>
          </a:r>
        </a:p>
        <a:p>
          <a:endParaRPr lang="en-US" sz="1100" b="0" baseline="0"/>
        </a:p>
        <a:p>
          <a:r>
            <a:rPr lang="en-US" sz="1100" b="0" baseline="0"/>
            <a:t>Optimal Ordering + holding cost = determined by SQRT(2*K*</a:t>
          </a:r>
          <a:r>
            <a:rPr lang="el-GR" sz="1100" b="0" baseline="0"/>
            <a:t>λ</a:t>
          </a:r>
          <a:r>
            <a:rPr lang="en-US" sz="1100" b="0" baseline="0"/>
            <a:t>*h)</a:t>
          </a:r>
        </a:p>
        <a:p>
          <a:endParaRPr lang="en-US" sz="1100" b="0" baseline="0"/>
        </a:p>
        <a:p>
          <a:r>
            <a:rPr lang="en-US" sz="1100" b="0" baseline="0"/>
            <a:t>Ordering Frequency (OF)  = number of orders per time period (orders per period)</a:t>
          </a:r>
        </a:p>
        <a:p>
          <a:endParaRPr lang="en-US" sz="1100" b="0" baseline="0"/>
        </a:p>
        <a:p>
          <a:r>
            <a:rPr lang="en-US" sz="1100" b="0" baseline="0"/>
            <a:t>Cycle time = the length of a cycle or the time between orders</a:t>
          </a:r>
        </a:p>
        <a:p>
          <a:endParaRPr lang="en-US" sz="1100" b="0" baseline="0"/>
        </a:p>
        <a:p>
          <a:r>
            <a:rPr lang="en-US" sz="1100" b="0" baseline="0"/>
            <a:t>Average inventory on hand (I) = Q/2</a:t>
          </a:r>
        </a:p>
        <a:p>
          <a:endParaRPr lang="en-US" sz="1100" b="0" baseline="0"/>
        </a:p>
        <a:p>
          <a:r>
            <a:rPr lang="en-US" sz="1100" b="0" baseline="0"/>
            <a:t>Purchasing cost per time = The cost of meeting the demand during the period (</a:t>
          </a:r>
          <a:r>
            <a:rPr lang="el-GR" sz="1100" b="0" baseline="0"/>
            <a:t>λ</a:t>
          </a:r>
          <a:r>
            <a:rPr lang="en-US" sz="1100" b="0" baseline="0"/>
            <a:t>*c)</a:t>
          </a:r>
        </a:p>
        <a:p>
          <a:endParaRPr lang="en-US" sz="1100" b="0" baseline="0"/>
        </a:p>
        <a:p>
          <a:r>
            <a:rPr lang="en-US" sz="1100" b="0" baseline="0"/>
            <a:t>Ordering cost per time = order frequency times cost per order (K*OF)</a:t>
          </a:r>
        </a:p>
        <a:p>
          <a:endParaRPr lang="en-US" sz="1100" b="0" baseline="0"/>
        </a:p>
        <a:p>
          <a:r>
            <a:rPr lang="en-US" sz="1100" b="0" baseline="0"/>
            <a:t>Holding cost per time =  the cost of holding the inventory on hand over time (h*I)</a:t>
          </a:r>
        </a:p>
        <a:p>
          <a:endParaRPr lang="en-US" sz="1100" b="0" baseline="0"/>
        </a:p>
        <a:p>
          <a:r>
            <a:rPr lang="en-US" sz="1100" b="0" baseline="0"/>
            <a:t>Total Cost per time = Purchasing cost  + Ordering Cost  + Holding Cost</a:t>
          </a:r>
        </a:p>
        <a:p>
          <a:endParaRPr lang="en-US" sz="1100" b="0" baseline="0"/>
        </a:p>
        <a:p>
          <a:r>
            <a:rPr lang="en-US" sz="1100" b="0" baseline="0"/>
            <a:t>Reorder point =  When the on hand inventory reaches this value place an order for Q*</a:t>
          </a:r>
        </a:p>
        <a:p>
          <a:endParaRPr lang="en-US" sz="1100" b="0" baseline="0"/>
        </a:p>
        <a:p>
          <a:r>
            <a:rPr lang="en-US" sz="1100" b="1" baseline="0"/>
            <a:t>Remark:</a:t>
          </a:r>
        </a:p>
        <a:p>
          <a:r>
            <a:rPr lang="en-US" sz="1100" b="0" baseline="0"/>
            <a:t>The key is to use consistent units.  For example, make sure that all relevant variables are expressed in the same units of time.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364064</xdr:colOff>
      <xdr:row>0</xdr:row>
      <xdr:rowOff>152400</xdr:rowOff>
    </xdr:from>
    <xdr:to>
      <xdr:col>13</xdr:col>
      <xdr:colOff>436879</xdr:colOff>
      <xdr:row>9</xdr:row>
      <xdr:rowOff>121920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8146624" y="152400"/>
          <a:ext cx="4187615" cy="17068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This spreadsheet</a:t>
          </a:r>
          <a:r>
            <a:rPr lang="en-US" sz="1100" baseline="0"/>
            <a:t> illustrates how to plot the total cost of inventory versus the order quantity</a:t>
          </a:r>
        </a:p>
        <a:p>
          <a:endParaRPr lang="en-US" sz="1100" baseline="0"/>
        </a:p>
        <a:p>
          <a:r>
            <a:rPr lang="en-US" sz="1100" baseline="0"/>
            <a:t>Try varying the inputs and see what happens in the graph.</a:t>
          </a:r>
        </a:p>
        <a:p>
          <a:endParaRPr lang="en-US" sz="1100" baseline="0"/>
        </a:p>
        <a:p>
          <a:r>
            <a:rPr lang="en-US" sz="1100" baseline="0"/>
            <a:t>You can also make Q more finely grained, e.g. 1, 2, 3, 4, ... instead of jumping by 50 as in this example.</a:t>
          </a:r>
        </a:p>
        <a:p>
          <a:endParaRPr lang="en-US" sz="1100" baseline="0"/>
        </a:p>
        <a:p>
          <a:r>
            <a:rPr lang="en-US" sz="1100" baseline="0"/>
            <a:t>The point where the OC is equal to the HC will be the EOQ</a:t>
          </a:r>
          <a:endParaRPr lang="en-US" sz="1100"/>
        </a:p>
      </xdr:txBody>
    </xdr:sp>
    <xdr:clientData/>
  </xdr:twoCellAnchor>
  <xdr:twoCellAnchor>
    <xdr:from>
      <xdr:col>8</xdr:col>
      <xdr:colOff>393703</xdr:colOff>
      <xdr:row>11</xdr:row>
      <xdr:rowOff>63498</xdr:rowOff>
    </xdr:from>
    <xdr:to>
      <xdr:col>17</xdr:col>
      <xdr:colOff>10160</xdr:colOff>
      <xdr:row>43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338667</xdr:colOff>
      <xdr:row>0</xdr:row>
      <xdr:rowOff>76200</xdr:rowOff>
    </xdr:from>
    <xdr:to>
      <xdr:col>11</xdr:col>
      <xdr:colOff>728133</xdr:colOff>
      <xdr:row>45</xdr:row>
      <xdr:rowOff>169333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6214534" y="76200"/>
          <a:ext cx="5367866" cy="88561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Inputs:</a:t>
          </a:r>
        </a:p>
        <a:p>
          <a:r>
            <a:rPr lang="en-US" sz="1100"/>
            <a:t>Demand</a:t>
          </a:r>
          <a:r>
            <a:rPr lang="en-US" sz="1100" baseline="0"/>
            <a:t> per time = This is the demand rate in units per time.  For example, 100 units/year.  Typically denoted as D or λ in equations.</a:t>
          </a:r>
        </a:p>
        <a:p>
          <a:endParaRPr lang="en-US" sz="1100" baseline="0"/>
        </a:p>
        <a:p>
          <a:r>
            <a:rPr lang="en-US" sz="1100" baseline="0"/>
            <a:t>Production rate = This is the rate of production in units per time. The production rate must be greater than the demand rate for the problem to be feasible.</a:t>
          </a:r>
        </a:p>
        <a:p>
          <a:endParaRPr lang="en-US" sz="1100" baseline="0"/>
        </a:p>
        <a:p>
          <a:r>
            <a:rPr lang="en-US" sz="1100" baseline="0"/>
            <a:t>Cost per unit = This the cost of the unit (to make) in $/unit.  Other monetary units work as well.</a:t>
          </a:r>
        </a:p>
        <a:p>
          <a:endParaRPr lang="en-US" sz="1100" baseline="0"/>
        </a:p>
        <a:p>
          <a:r>
            <a:rPr lang="en-US" sz="1100"/>
            <a:t>Holding interest rate = The cost of holding items in inventory expressed</a:t>
          </a:r>
          <a:r>
            <a:rPr lang="en-US" sz="1100" baseline="0"/>
            <a:t> as an interest rate (e.g. 10% per year).  Sometimes called the carrying charge.</a:t>
          </a:r>
        </a:p>
        <a:p>
          <a:endParaRPr lang="en-US" sz="1100" baseline="0"/>
        </a:p>
        <a:p>
          <a:r>
            <a:rPr lang="en-US" sz="1100" baseline="0"/>
            <a:t>Cost per order = The cost of producing an order in $ per order.  Also interpreted as the step up cost.</a:t>
          </a:r>
        </a:p>
        <a:p>
          <a:endParaRPr lang="en-US" sz="1100" baseline="0"/>
        </a:p>
        <a:p>
          <a:r>
            <a:rPr lang="en-US" sz="1100" baseline="0"/>
            <a:t>Holding cost per unit (h = i*c)  = This is the cost of holding 1 unit of inventory for 1 time period.  It is sometimes given directly, rather than as the product of the holding rate times the cost per unit.</a:t>
          </a:r>
        </a:p>
        <a:p>
          <a:endParaRPr lang="en-US" sz="1100" baseline="0"/>
        </a:p>
        <a:p>
          <a:r>
            <a:rPr lang="en-US" sz="1100" b="1" baseline="0"/>
            <a:t>Intermediate Calculations</a:t>
          </a:r>
        </a:p>
        <a:p>
          <a:r>
            <a:rPr lang="en-US" sz="1100" baseline="0"/>
            <a:t>These cells hold intermediate calculations for other cells.</a:t>
          </a:r>
        </a:p>
        <a:p>
          <a:endParaRPr lang="en-US" sz="1100" baseline="0"/>
        </a:p>
        <a:p>
          <a:r>
            <a:rPr lang="en-US" sz="1100" b="1" baseline="0"/>
            <a:t>Outputs for any Q</a:t>
          </a:r>
        </a:p>
        <a:p>
          <a:r>
            <a:rPr lang="en-US" sz="1100" baseline="0"/>
            <a:t>Production Quantity (Q) = by default it is set equal to Q*, but can be directly changed. Cost calculations are based on this value not on Q*.</a:t>
          </a:r>
        </a:p>
        <a:p>
          <a:endParaRPr lang="en-US" sz="1100" baseline="0"/>
        </a:p>
        <a:p>
          <a:r>
            <a:rPr lang="en-US" sz="1100" b="1" baseline="0"/>
            <a:t>Outputs for POQ</a:t>
          </a:r>
        </a:p>
        <a:p>
          <a:endParaRPr lang="en-US" sz="1100" b="0" baseline="0"/>
        </a:p>
        <a:p>
          <a:r>
            <a:rPr lang="en-US" sz="1100" b="0" baseline="0"/>
            <a:t>Economic production quantity (Q*) = determined by SQRT(2*K*</a:t>
          </a:r>
          <a:r>
            <a:rPr lang="el-GR" sz="1100" b="0" baseline="0"/>
            <a:t>λ</a:t>
          </a:r>
          <a:r>
            <a:rPr lang="en-US" sz="1100" b="0" baseline="0"/>
            <a:t>/h')</a:t>
          </a:r>
        </a:p>
        <a:p>
          <a:endParaRPr lang="en-US" sz="1100" b="0" baseline="0"/>
        </a:p>
        <a:p>
          <a:r>
            <a:rPr lang="en-US" sz="1100" b="0" baseline="0"/>
            <a:t>Optimal Ordering + holding cost = determined by SQRT(2*K*λ*h')</a:t>
          </a:r>
        </a:p>
        <a:p>
          <a:endParaRPr lang="en-US" sz="1100" b="0" baseline="0"/>
        </a:p>
        <a:p>
          <a:r>
            <a:rPr lang="en-US" sz="1100" b="0" baseline="0"/>
            <a:t>Ordering Frequency (OF)  = number of orders per time period (orders per period)</a:t>
          </a:r>
        </a:p>
        <a:p>
          <a:endParaRPr lang="en-US" sz="1100" b="0" baseline="0"/>
        </a:p>
        <a:p>
          <a:r>
            <a:rPr lang="en-US" sz="1100" b="0" baseline="0"/>
            <a:t>Cycle time = T = (Q/</a:t>
          </a:r>
          <a:r>
            <a:rPr lang="el-GR" sz="1100" b="0" baseline="0"/>
            <a:t>λ</a:t>
          </a:r>
          <a:r>
            <a:rPr lang="en-US" sz="1100" b="0" baseline="0"/>
            <a:t>) = the length of a cycle or the time between orders</a:t>
          </a:r>
        </a:p>
        <a:p>
          <a:endParaRPr lang="en-US" sz="1100" b="0" baseline="0"/>
        </a:p>
        <a:p>
          <a:r>
            <a:rPr lang="en-US" sz="1100" b="0" baseline="0"/>
            <a:t>Time spent in production = Q/P</a:t>
          </a:r>
        </a:p>
        <a:p>
          <a:endParaRPr lang="en-US" sz="1100" b="0" baseline="0"/>
        </a:p>
        <a:p>
          <a:r>
            <a:rPr lang="en-US" sz="1100" b="0" baseline="0"/>
            <a:t>Time spent using production = T - Q/P</a:t>
          </a:r>
        </a:p>
        <a:p>
          <a:endParaRPr lang="en-US" sz="1100" b="0" baseline="0"/>
        </a:p>
        <a:p>
          <a:r>
            <a:rPr lang="en-US" sz="1100" b="0" baseline="0"/>
            <a:t>Maximum on hand inventory (H) = Q (1-</a:t>
          </a:r>
          <a:r>
            <a:rPr lang="el-GR" sz="1100" b="0" baseline="0"/>
            <a:t>λ</a:t>
          </a:r>
          <a:r>
            <a:rPr lang="en-US" sz="1100" b="0" baseline="0"/>
            <a:t>/P)</a:t>
          </a:r>
        </a:p>
        <a:p>
          <a:endParaRPr lang="en-US" sz="1100" b="0" baseline="0"/>
        </a:p>
        <a:p>
          <a:r>
            <a:rPr lang="en-US" sz="1100" b="0" baseline="0"/>
            <a:t>Average inventory on hand (I) = H/2</a:t>
          </a:r>
        </a:p>
        <a:p>
          <a:endParaRPr lang="en-US" sz="1100" b="0" baseline="0"/>
        </a:p>
        <a:p>
          <a:r>
            <a:rPr lang="en-US" sz="1100" b="0" baseline="0"/>
            <a:t>Ordering cost per time = order frequency times cost per order (K*OF)</a:t>
          </a:r>
        </a:p>
        <a:p>
          <a:endParaRPr lang="en-US" sz="1100" b="0" baseline="0"/>
        </a:p>
        <a:p>
          <a:r>
            <a:rPr lang="en-US" sz="1100" b="0" baseline="0"/>
            <a:t>Holding cost per time =  the cost of holding the inventory on hand over time (h*I)</a:t>
          </a:r>
        </a:p>
        <a:p>
          <a:endParaRPr lang="en-US" sz="1100" b="0" baseline="0"/>
        </a:p>
        <a:p>
          <a:r>
            <a:rPr lang="en-US" sz="1100" b="1" baseline="0"/>
            <a:t>Remark:</a:t>
          </a:r>
        </a:p>
        <a:p>
          <a:r>
            <a:rPr lang="en-US" sz="1100" b="0" baseline="0"/>
            <a:t>The key is to use consistent units.  For example, make sure that all relevant variables are expressed in the same units of time.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169333</xdr:colOff>
      <xdr:row>6</xdr:row>
      <xdr:rowOff>169334</xdr:rowOff>
    </xdr:from>
    <xdr:to>
      <xdr:col>9</xdr:col>
      <xdr:colOff>169333</xdr:colOff>
      <xdr:row>24</xdr:row>
      <xdr:rowOff>84667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4089400" y="1388534"/>
          <a:ext cx="4411133" cy="3556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Please see the help on the VLOOKUP function.  It is critical to understanding this spreadsheet.</a:t>
          </a:r>
        </a:p>
        <a:p>
          <a:endParaRPr lang="en-US" sz="1100"/>
        </a:p>
        <a:p>
          <a:r>
            <a:rPr lang="en-US" sz="1100"/>
            <a:t>The cost per unit is selected</a:t>
          </a:r>
          <a:r>
            <a:rPr lang="en-US" sz="1100" baseline="0"/>
            <a:t> using the VLOOKUP function on the discount schedule. </a:t>
          </a:r>
        </a:p>
        <a:p>
          <a:endParaRPr lang="en-US" sz="1100" baseline="0"/>
        </a:p>
        <a:p>
          <a:r>
            <a:rPr lang="en-US" sz="1100" baseline="0"/>
            <a:t>The cost schedule per unit can be added to by adding additional rows e.g. starting at D7.  The schedule can be easily changed in E through G.  However, you must then adjust the VLOOKUP expression in cell B10 to include the whole schedule.</a:t>
          </a:r>
        </a:p>
        <a:p>
          <a:endParaRPr lang="en-US" sz="1100" baseline="0"/>
        </a:p>
        <a:p>
          <a:r>
            <a:rPr lang="en-US" sz="1100" baseline="0"/>
            <a:t>To solve for the optimal order quantity you can do the following:</a:t>
          </a:r>
        </a:p>
        <a:p>
          <a:endParaRPr lang="en-US" sz="1100" baseline="0"/>
        </a:p>
        <a:p>
          <a:r>
            <a:rPr lang="en-US" sz="1100" baseline="0"/>
            <a:t>1) Check every feasible EOQ (given in column H, see J for feasibility)</a:t>
          </a:r>
        </a:p>
        <a:p>
          <a:r>
            <a:rPr lang="en-US" sz="1100" baseline="0"/>
            <a:t>2) Compare Total costs of feasible EOQs (column I) with total costs of lower limits (column K) pick quantity with lowest cost</a:t>
          </a:r>
        </a:p>
        <a:p>
          <a:endParaRPr lang="en-US" sz="1100" baseline="0"/>
        </a:p>
        <a:p>
          <a:r>
            <a:rPr lang="en-US" sz="1100" baseline="0"/>
            <a:t>Alternatively, you can run Solver, see picture for correct setup.  Sometimes it may not converge.</a:t>
          </a:r>
        </a:p>
      </xdr:txBody>
    </xdr:sp>
    <xdr:clientData/>
  </xdr:twoCellAnchor>
  <xdr:twoCellAnchor editAs="oneCell">
    <xdr:from>
      <xdr:col>9</xdr:col>
      <xdr:colOff>237067</xdr:colOff>
      <xdr:row>6</xdr:row>
      <xdr:rowOff>143931</xdr:rowOff>
    </xdr:from>
    <xdr:to>
      <xdr:col>12</xdr:col>
      <xdr:colOff>509146</xdr:colOff>
      <xdr:row>27</xdr:row>
      <xdr:rowOff>25398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68267" y="1363131"/>
          <a:ext cx="2998346" cy="413173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110067</xdr:colOff>
      <xdr:row>7</xdr:row>
      <xdr:rowOff>101599</xdr:rowOff>
    </xdr:from>
    <xdr:to>
      <xdr:col>9</xdr:col>
      <xdr:colOff>211668</xdr:colOff>
      <xdr:row>20</xdr:row>
      <xdr:rowOff>118532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4030134" y="1523999"/>
          <a:ext cx="4411134" cy="26585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Please see the help on the VLOOKUP function.  It is critical to understanding this spreadsheet.</a:t>
          </a:r>
        </a:p>
        <a:p>
          <a:endParaRPr lang="en-US" sz="1100"/>
        </a:p>
        <a:p>
          <a:r>
            <a:rPr lang="en-US" sz="1100"/>
            <a:t>The cost per unit is selected</a:t>
          </a:r>
          <a:r>
            <a:rPr lang="en-US" sz="1100" baseline="0"/>
            <a:t> using the VLOOKUP function on the discount schedule. </a:t>
          </a:r>
        </a:p>
        <a:p>
          <a:endParaRPr lang="en-US" sz="1100" baseline="0"/>
        </a:p>
        <a:p>
          <a:r>
            <a:rPr lang="en-US" sz="1100" baseline="0"/>
            <a:t>The cost schedule per unit can be added to by adding additional rows e.g. starting at D7.  The schedule can be easily changed in E through G.  However, you must then adjust the VLOOKUP expression in cell B10 to include the whole schedule. Notice that the expression in B10 uses two VLOOKUP functions.</a:t>
          </a:r>
        </a:p>
        <a:p>
          <a:endParaRPr lang="en-US" sz="1100" baseline="0"/>
        </a:p>
        <a:p>
          <a:r>
            <a:rPr lang="en-US" sz="1100" baseline="0"/>
            <a:t>To solve for the optimal order quantity you can run Solver, see picture for correct setup.  </a:t>
          </a:r>
        </a:p>
      </xdr:txBody>
    </xdr:sp>
    <xdr:clientData/>
  </xdr:twoCellAnchor>
  <xdr:twoCellAnchor editAs="oneCell">
    <xdr:from>
      <xdr:col>9</xdr:col>
      <xdr:colOff>262467</xdr:colOff>
      <xdr:row>0</xdr:row>
      <xdr:rowOff>38775</xdr:rowOff>
    </xdr:from>
    <xdr:to>
      <xdr:col>12</xdr:col>
      <xdr:colOff>702734</xdr:colOff>
      <xdr:row>21</xdr:row>
      <xdr:rowOff>126998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92067" y="38775"/>
          <a:ext cx="3166534" cy="43554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601133</xdr:colOff>
      <xdr:row>0</xdr:row>
      <xdr:rowOff>118534</xdr:rowOff>
    </xdr:from>
    <xdr:to>
      <xdr:col>10</xdr:col>
      <xdr:colOff>443896</xdr:colOff>
      <xdr:row>27</xdr:row>
      <xdr:rowOff>169334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51600" y="118534"/>
          <a:ext cx="3991429" cy="5308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opLeftCell="A4" zoomScale="150" zoomScaleNormal="150" zoomScalePageLayoutView="200" workbookViewId="0">
      <selection activeCell="F1" sqref="F1"/>
    </sheetView>
  </sheetViews>
  <sheetFormatPr baseColWidth="10" defaultRowHeight="16" x14ac:dyDescent="0.2"/>
  <cols>
    <col min="1" max="1" width="16.5" bestFit="1" customWidth="1"/>
    <col min="2" max="2" width="12.1640625" bestFit="1" customWidth="1"/>
    <col min="3" max="3" width="12.33203125" bestFit="1" customWidth="1"/>
    <col min="4" max="4" width="8.33203125" bestFit="1" customWidth="1"/>
  </cols>
  <sheetData>
    <row r="1" spans="1:4" x14ac:dyDescent="0.2">
      <c r="A1" s="1" t="s">
        <v>0</v>
      </c>
    </row>
    <row r="2" spans="1:4" x14ac:dyDescent="0.2">
      <c r="A2" t="s">
        <v>49</v>
      </c>
      <c r="B2">
        <v>100</v>
      </c>
      <c r="C2" t="s">
        <v>1</v>
      </c>
    </row>
    <row r="3" spans="1:4" x14ac:dyDescent="0.2">
      <c r="A3" t="s">
        <v>7</v>
      </c>
      <c r="B3">
        <v>8</v>
      </c>
      <c r="C3" t="s">
        <v>3</v>
      </c>
    </row>
    <row r="4" spans="1:4" x14ac:dyDescent="0.2">
      <c r="A4" t="s">
        <v>6</v>
      </c>
      <c r="B4">
        <f>0.25/12</f>
        <v>2.0833333333333332E-2</v>
      </c>
      <c r="C4" t="s">
        <v>4</v>
      </c>
    </row>
    <row r="5" spans="1:4" x14ac:dyDescent="0.2">
      <c r="A5" t="s">
        <v>8</v>
      </c>
      <c r="B5">
        <v>20</v>
      </c>
      <c r="C5" t="s">
        <v>9</v>
      </c>
    </row>
    <row r="6" spans="1:4" x14ac:dyDescent="0.2">
      <c r="A6" t="s">
        <v>10</v>
      </c>
      <c r="B6">
        <f>B3*B4</f>
        <v>0.16666666666666666</v>
      </c>
      <c r="C6" t="s">
        <v>11</v>
      </c>
    </row>
    <row r="7" spans="1:4" x14ac:dyDescent="0.2">
      <c r="A7" t="s">
        <v>33</v>
      </c>
      <c r="B7">
        <v>0.25</v>
      </c>
      <c r="C7" t="s">
        <v>35</v>
      </c>
    </row>
    <row r="9" spans="1:4" x14ac:dyDescent="0.2">
      <c r="A9" s="1" t="s">
        <v>37</v>
      </c>
    </row>
    <row r="10" spans="1:4" x14ac:dyDescent="0.2">
      <c r="A10" t="s">
        <v>16</v>
      </c>
      <c r="B10">
        <f>B25</f>
        <v>154.91933384829667</v>
      </c>
      <c r="C10" t="s">
        <v>17</v>
      </c>
      <c r="D10">
        <f>ROUNDUP(B10,0)</f>
        <v>155</v>
      </c>
    </row>
    <row r="11" spans="1:4" x14ac:dyDescent="0.2">
      <c r="A11" t="s">
        <v>14</v>
      </c>
      <c r="B11">
        <f>B2/B10</f>
        <v>0.6454972243679028</v>
      </c>
      <c r="C11" t="s">
        <v>18</v>
      </c>
    </row>
    <row r="12" spans="1:4" x14ac:dyDescent="0.2">
      <c r="A12" t="s">
        <v>25</v>
      </c>
      <c r="B12">
        <f>1/B11</f>
        <v>1.5491933384829668</v>
      </c>
      <c r="C12" t="s">
        <v>26</v>
      </c>
    </row>
    <row r="13" spans="1:4" x14ac:dyDescent="0.2">
      <c r="A13" t="s">
        <v>23</v>
      </c>
      <c r="B13">
        <f>B10/2</f>
        <v>77.459666924148337</v>
      </c>
      <c r="C13" t="s">
        <v>17</v>
      </c>
    </row>
    <row r="14" spans="1:4" x14ac:dyDescent="0.2">
      <c r="A14" t="s">
        <v>21</v>
      </c>
      <c r="B14" s="4">
        <f>B2*B3</f>
        <v>800</v>
      </c>
      <c r="C14" t="s">
        <v>19</v>
      </c>
    </row>
    <row r="15" spans="1:4" x14ac:dyDescent="0.2">
      <c r="A15" t="s">
        <v>20</v>
      </c>
      <c r="B15" s="4">
        <f>B11*B5</f>
        <v>12.909944487358056</v>
      </c>
      <c r="C15" t="s">
        <v>19</v>
      </c>
    </row>
    <row r="16" spans="1:4" x14ac:dyDescent="0.2">
      <c r="A16" t="s">
        <v>22</v>
      </c>
      <c r="B16" s="4">
        <f>B6*B13</f>
        <v>12.909944487358056</v>
      </c>
      <c r="C16" t="s">
        <v>19</v>
      </c>
    </row>
    <row r="17" spans="1:4" x14ac:dyDescent="0.2">
      <c r="A17" t="s">
        <v>50</v>
      </c>
      <c r="B17" s="4">
        <f>B15+B16</f>
        <v>25.819888974716111</v>
      </c>
      <c r="C17" t="s">
        <v>19</v>
      </c>
    </row>
    <row r="18" spans="1:4" x14ac:dyDescent="0.2">
      <c r="A18" t="s">
        <v>24</v>
      </c>
      <c r="B18" s="4">
        <f>B17+B14</f>
        <v>825.81988897471615</v>
      </c>
      <c r="C18" t="s">
        <v>19</v>
      </c>
    </row>
    <row r="19" spans="1:4" x14ac:dyDescent="0.2">
      <c r="A19" t="s">
        <v>34</v>
      </c>
      <c r="B19">
        <f>MOD(B7,B12)*B2</f>
        <v>25</v>
      </c>
      <c r="C19" t="s">
        <v>17</v>
      </c>
      <c r="D19">
        <f>ROUNDUP(B19,0)</f>
        <v>25</v>
      </c>
    </row>
    <row r="20" spans="1:4" x14ac:dyDescent="0.2">
      <c r="A20" t="s">
        <v>45</v>
      </c>
      <c r="B20">
        <f>(B17/B33)</f>
        <v>1</v>
      </c>
    </row>
    <row r="21" spans="1:4" x14ac:dyDescent="0.2">
      <c r="A21" t="s">
        <v>46</v>
      </c>
      <c r="B21">
        <f>B17-B33</f>
        <v>0</v>
      </c>
      <c r="C21" t="s">
        <v>47</v>
      </c>
    </row>
    <row r="22" spans="1:4" x14ac:dyDescent="0.2">
      <c r="A22" t="s">
        <v>48</v>
      </c>
      <c r="B22">
        <f>B21/B33</f>
        <v>0</v>
      </c>
    </row>
    <row r="24" spans="1:4" x14ac:dyDescent="0.2">
      <c r="A24" s="1" t="s">
        <v>44</v>
      </c>
      <c r="D24" t="s">
        <v>13</v>
      </c>
    </row>
    <row r="25" spans="1:4" x14ac:dyDescent="0.2">
      <c r="A25" t="s">
        <v>15</v>
      </c>
      <c r="B25">
        <f>SQRT(2*B5*B2/B6)</f>
        <v>154.91933384829667</v>
      </c>
      <c r="C25" t="s">
        <v>17</v>
      </c>
      <c r="D25">
        <f>ROUNDUP(B25,0)</f>
        <v>155</v>
      </c>
    </row>
    <row r="26" spans="1:4" x14ac:dyDescent="0.2">
      <c r="A26" t="s">
        <v>36</v>
      </c>
      <c r="B26" s="4">
        <f>SQRT(2*B5*B2*B6)</f>
        <v>25.819888974716111</v>
      </c>
      <c r="C26" t="s">
        <v>19</v>
      </c>
    </row>
    <row r="27" spans="1:4" x14ac:dyDescent="0.2">
      <c r="A27" t="s">
        <v>38</v>
      </c>
      <c r="B27">
        <f>B2/B25</f>
        <v>0.6454972243679028</v>
      </c>
      <c r="C27" t="s">
        <v>18</v>
      </c>
    </row>
    <row r="28" spans="1:4" x14ac:dyDescent="0.2">
      <c r="A28" t="s">
        <v>39</v>
      </c>
      <c r="B28">
        <f>1/B27</f>
        <v>1.5491933384829668</v>
      </c>
      <c r="C28" t="s">
        <v>26</v>
      </c>
    </row>
    <row r="29" spans="1:4" x14ac:dyDescent="0.2">
      <c r="A29" t="s">
        <v>40</v>
      </c>
      <c r="B29">
        <f>B25/2</f>
        <v>77.459666924148337</v>
      </c>
      <c r="C29" t="s">
        <v>17</v>
      </c>
    </row>
    <row r="30" spans="1:4" x14ac:dyDescent="0.2">
      <c r="A30" t="s">
        <v>21</v>
      </c>
      <c r="B30" s="5">
        <f>B2*B3</f>
        <v>800</v>
      </c>
      <c r="C30" t="s">
        <v>19</v>
      </c>
    </row>
    <row r="31" spans="1:4" x14ac:dyDescent="0.2">
      <c r="A31" t="s">
        <v>41</v>
      </c>
      <c r="B31" s="5">
        <f>B27*B5</f>
        <v>12.909944487358056</v>
      </c>
      <c r="C31" t="s">
        <v>19</v>
      </c>
    </row>
    <row r="32" spans="1:4" x14ac:dyDescent="0.2">
      <c r="A32" t="s">
        <v>42</v>
      </c>
      <c r="B32" s="5">
        <f>B29*B6</f>
        <v>12.909944487358056</v>
      </c>
      <c r="C32" t="s">
        <v>19</v>
      </c>
    </row>
    <row r="33" spans="1:4" x14ac:dyDescent="0.2">
      <c r="A33" t="s">
        <v>43</v>
      </c>
      <c r="B33" s="5">
        <f>B31+B32</f>
        <v>25.819888974716111</v>
      </c>
      <c r="C33" t="s">
        <v>19</v>
      </c>
    </row>
    <row r="34" spans="1:4" x14ac:dyDescent="0.2">
      <c r="A34" t="s">
        <v>24</v>
      </c>
      <c r="B34" s="5">
        <f>B33+B30</f>
        <v>825.81988897471615</v>
      </c>
      <c r="C34" t="s">
        <v>19</v>
      </c>
    </row>
    <row r="35" spans="1:4" x14ac:dyDescent="0.2">
      <c r="A35" t="s">
        <v>34</v>
      </c>
      <c r="B35">
        <f>MOD(B7,B28)*B2</f>
        <v>25</v>
      </c>
      <c r="C35" t="s">
        <v>17</v>
      </c>
      <c r="D35">
        <f>ROUNDUP(B35,0)</f>
        <v>25</v>
      </c>
    </row>
  </sheetData>
  <pageMargins left="0.75" right="0.75" top="1" bottom="1" header="0.5" footer="0.5"/>
  <pageSetup orientation="portrait" horizontalDpi="4294967292" verticalDpi="4294967292"/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8"/>
  <sheetViews>
    <sheetView topLeftCell="A6" zoomScale="125" zoomScaleNormal="125" zoomScalePageLayoutView="125" workbookViewId="0">
      <selection activeCell="B48" sqref="B48"/>
    </sheetView>
  </sheetViews>
  <sheetFormatPr baseColWidth="10" defaultRowHeight="16" x14ac:dyDescent="0.2"/>
  <cols>
    <col min="1" max="1" width="26.5" bestFit="1" customWidth="1"/>
  </cols>
  <sheetData>
    <row r="1" spans="1:8" x14ac:dyDescent="0.2">
      <c r="A1" s="1" t="s">
        <v>0</v>
      </c>
    </row>
    <row r="2" spans="1:8" x14ac:dyDescent="0.2">
      <c r="A2" t="s">
        <v>5</v>
      </c>
      <c r="B2">
        <v>10000</v>
      </c>
      <c r="C2" t="s">
        <v>1</v>
      </c>
    </row>
    <row r="3" spans="1:8" x14ac:dyDescent="0.2">
      <c r="A3" t="s">
        <v>7</v>
      </c>
      <c r="B3">
        <v>15</v>
      </c>
      <c r="C3" t="s">
        <v>3</v>
      </c>
    </row>
    <row r="4" spans="1:8" x14ac:dyDescent="0.2">
      <c r="A4" t="s">
        <v>6</v>
      </c>
      <c r="B4">
        <v>0.25</v>
      </c>
      <c r="C4" t="s">
        <v>4</v>
      </c>
    </row>
    <row r="5" spans="1:8" x14ac:dyDescent="0.2">
      <c r="A5" t="s">
        <v>8</v>
      </c>
      <c r="B5">
        <v>100</v>
      </c>
      <c r="C5" t="s">
        <v>9</v>
      </c>
    </row>
    <row r="6" spans="1:8" x14ac:dyDescent="0.2">
      <c r="A6" t="s">
        <v>10</v>
      </c>
      <c r="B6">
        <f>B3*B4</f>
        <v>3.75</v>
      </c>
      <c r="C6" t="s">
        <v>11</v>
      </c>
    </row>
    <row r="8" spans="1:8" x14ac:dyDescent="0.2">
      <c r="A8" s="1" t="s">
        <v>12</v>
      </c>
    </row>
    <row r="9" spans="1:8" x14ac:dyDescent="0.2">
      <c r="C9" s="1" t="s">
        <v>28</v>
      </c>
      <c r="D9" s="1" t="s">
        <v>29</v>
      </c>
      <c r="E9" s="2" t="s">
        <v>27</v>
      </c>
      <c r="F9" s="1" t="s">
        <v>30</v>
      </c>
      <c r="G9" s="1" t="s">
        <v>31</v>
      </c>
      <c r="H9" s="1" t="s">
        <v>32</v>
      </c>
    </row>
    <row r="10" spans="1:8" x14ac:dyDescent="0.2">
      <c r="C10">
        <f>$B$2/E10</f>
        <v>200</v>
      </c>
      <c r="D10">
        <f>E10/2</f>
        <v>25</v>
      </c>
      <c r="E10" s="3">
        <v>50</v>
      </c>
      <c r="F10">
        <f>C10*$B$5</f>
        <v>20000</v>
      </c>
      <c r="G10">
        <f>D10*$B$6</f>
        <v>93.75</v>
      </c>
      <c r="H10">
        <f>F10+G10</f>
        <v>20093.75</v>
      </c>
    </row>
    <row r="11" spans="1:8" x14ac:dyDescent="0.2">
      <c r="C11">
        <f t="shared" ref="C11:C74" si="0">$B$2/E11</f>
        <v>100</v>
      </c>
      <c r="D11">
        <f t="shared" ref="D11:D74" si="1">E11/2</f>
        <v>50</v>
      </c>
      <c r="E11" s="3">
        <v>100</v>
      </c>
      <c r="F11">
        <f>C11*$B$5</f>
        <v>10000</v>
      </c>
      <c r="G11">
        <f>D11*$B$6</f>
        <v>187.5</v>
      </c>
      <c r="H11">
        <f>F11+G11</f>
        <v>10187.5</v>
      </c>
    </row>
    <row r="12" spans="1:8" x14ac:dyDescent="0.2">
      <c r="C12">
        <f t="shared" si="0"/>
        <v>66.666666666666671</v>
      </c>
      <c r="D12">
        <f t="shared" si="1"/>
        <v>75</v>
      </c>
      <c r="E12" s="3">
        <v>150</v>
      </c>
      <c r="F12">
        <f t="shared" ref="F12:F53" si="2">C12*$B$5</f>
        <v>6666.666666666667</v>
      </c>
      <c r="G12">
        <f t="shared" ref="G12:G53" si="3">D12*$B$6</f>
        <v>281.25</v>
      </c>
      <c r="H12">
        <f t="shared" ref="H12:H53" si="4">F12+G12</f>
        <v>6947.916666666667</v>
      </c>
    </row>
    <row r="13" spans="1:8" x14ac:dyDescent="0.2">
      <c r="C13">
        <f t="shared" si="0"/>
        <v>50</v>
      </c>
      <c r="D13">
        <f t="shared" si="1"/>
        <v>100</v>
      </c>
      <c r="E13" s="3">
        <v>200</v>
      </c>
      <c r="F13">
        <f t="shared" si="2"/>
        <v>5000</v>
      </c>
      <c r="G13">
        <f t="shared" si="3"/>
        <v>375</v>
      </c>
      <c r="H13">
        <f t="shared" si="4"/>
        <v>5375</v>
      </c>
    </row>
    <row r="14" spans="1:8" x14ac:dyDescent="0.2">
      <c r="C14">
        <f t="shared" si="0"/>
        <v>40</v>
      </c>
      <c r="D14">
        <f t="shared" si="1"/>
        <v>125</v>
      </c>
      <c r="E14" s="3">
        <v>250</v>
      </c>
      <c r="F14">
        <f t="shared" si="2"/>
        <v>4000</v>
      </c>
      <c r="G14">
        <f t="shared" si="3"/>
        <v>468.75</v>
      </c>
      <c r="H14">
        <f t="shared" si="4"/>
        <v>4468.75</v>
      </c>
    </row>
    <row r="15" spans="1:8" x14ac:dyDescent="0.2">
      <c r="C15">
        <f t="shared" si="0"/>
        <v>33.333333333333336</v>
      </c>
      <c r="D15">
        <f t="shared" si="1"/>
        <v>150</v>
      </c>
      <c r="E15" s="3">
        <v>300</v>
      </c>
      <c r="F15">
        <f t="shared" si="2"/>
        <v>3333.3333333333335</v>
      </c>
      <c r="G15">
        <f t="shared" si="3"/>
        <v>562.5</v>
      </c>
      <c r="H15">
        <f t="shared" si="4"/>
        <v>3895.8333333333335</v>
      </c>
    </row>
    <row r="16" spans="1:8" x14ac:dyDescent="0.2">
      <c r="C16">
        <f t="shared" si="0"/>
        <v>28.571428571428573</v>
      </c>
      <c r="D16">
        <f t="shared" si="1"/>
        <v>175</v>
      </c>
      <c r="E16" s="3">
        <v>350</v>
      </c>
      <c r="F16">
        <f t="shared" si="2"/>
        <v>2857.1428571428573</v>
      </c>
      <c r="G16">
        <f t="shared" si="3"/>
        <v>656.25</v>
      </c>
      <c r="H16">
        <f t="shared" si="4"/>
        <v>3513.3928571428573</v>
      </c>
    </row>
    <row r="17" spans="3:8" x14ac:dyDescent="0.2">
      <c r="C17">
        <f t="shared" si="0"/>
        <v>25</v>
      </c>
      <c r="D17">
        <f t="shared" si="1"/>
        <v>200</v>
      </c>
      <c r="E17" s="3">
        <v>400</v>
      </c>
      <c r="F17">
        <f t="shared" si="2"/>
        <v>2500</v>
      </c>
      <c r="G17">
        <f t="shared" si="3"/>
        <v>750</v>
      </c>
      <c r="H17">
        <f t="shared" si="4"/>
        <v>3250</v>
      </c>
    </row>
    <row r="18" spans="3:8" x14ac:dyDescent="0.2">
      <c r="C18">
        <f t="shared" si="0"/>
        <v>22.222222222222221</v>
      </c>
      <c r="D18">
        <f t="shared" si="1"/>
        <v>225</v>
      </c>
      <c r="E18" s="3">
        <v>450</v>
      </c>
      <c r="F18">
        <f t="shared" si="2"/>
        <v>2222.2222222222222</v>
      </c>
      <c r="G18">
        <f t="shared" si="3"/>
        <v>843.75</v>
      </c>
      <c r="H18">
        <f t="shared" si="4"/>
        <v>3065.9722222222222</v>
      </c>
    </row>
    <row r="19" spans="3:8" x14ac:dyDescent="0.2">
      <c r="C19">
        <f t="shared" si="0"/>
        <v>20</v>
      </c>
      <c r="D19">
        <f t="shared" si="1"/>
        <v>250</v>
      </c>
      <c r="E19" s="3">
        <v>500</v>
      </c>
      <c r="F19">
        <f t="shared" si="2"/>
        <v>2000</v>
      </c>
      <c r="G19">
        <f t="shared" si="3"/>
        <v>937.5</v>
      </c>
      <c r="H19">
        <f t="shared" si="4"/>
        <v>2937.5</v>
      </c>
    </row>
    <row r="20" spans="3:8" x14ac:dyDescent="0.2">
      <c r="C20">
        <f t="shared" si="0"/>
        <v>18.181818181818183</v>
      </c>
      <c r="D20">
        <f t="shared" si="1"/>
        <v>275</v>
      </c>
      <c r="E20" s="3">
        <v>550</v>
      </c>
      <c r="F20">
        <f t="shared" si="2"/>
        <v>1818.1818181818182</v>
      </c>
      <c r="G20">
        <f t="shared" si="3"/>
        <v>1031.25</v>
      </c>
      <c r="H20">
        <f t="shared" si="4"/>
        <v>2849.431818181818</v>
      </c>
    </row>
    <row r="21" spans="3:8" x14ac:dyDescent="0.2">
      <c r="C21">
        <f t="shared" si="0"/>
        <v>16.666666666666668</v>
      </c>
      <c r="D21">
        <f t="shared" si="1"/>
        <v>300</v>
      </c>
      <c r="E21" s="3">
        <v>600</v>
      </c>
      <c r="F21">
        <f t="shared" si="2"/>
        <v>1666.6666666666667</v>
      </c>
      <c r="G21">
        <f t="shared" si="3"/>
        <v>1125</v>
      </c>
      <c r="H21">
        <f t="shared" si="4"/>
        <v>2791.666666666667</v>
      </c>
    </row>
    <row r="22" spans="3:8" x14ac:dyDescent="0.2">
      <c r="C22">
        <f t="shared" si="0"/>
        <v>15.384615384615385</v>
      </c>
      <c r="D22">
        <f t="shared" si="1"/>
        <v>325</v>
      </c>
      <c r="E22" s="3">
        <v>650</v>
      </c>
      <c r="F22">
        <f t="shared" si="2"/>
        <v>1538.4615384615386</v>
      </c>
      <c r="G22">
        <f t="shared" si="3"/>
        <v>1218.75</v>
      </c>
      <c r="H22">
        <f t="shared" si="4"/>
        <v>2757.2115384615386</v>
      </c>
    </row>
    <row r="23" spans="3:8" x14ac:dyDescent="0.2">
      <c r="C23">
        <f t="shared" si="0"/>
        <v>14.285714285714286</v>
      </c>
      <c r="D23">
        <f t="shared" si="1"/>
        <v>350</v>
      </c>
      <c r="E23" s="3">
        <v>700</v>
      </c>
      <c r="F23">
        <f t="shared" si="2"/>
        <v>1428.5714285714287</v>
      </c>
      <c r="G23">
        <f t="shared" si="3"/>
        <v>1312.5</v>
      </c>
      <c r="H23">
        <f t="shared" si="4"/>
        <v>2741.0714285714284</v>
      </c>
    </row>
    <row r="24" spans="3:8" x14ac:dyDescent="0.2">
      <c r="C24">
        <f t="shared" si="0"/>
        <v>13.333333333333334</v>
      </c>
      <c r="D24">
        <f t="shared" si="1"/>
        <v>375</v>
      </c>
      <c r="E24" s="3">
        <v>750</v>
      </c>
      <c r="F24">
        <f t="shared" si="2"/>
        <v>1333.3333333333335</v>
      </c>
      <c r="G24">
        <f t="shared" si="3"/>
        <v>1406.25</v>
      </c>
      <c r="H24">
        <f t="shared" si="4"/>
        <v>2739.5833333333335</v>
      </c>
    </row>
    <row r="25" spans="3:8" x14ac:dyDescent="0.2">
      <c r="C25">
        <f t="shared" si="0"/>
        <v>12.5</v>
      </c>
      <c r="D25">
        <f t="shared" si="1"/>
        <v>400</v>
      </c>
      <c r="E25" s="3">
        <v>800</v>
      </c>
      <c r="F25">
        <f t="shared" si="2"/>
        <v>1250</v>
      </c>
      <c r="G25">
        <f t="shared" si="3"/>
        <v>1500</v>
      </c>
      <c r="H25">
        <f t="shared" si="4"/>
        <v>2750</v>
      </c>
    </row>
    <row r="26" spans="3:8" x14ac:dyDescent="0.2">
      <c r="C26">
        <f t="shared" si="0"/>
        <v>11.764705882352942</v>
      </c>
      <c r="D26">
        <f t="shared" si="1"/>
        <v>425</v>
      </c>
      <c r="E26" s="3">
        <v>850</v>
      </c>
      <c r="F26">
        <f t="shared" si="2"/>
        <v>1176.4705882352941</v>
      </c>
      <c r="G26">
        <f t="shared" si="3"/>
        <v>1593.75</v>
      </c>
      <c r="H26">
        <f t="shared" si="4"/>
        <v>2770.2205882352941</v>
      </c>
    </row>
    <row r="27" spans="3:8" x14ac:dyDescent="0.2">
      <c r="C27">
        <f t="shared" si="0"/>
        <v>11.111111111111111</v>
      </c>
      <c r="D27">
        <f t="shared" si="1"/>
        <v>450</v>
      </c>
      <c r="E27" s="3">
        <v>900</v>
      </c>
      <c r="F27">
        <f t="shared" si="2"/>
        <v>1111.1111111111111</v>
      </c>
      <c r="G27">
        <f t="shared" si="3"/>
        <v>1687.5</v>
      </c>
      <c r="H27">
        <f t="shared" si="4"/>
        <v>2798.6111111111113</v>
      </c>
    </row>
    <row r="28" spans="3:8" x14ac:dyDescent="0.2">
      <c r="C28">
        <f t="shared" si="0"/>
        <v>10.526315789473685</v>
      </c>
      <c r="D28">
        <f t="shared" si="1"/>
        <v>475</v>
      </c>
      <c r="E28" s="3">
        <v>950</v>
      </c>
      <c r="F28">
        <f t="shared" si="2"/>
        <v>1052.6315789473686</v>
      </c>
      <c r="G28">
        <f t="shared" si="3"/>
        <v>1781.25</v>
      </c>
      <c r="H28">
        <f t="shared" si="4"/>
        <v>2833.8815789473683</v>
      </c>
    </row>
    <row r="29" spans="3:8" x14ac:dyDescent="0.2">
      <c r="C29">
        <f t="shared" si="0"/>
        <v>10</v>
      </c>
      <c r="D29">
        <f t="shared" si="1"/>
        <v>500</v>
      </c>
      <c r="E29" s="3">
        <v>1000</v>
      </c>
      <c r="F29">
        <f t="shared" si="2"/>
        <v>1000</v>
      </c>
      <c r="G29">
        <f t="shared" si="3"/>
        <v>1875</v>
      </c>
      <c r="H29">
        <f t="shared" si="4"/>
        <v>2875</v>
      </c>
    </row>
    <row r="30" spans="3:8" x14ac:dyDescent="0.2">
      <c r="C30">
        <f t="shared" si="0"/>
        <v>9.5238095238095237</v>
      </c>
      <c r="D30">
        <f t="shared" si="1"/>
        <v>525</v>
      </c>
      <c r="E30" s="3">
        <v>1050</v>
      </c>
      <c r="F30">
        <f t="shared" si="2"/>
        <v>952.38095238095241</v>
      </c>
      <c r="G30">
        <f t="shared" si="3"/>
        <v>1968.75</v>
      </c>
      <c r="H30">
        <f t="shared" si="4"/>
        <v>2921.1309523809523</v>
      </c>
    </row>
    <row r="31" spans="3:8" x14ac:dyDescent="0.2">
      <c r="C31">
        <f t="shared" si="0"/>
        <v>9.0909090909090917</v>
      </c>
      <c r="D31">
        <f t="shared" si="1"/>
        <v>550</v>
      </c>
      <c r="E31" s="3">
        <v>1100</v>
      </c>
      <c r="F31">
        <f t="shared" si="2"/>
        <v>909.09090909090912</v>
      </c>
      <c r="G31">
        <f t="shared" si="3"/>
        <v>2062.5</v>
      </c>
      <c r="H31">
        <f t="shared" si="4"/>
        <v>2971.590909090909</v>
      </c>
    </row>
    <row r="32" spans="3:8" x14ac:dyDescent="0.2">
      <c r="C32">
        <f t="shared" si="0"/>
        <v>8.695652173913043</v>
      </c>
      <c r="D32">
        <f t="shared" si="1"/>
        <v>575</v>
      </c>
      <c r="E32" s="3">
        <v>1150</v>
      </c>
      <c r="F32">
        <f t="shared" si="2"/>
        <v>869.56521739130426</v>
      </c>
      <c r="G32">
        <f t="shared" si="3"/>
        <v>2156.25</v>
      </c>
      <c r="H32">
        <f t="shared" si="4"/>
        <v>3025.815217391304</v>
      </c>
    </row>
    <row r="33" spans="3:8" x14ac:dyDescent="0.2">
      <c r="C33">
        <f t="shared" si="0"/>
        <v>8.3333333333333339</v>
      </c>
      <c r="D33">
        <f t="shared" si="1"/>
        <v>600</v>
      </c>
      <c r="E33" s="3">
        <v>1200</v>
      </c>
      <c r="F33">
        <f t="shared" si="2"/>
        <v>833.33333333333337</v>
      </c>
      <c r="G33">
        <f t="shared" si="3"/>
        <v>2250</v>
      </c>
      <c r="H33">
        <f t="shared" si="4"/>
        <v>3083.3333333333335</v>
      </c>
    </row>
    <row r="34" spans="3:8" x14ac:dyDescent="0.2">
      <c r="C34">
        <f t="shared" si="0"/>
        <v>8</v>
      </c>
      <c r="D34">
        <f t="shared" si="1"/>
        <v>625</v>
      </c>
      <c r="E34" s="3">
        <v>1250</v>
      </c>
      <c r="F34">
        <f t="shared" si="2"/>
        <v>800</v>
      </c>
      <c r="G34">
        <f t="shared" si="3"/>
        <v>2343.75</v>
      </c>
      <c r="H34">
        <f t="shared" si="4"/>
        <v>3143.75</v>
      </c>
    </row>
    <row r="35" spans="3:8" x14ac:dyDescent="0.2">
      <c r="C35">
        <f t="shared" si="0"/>
        <v>7.6923076923076925</v>
      </c>
      <c r="D35">
        <f t="shared" si="1"/>
        <v>650</v>
      </c>
      <c r="E35" s="3">
        <v>1300</v>
      </c>
      <c r="F35">
        <f t="shared" si="2"/>
        <v>769.23076923076928</v>
      </c>
      <c r="G35">
        <f t="shared" si="3"/>
        <v>2437.5</v>
      </c>
      <c r="H35">
        <f t="shared" si="4"/>
        <v>3206.7307692307695</v>
      </c>
    </row>
    <row r="36" spans="3:8" x14ac:dyDescent="0.2">
      <c r="C36">
        <f t="shared" si="0"/>
        <v>7.4074074074074074</v>
      </c>
      <c r="D36">
        <f t="shared" si="1"/>
        <v>675</v>
      </c>
      <c r="E36" s="3">
        <v>1350</v>
      </c>
      <c r="F36">
        <f t="shared" si="2"/>
        <v>740.74074074074076</v>
      </c>
      <c r="G36">
        <f t="shared" si="3"/>
        <v>2531.25</v>
      </c>
      <c r="H36">
        <f t="shared" si="4"/>
        <v>3271.9907407407409</v>
      </c>
    </row>
    <row r="37" spans="3:8" x14ac:dyDescent="0.2">
      <c r="C37">
        <f t="shared" si="0"/>
        <v>7.1428571428571432</v>
      </c>
      <c r="D37">
        <f t="shared" si="1"/>
        <v>700</v>
      </c>
      <c r="E37" s="3">
        <v>1400</v>
      </c>
      <c r="F37">
        <f t="shared" si="2"/>
        <v>714.28571428571433</v>
      </c>
      <c r="G37">
        <f t="shared" si="3"/>
        <v>2625</v>
      </c>
      <c r="H37">
        <f t="shared" si="4"/>
        <v>3339.2857142857142</v>
      </c>
    </row>
    <row r="38" spans="3:8" x14ac:dyDescent="0.2">
      <c r="C38">
        <f t="shared" si="0"/>
        <v>6.8965517241379306</v>
      </c>
      <c r="D38">
        <f t="shared" si="1"/>
        <v>725</v>
      </c>
      <c r="E38" s="3">
        <v>1450</v>
      </c>
      <c r="F38">
        <f t="shared" si="2"/>
        <v>689.65517241379303</v>
      </c>
      <c r="G38">
        <f t="shared" si="3"/>
        <v>2718.75</v>
      </c>
      <c r="H38">
        <f t="shared" si="4"/>
        <v>3408.405172413793</v>
      </c>
    </row>
    <row r="39" spans="3:8" x14ac:dyDescent="0.2">
      <c r="C39">
        <f t="shared" si="0"/>
        <v>6.666666666666667</v>
      </c>
      <c r="D39">
        <f t="shared" si="1"/>
        <v>750</v>
      </c>
      <c r="E39" s="3">
        <v>1500</v>
      </c>
      <c r="F39">
        <f t="shared" si="2"/>
        <v>666.66666666666674</v>
      </c>
      <c r="G39">
        <f t="shared" si="3"/>
        <v>2812.5</v>
      </c>
      <c r="H39">
        <f t="shared" si="4"/>
        <v>3479.166666666667</v>
      </c>
    </row>
    <row r="40" spans="3:8" x14ac:dyDescent="0.2">
      <c r="C40">
        <f t="shared" si="0"/>
        <v>6.4516129032258061</v>
      </c>
      <c r="D40">
        <f t="shared" si="1"/>
        <v>775</v>
      </c>
      <c r="E40" s="3">
        <v>1550</v>
      </c>
      <c r="F40">
        <f t="shared" si="2"/>
        <v>645.16129032258061</v>
      </c>
      <c r="G40">
        <f t="shared" si="3"/>
        <v>2906.25</v>
      </c>
      <c r="H40">
        <f t="shared" si="4"/>
        <v>3551.4112903225805</v>
      </c>
    </row>
    <row r="41" spans="3:8" x14ac:dyDescent="0.2">
      <c r="C41">
        <f t="shared" si="0"/>
        <v>6.25</v>
      </c>
      <c r="D41">
        <f t="shared" si="1"/>
        <v>800</v>
      </c>
      <c r="E41" s="3">
        <v>1600</v>
      </c>
      <c r="F41">
        <f t="shared" si="2"/>
        <v>625</v>
      </c>
      <c r="G41">
        <f t="shared" si="3"/>
        <v>3000</v>
      </c>
      <c r="H41">
        <f t="shared" si="4"/>
        <v>3625</v>
      </c>
    </row>
    <row r="42" spans="3:8" x14ac:dyDescent="0.2">
      <c r="C42">
        <f t="shared" si="0"/>
        <v>6.0606060606060606</v>
      </c>
      <c r="D42">
        <f t="shared" si="1"/>
        <v>825</v>
      </c>
      <c r="E42" s="3">
        <v>1650</v>
      </c>
      <c r="F42">
        <f t="shared" si="2"/>
        <v>606.06060606060601</v>
      </c>
      <c r="G42">
        <f t="shared" si="3"/>
        <v>3093.75</v>
      </c>
      <c r="H42">
        <f t="shared" si="4"/>
        <v>3699.810606060606</v>
      </c>
    </row>
    <row r="43" spans="3:8" x14ac:dyDescent="0.2">
      <c r="C43">
        <f t="shared" si="0"/>
        <v>5.882352941176471</v>
      </c>
      <c r="D43">
        <f t="shared" si="1"/>
        <v>850</v>
      </c>
      <c r="E43" s="3">
        <v>1700</v>
      </c>
      <c r="F43">
        <f t="shared" si="2"/>
        <v>588.23529411764707</v>
      </c>
      <c r="G43">
        <f t="shared" si="3"/>
        <v>3187.5</v>
      </c>
      <c r="H43">
        <f t="shared" si="4"/>
        <v>3775.7352941176468</v>
      </c>
    </row>
    <row r="44" spans="3:8" x14ac:dyDescent="0.2">
      <c r="C44">
        <f t="shared" si="0"/>
        <v>5.7142857142857144</v>
      </c>
      <c r="D44">
        <f t="shared" si="1"/>
        <v>875</v>
      </c>
      <c r="E44" s="3">
        <v>1750</v>
      </c>
      <c r="F44">
        <f t="shared" si="2"/>
        <v>571.42857142857144</v>
      </c>
      <c r="G44">
        <f t="shared" si="3"/>
        <v>3281.25</v>
      </c>
      <c r="H44">
        <f t="shared" si="4"/>
        <v>3852.6785714285716</v>
      </c>
    </row>
    <row r="45" spans="3:8" x14ac:dyDescent="0.2">
      <c r="C45">
        <f t="shared" si="0"/>
        <v>5.5555555555555554</v>
      </c>
      <c r="D45">
        <f t="shared" si="1"/>
        <v>900</v>
      </c>
      <c r="E45" s="3">
        <v>1800</v>
      </c>
      <c r="F45">
        <f t="shared" si="2"/>
        <v>555.55555555555554</v>
      </c>
      <c r="G45">
        <f t="shared" si="3"/>
        <v>3375</v>
      </c>
      <c r="H45">
        <f t="shared" si="4"/>
        <v>3930.5555555555557</v>
      </c>
    </row>
    <row r="46" spans="3:8" x14ac:dyDescent="0.2">
      <c r="C46">
        <f t="shared" si="0"/>
        <v>5.4054054054054053</v>
      </c>
      <c r="D46">
        <f t="shared" si="1"/>
        <v>925</v>
      </c>
      <c r="E46" s="3">
        <v>1850</v>
      </c>
      <c r="F46">
        <f t="shared" si="2"/>
        <v>540.54054054054052</v>
      </c>
      <c r="G46">
        <f t="shared" si="3"/>
        <v>3468.75</v>
      </c>
      <c r="H46">
        <f t="shared" si="4"/>
        <v>4009.2905405405404</v>
      </c>
    </row>
    <row r="47" spans="3:8" x14ac:dyDescent="0.2">
      <c r="C47">
        <f t="shared" si="0"/>
        <v>5.2631578947368425</v>
      </c>
      <c r="D47">
        <f t="shared" si="1"/>
        <v>950</v>
      </c>
      <c r="E47" s="3">
        <v>1900</v>
      </c>
      <c r="F47">
        <f t="shared" si="2"/>
        <v>526.31578947368428</v>
      </c>
      <c r="G47">
        <f t="shared" si="3"/>
        <v>3562.5</v>
      </c>
      <c r="H47">
        <f t="shared" si="4"/>
        <v>4088.8157894736842</v>
      </c>
    </row>
    <row r="48" spans="3:8" x14ac:dyDescent="0.2">
      <c r="C48">
        <f t="shared" si="0"/>
        <v>5.1282051282051286</v>
      </c>
      <c r="D48">
        <f t="shared" si="1"/>
        <v>975</v>
      </c>
      <c r="E48" s="3">
        <v>1950</v>
      </c>
      <c r="F48">
        <f t="shared" si="2"/>
        <v>512.82051282051282</v>
      </c>
      <c r="G48">
        <f t="shared" si="3"/>
        <v>3656.25</v>
      </c>
      <c r="H48">
        <f t="shared" si="4"/>
        <v>4169.0705128205127</v>
      </c>
    </row>
    <row r="49" spans="3:8" x14ac:dyDescent="0.2">
      <c r="C49">
        <f t="shared" si="0"/>
        <v>5</v>
      </c>
      <c r="D49">
        <f t="shared" si="1"/>
        <v>1000</v>
      </c>
      <c r="E49" s="3">
        <v>2000</v>
      </c>
      <c r="F49">
        <f t="shared" si="2"/>
        <v>500</v>
      </c>
      <c r="G49">
        <f t="shared" si="3"/>
        <v>3750</v>
      </c>
      <c r="H49">
        <f t="shared" si="4"/>
        <v>4250</v>
      </c>
    </row>
    <row r="50" spans="3:8" x14ac:dyDescent="0.2">
      <c r="C50">
        <f t="shared" si="0"/>
        <v>4.8780487804878048</v>
      </c>
      <c r="D50">
        <f t="shared" si="1"/>
        <v>1025</v>
      </c>
      <c r="E50" s="3">
        <v>2050</v>
      </c>
      <c r="F50">
        <f t="shared" si="2"/>
        <v>487.80487804878049</v>
      </c>
      <c r="G50">
        <f t="shared" si="3"/>
        <v>3843.75</v>
      </c>
      <c r="H50">
        <f t="shared" si="4"/>
        <v>4331.5548780487807</v>
      </c>
    </row>
    <row r="51" spans="3:8" x14ac:dyDescent="0.2">
      <c r="C51">
        <f t="shared" si="0"/>
        <v>4.7619047619047619</v>
      </c>
      <c r="D51">
        <f t="shared" si="1"/>
        <v>1050</v>
      </c>
      <c r="E51" s="3">
        <v>2100</v>
      </c>
      <c r="F51">
        <f t="shared" si="2"/>
        <v>476.1904761904762</v>
      </c>
      <c r="G51">
        <f t="shared" si="3"/>
        <v>3937.5</v>
      </c>
      <c r="H51">
        <f t="shared" si="4"/>
        <v>4413.6904761904761</v>
      </c>
    </row>
    <row r="52" spans="3:8" x14ac:dyDescent="0.2">
      <c r="C52">
        <f t="shared" si="0"/>
        <v>4.6511627906976747</v>
      </c>
      <c r="D52">
        <f t="shared" si="1"/>
        <v>1075</v>
      </c>
      <c r="E52" s="3">
        <v>2150</v>
      </c>
      <c r="F52">
        <f t="shared" si="2"/>
        <v>465.11627906976747</v>
      </c>
      <c r="G52">
        <f t="shared" si="3"/>
        <v>4031.25</v>
      </c>
      <c r="H52">
        <f t="shared" si="4"/>
        <v>4496.3662790697672</v>
      </c>
    </row>
    <row r="53" spans="3:8" x14ac:dyDescent="0.2">
      <c r="C53">
        <f t="shared" si="0"/>
        <v>4.5454545454545459</v>
      </c>
      <c r="D53">
        <f t="shared" si="1"/>
        <v>1100</v>
      </c>
      <c r="E53" s="3">
        <v>2200</v>
      </c>
      <c r="F53">
        <f t="shared" si="2"/>
        <v>454.54545454545456</v>
      </c>
      <c r="G53">
        <f t="shared" si="3"/>
        <v>4125</v>
      </c>
      <c r="H53">
        <f t="shared" si="4"/>
        <v>4579.545454545455</v>
      </c>
    </row>
    <row r="54" spans="3:8" x14ac:dyDescent="0.2">
      <c r="C54">
        <f t="shared" si="0"/>
        <v>4.4444444444444446</v>
      </c>
      <c r="D54">
        <f t="shared" si="1"/>
        <v>1125</v>
      </c>
      <c r="E54" s="3">
        <v>2250</v>
      </c>
      <c r="F54">
        <f>C54*$B$5</f>
        <v>444.44444444444446</v>
      </c>
      <c r="G54">
        <f>D54*$B$6</f>
        <v>4218.75</v>
      </c>
      <c r="H54">
        <f>F54+G54</f>
        <v>4663.1944444444443</v>
      </c>
    </row>
    <row r="55" spans="3:8" x14ac:dyDescent="0.2">
      <c r="C55">
        <f t="shared" si="0"/>
        <v>4.3478260869565215</v>
      </c>
      <c r="D55">
        <f t="shared" si="1"/>
        <v>1150</v>
      </c>
      <c r="E55" s="3">
        <v>2300</v>
      </c>
      <c r="F55">
        <f>C55*$B$5</f>
        <v>434.78260869565213</v>
      </c>
      <c r="G55">
        <f>D55*$B$6</f>
        <v>4312.5</v>
      </c>
      <c r="H55">
        <f>F55+G55</f>
        <v>4747.282608695652</v>
      </c>
    </row>
    <row r="56" spans="3:8" x14ac:dyDescent="0.2">
      <c r="C56">
        <f t="shared" si="0"/>
        <v>4.2553191489361701</v>
      </c>
      <c r="D56">
        <f t="shared" si="1"/>
        <v>1175</v>
      </c>
      <c r="E56" s="3">
        <v>2350</v>
      </c>
      <c r="F56">
        <f t="shared" ref="F56:F108" si="5">C56*$B$5</f>
        <v>425.531914893617</v>
      </c>
      <c r="G56">
        <f t="shared" ref="G56:G108" si="6">D56*$B$6</f>
        <v>4406.25</v>
      </c>
      <c r="H56">
        <f t="shared" ref="H56:H108" si="7">F56+G56</f>
        <v>4831.7819148936169</v>
      </c>
    </row>
    <row r="57" spans="3:8" x14ac:dyDescent="0.2">
      <c r="C57">
        <f t="shared" si="0"/>
        <v>4.166666666666667</v>
      </c>
      <c r="D57">
        <f t="shared" si="1"/>
        <v>1200</v>
      </c>
      <c r="E57" s="3">
        <v>2400</v>
      </c>
      <c r="F57">
        <f t="shared" si="5"/>
        <v>416.66666666666669</v>
      </c>
      <c r="G57">
        <f t="shared" si="6"/>
        <v>4500</v>
      </c>
      <c r="H57">
        <f t="shared" si="7"/>
        <v>4916.666666666667</v>
      </c>
    </row>
    <row r="58" spans="3:8" x14ac:dyDescent="0.2">
      <c r="C58">
        <f t="shared" si="0"/>
        <v>4.0816326530612246</v>
      </c>
      <c r="D58">
        <f t="shared" si="1"/>
        <v>1225</v>
      </c>
      <c r="E58" s="3">
        <v>2450</v>
      </c>
      <c r="F58">
        <f t="shared" si="5"/>
        <v>408.16326530612247</v>
      </c>
      <c r="G58">
        <f t="shared" si="6"/>
        <v>4593.75</v>
      </c>
      <c r="H58">
        <f t="shared" si="7"/>
        <v>5001.9132653061224</v>
      </c>
    </row>
    <row r="59" spans="3:8" x14ac:dyDescent="0.2">
      <c r="C59">
        <f t="shared" si="0"/>
        <v>4</v>
      </c>
      <c r="D59">
        <f t="shared" si="1"/>
        <v>1250</v>
      </c>
      <c r="E59" s="3">
        <v>2500</v>
      </c>
      <c r="F59">
        <f t="shared" si="5"/>
        <v>400</v>
      </c>
      <c r="G59">
        <f t="shared" si="6"/>
        <v>4687.5</v>
      </c>
      <c r="H59">
        <f t="shared" si="7"/>
        <v>5087.5</v>
      </c>
    </row>
    <row r="60" spans="3:8" x14ac:dyDescent="0.2">
      <c r="C60">
        <f t="shared" si="0"/>
        <v>3.9215686274509802</v>
      </c>
      <c r="D60">
        <f t="shared" si="1"/>
        <v>1275</v>
      </c>
      <c r="E60" s="3">
        <v>2550</v>
      </c>
      <c r="F60">
        <f t="shared" si="5"/>
        <v>392.15686274509801</v>
      </c>
      <c r="G60">
        <f t="shared" si="6"/>
        <v>4781.25</v>
      </c>
      <c r="H60">
        <f t="shared" si="7"/>
        <v>5173.4068627450979</v>
      </c>
    </row>
    <row r="61" spans="3:8" x14ac:dyDescent="0.2">
      <c r="C61">
        <f t="shared" si="0"/>
        <v>3.8461538461538463</v>
      </c>
      <c r="D61">
        <f t="shared" si="1"/>
        <v>1300</v>
      </c>
      <c r="E61" s="3">
        <v>2600</v>
      </c>
      <c r="F61">
        <f t="shared" si="5"/>
        <v>384.61538461538464</v>
      </c>
      <c r="G61">
        <f t="shared" si="6"/>
        <v>4875</v>
      </c>
      <c r="H61">
        <f t="shared" si="7"/>
        <v>5259.6153846153848</v>
      </c>
    </row>
    <row r="62" spans="3:8" x14ac:dyDescent="0.2">
      <c r="C62">
        <f t="shared" si="0"/>
        <v>3.7735849056603774</v>
      </c>
      <c r="D62">
        <f t="shared" si="1"/>
        <v>1325</v>
      </c>
      <c r="E62" s="3">
        <v>2650</v>
      </c>
      <c r="F62">
        <f t="shared" si="5"/>
        <v>377.35849056603774</v>
      </c>
      <c r="G62">
        <f t="shared" si="6"/>
        <v>4968.75</v>
      </c>
      <c r="H62">
        <f t="shared" si="7"/>
        <v>5346.1084905660373</v>
      </c>
    </row>
    <row r="63" spans="3:8" x14ac:dyDescent="0.2">
      <c r="C63">
        <f t="shared" si="0"/>
        <v>3.7037037037037037</v>
      </c>
      <c r="D63">
        <f t="shared" si="1"/>
        <v>1350</v>
      </c>
      <c r="E63" s="3">
        <v>2700</v>
      </c>
      <c r="F63">
        <f t="shared" si="5"/>
        <v>370.37037037037038</v>
      </c>
      <c r="G63">
        <f t="shared" si="6"/>
        <v>5062.5</v>
      </c>
      <c r="H63">
        <f t="shared" si="7"/>
        <v>5432.8703703703704</v>
      </c>
    </row>
    <row r="64" spans="3:8" x14ac:dyDescent="0.2">
      <c r="C64">
        <f t="shared" si="0"/>
        <v>3.6363636363636362</v>
      </c>
      <c r="D64">
        <f t="shared" si="1"/>
        <v>1375</v>
      </c>
      <c r="E64" s="3">
        <v>2750</v>
      </c>
      <c r="F64">
        <f t="shared" si="5"/>
        <v>363.63636363636363</v>
      </c>
      <c r="G64">
        <f t="shared" si="6"/>
        <v>5156.25</v>
      </c>
      <c r="H64">
        <f t="shared" si="7"/>
        <v>5519.886363636364</v>
      </c>
    </row>
    <row r="65" spans="3:8" x14ac:dyDescent="0.2">
      <c r="C65">
        <f t="shared" si="0"/>
        <v>3.5714285714285716</v>
      </c>
      <c r="D65">
        <f t="shared" si="1"/>
        <v>1400</v>
      </c>
      <c r="E65" s="3">
        <v>2800</v>
      </c>
      <c r="F65">
        <f t="shared" si="5"/>
        <v>357.14285714285717</v>
      </c>
      <c r="G65">
        <f t="shared" si="6"/>
        <v>5250</v>
      </c>
      <c r="H65">
        <f t="shared" si="7"/>
        <v>5607.1428571428569</v>
      </c>
    </row>
    <row r="66" spans="3:8" x14ac:dyDescent="0.2">
      <c r="C66">
        <f t="shared" si="0"/>
        <v>3.5087719298245612</v>
      </c>
      <c r="D66">
        <f t="shared" si="1"/>
        <v>1425</v>
      </c>
      <c r="E66" s="3">
        <v>2850</v>
      </c>
      <c r="F66">
        <f t="shared" si="5"/>
        <v>350.87719298245611</v>
      </c>
      <c r="G66">
        <f t="shared" si="6"/>
        <v>5343.75</v>
      </c>
      <c r="H66">
        <f t="shared" si="7"/>
        <v>5694.6271929824561</v>
      </c>
    </row>
    <row r="67" spans="3:8" x14ac:dyDescent="0.2">
      <c r="C67">
        <f t="shared" si="0"/>
        <v>3.4482758620689653</v>
      </c>
      <c r="D67">
        <f t="shared" si="1"/>
        <v>1450</v>
      </c>
      <c r="E67" s="3">
        <v>2900</v>
      </c>
      <c r="F67">
        <f t="shared" si="5"/>
        <v>344.82758620689651</v>
      </c>
      <c r="G67">
        <f t="shared" si="6"/>
        <v>5437.5</v>
      </c>
      <c r="H67">
        <f t="shared" si="7"/>
        <v>5782.3275862068967</v>
      </c>
    </row>
    <row r="68" spans="3:8" x14ac:dyDescent="0.2">
      <c r="C68">
        <f t="shared" si="0"/>
        <v>3.3898305084745761</v>
      </c>
      <c r="D68">
        <f t="shared" si="1"/>
        <v>1475</v>
      </c>
      <c r="E68" s="3">
        <v>2950</v>
      </c>
      <c r="F68">
        <f t="shared" si="5"/>
        <v>338.9830508474576</v>
      </c>
      <c r="G68">
        <f t="shared" si="6"/>
        <v>5531.25</v>
      </c>
      <c r="H68">
        <f t="shared" si="7"/>
        <v>5870.2330508474579</v>
      </c>
    </row>
    <row r="69" spans="3:8" x14ac:dyDescent="0.2">
      <c r="C69">
        <f t="shared" si="0"/>
        <v>3.3333333333333335</v>
      </c>
      <c r="D69">
        <f t="shared" si="1"/>
        <v>1500</v>
      </c>
      <c r="E69" s="3">
        <v>3000</v>
      </c>
      <c r="F69">
        <f t="shared" si="5"/>
        <v>333.33333333333337</v>
      </c>
      <c r="G69">
        <f t="shared" si="6"/>
        <v>5625</v>
      </c>
      <c r="H69">
        <f t="shared" si="7"/>
        <v>5958.333333333333</v>
      </c>
    </row>
    <row r="70" spans="3:8" x14ac:dyDescent="0.2">
      <c r="C70">
        <f t="shared" si="0"/>
        <v>3.278688524590164</v>
      </c>
      <c r="D70">
        <f t="shared" si="1"/>
        <v>1525</v>
      </c>
      <c r="E70" s="3">
        <v>3050</v>
      </c>
      <c r="F70">
        <f t="shared" si="5"/>
        <v>327.86885245901641</v>
      </c>
      <c r="G70">
        <f t="shared" si="6"/>
        <v>5718.75</v>
      </c>
      <c r="H70">
        <f t="shared" si="7"/>
        <v>6046.6188524590161</v>
      </c>
    </row>
    <row r="71" spans="3:8" x14ac:dyDescent="0.2">
      <c r="C71">
        <f t="shared" si="0"/>
        <v>3.225806451612903</v>
      </c>
      <c r="D71">
        <f t="shared" si="1"/>
        <v>1550</v>
      </c>
      <c r="E71" s="3">
        <v>3100</v>
      </c>
      <c r="F71">
        <f t="shared" si="5"/>
        <v>322.58064516129031</v>
      </c>
      <c r="G71">
        <f t="shared" si="6"/>
        <v>5812.5</v>
      </c>
      <c r="H71">
        <f t="shared" si="7"/>
        <v>6135.0806451612907</v>
      </c>
    </row>
    <row r="72" spans="3:8" x14ac:dyDescent="0.2">
      <c r="C72">
        <f t="shared" si="0"/>
        <v>3.1746031746031744</v>
      </c>
      <c r="D72">
        <f t="shared" si="1"/>
        <v>1575</v>
      </c>
      <c r="E72" s="3">
        <v>3150</v>
      </c>
      <c r="F72">
        <f t="shared" si="5"/>
        <v>317.46031746031747</v>
      </c>
      <c r="G72">
        <f t="shared" si="6"/>
        <v>5906.25</v>
      </c>
      <c r="H72">
        <f t="shared" si="7"/>
        <v>6223.7103174603171</v>
      </c>
    </row>
    <row r="73" spans="3:8" x14ac:dyDescent="0.2">
      <c r="C73">
        <f t="shared" si="0"/>
        <v>3.125</v>
      </c>
      <c r="D73">
        <f t="shared" si="1"/>
        <v>1600</v>
      </c>
      <c r="E73" s="3">
        <v>3200</v>
      </c>
      <c r="F73">
        <f t="shared" si="5"/>
        <v>312.5</v>
      </c>
      <c r="G73">
        <f t="shared" si="6"/>
        <v>6000</v>
      </c>
      <c r="H73">
        <f t="shared" si="7"/>
        <v>6312.5</v>
      </c>
    </row>
    <row r="74" spans="3:8" x14ac:dyDescent="0.2">
      <c r="C74">
        <f t="shared" si="0"/>
        <v>3.0769230769230771</v>
      </c>
      <c r="D74">
        <f t="shared" si="1"/>
        <v>1625</v>
      </c>
      <c r="E74" s="3">
        <v>3250</v>
      </c>
      <c r="F74">
        <f t="shared" si="5"/>
        <v>307.69230769230774</v>
      </c>
      <c r="G74">
        <f t="shared" si="6"/>
        <v>6093.75</v>
      </c>
      <c r="H74">
        <f t="shared" si="7"/>
        <v>6401.4423076923076</v>
      </c>
    </row>
    <row r="75" spans="3:8" x14ac:dyDescent="0.2">
      <c r="C75">
        <f t="shared" ref="C75:C108" si="8">$B$2/E75</f>
        <v>3.0303030303030303</v>
      </c>
      <c r="D75">
        <f t="shared" ref="D75:D108" si="9">E75/2</f>
        <v>1650</v>
      </c>
      <c r="E75" s="3">
        <v>3300</v>
      </c>
      <c r="F75">
        <f t="shared" si="5"/>
        <v>303.030303030303</v>
      </c>
      <c r="G75">
        <f t="shared" si="6"/>
        <v>6187.5</v>
      </c>
      <c r="H75">
        <f t="shared" si="7"/>
        <v>6490.530303030303</v>
      </c>
    </row>
    <row r="76" spans="3:8" x14ac:dyDescent="0.2">
      <c r="C76">
        <f t="shared" si="8"/>
        <v>2.9850746268656718</v>
      </c>
      <c r="D76">
        <f t="shared" si="9"/>
        <v>1675</v>
      </c>
      <c r="E76" s="3">
        <v>3350</v>
      </c>
      <c r="F76">
        <f t="shared" si="5"/>
        <v>298.50746268656718</v>
      </c>
      <c r="G76">
        <f t="shared" si="6"/>
        <v>6281.25</v>
      </c>
      <c r="H76">
        <f t="shared" si="7"/>
        <v>6579.7574626865671</v>
      </c>
    </row>
    <row r="77" spans="3:8" x14ac:dyDescent="0.2">
      <c r="C77">
        <f t="shared" si="8"/>
        <v>2.9411764705882355</v>
      </c>
      <c r="D77">
        <f t="shared" si="9"/>
        <v>1700</v>
      </c>
      <c r="E77" s="3">
        <v>3400</v>
      </c>
      <c r="F77">
        <f t="shared" si="5"/>
        <v>294.11764705882354</v>
      </c>
      <c r="G77">
        <f t="shared" si="6"/>
        <v>6375</v>
      </c>
      <c r="H77">
        <f t="shared" si="7"/>
        <v>6669.1176470588234</v>
      </c>
    </row>
    <row r="78" spans="3:8" x14ac:dyDescent="0.2">
      <c r="C78">
        <f t="shared" si="8"/>
        <v>2.8985507246376812</v>
      </c>
      <c r="D78">
        <f t="shared" si="9"/>
        <v>1725</v>
      </c>
      <c r="E78" s="3">
        <v>3450</v>
      </c>
      <c r="F78">
        <f t="shared" si="5"/>
        <v>289.85507246376812</v>
      </c>
      <c r="G78">
        <f t="shared" si="6"/>
        <v>6468.75</v>
      </c>
      <c r="H78">
        <f t="shared" si="7"/>
        <v>6758.605072463768</v>
      </c>
    </row>
    <row r="79" spans="3:8" x14ac:dyDescent="0.2">
      <c r="C79">
        <f t="shared" si="8"/>
        <v>2.8571428571428572</v>
      </c>
      <c r="D79">
        <f t="shared" si="9"/>
        <v>1750</v>
      </c>
      <c r="E79" s="3">
        <v>3500</v>
      </c>
      <c r="F79">
        <f t="shared" si="5"/>
        <v>285.71428571428572</v>
      </c>
      <c r="G79">
        <f t="shared" si="6"/>
        <v>6562.5</v>
      </c>
      <c r="H79">
        <f t="shared" si="7"/>
        <v>6848.2142857142853</v>
      </c>
    </row>
    <row r="80" spans="3:8" x14ac:dyDescent="0.2">
      <c r="C80">
        <f t="shared" si="8"/>
        <v>2.816901408450704</v>
      </c>
      <c r="D80">
        <f t="shared" si="9"/>
        <v>1775</v>
      </c>
      <c r="E80" s="3">
        <v>3550</v>
      </c>
      <c r="F80">
        <f t="shared" si="5"/>
        <v>281.6901408450704</v>
      </c>
      <c r="G80">
        <f t="shared" si="6"/>
        <v>6656.25</v>
      </c>
      <c r="H80">
        <f t="shared" si="7"/>
        <v>6937.9401408450703</v>
      </c>
    </row>
    <row r="81" spans="3:8" x14ac:dyDescent="0.2">
      <c r="C81">
        <f t="shared" si="8"/>
        <v>2.7777777777777777</v>
      </c>
      <c r="D81">
        <f t="shared" si="9"/>
        <v>1800</v>
      </c>
      <c r="E81" s="3">
        <v>3600</v>
      </c>
      <c r="F81">
        <f t="shared" si="5"/>
        <v>277.77777777777777</v>
      </c>
      <c r="G81">
        <f t="shared" si="6"/>
        <v>6750</v>
      </c>
      <c r="H81">
        <f t="shared" si="7"/>
        <v>7027.7777777777774</v>
      </c>
    </row>
    <row r="82" spans="3:8" x14ac:dyDescent="0.2">
      <c r="C82">
        <f t="shared" si="8"/>
        <v>2.7397260273972601</v>
      </c>
      <c r="D82">
        <f t="shared" si="9"/>
        <v>1825</v>
      </c>
      <c r="E82" s="3">
        <v>3650</v>
      </c>
      <c r="F82">
        <f t="shared" si="5"/>
        <v>273.97260273972603</v>
      </c>
      <c r="G82">
        <f t="shared" si="6"/>
        <v>6843.75</v>
      </c>
      <c r="H82">
        <f t="shared" si="7"/>
        <v>7117.7226027397264</v>
      </c>
    </row>
    <row r="83" spans="3:8" x14ac:dyDescent="0.2">
      <c r="C83">
        <f t="shared" si="8"/>
        <v>2.7027027027027026</v>
      </c>
      <c r="D83">
        <f t="shared" si="9"/>
        <v>1850</v>
      </c>
      <c r="E83" s="3">
        <v>3700</v>
      </c>
      <c r="F83">
        <f t="shared" si="5"/>
        <v>270.27027027027026</v>
      </c>
      <c r="G83">
        <f t="shared" si="6"/>
        <v>6937.5</v>
      </c>
      <c r="H83">
        <f t="shared" si="7"/>
        <v>7207.77027027027</v>
      </c>
    </row>
    <row r="84" spans="3:8" x14ac:dyDescent="0.2">
      <c r="C84">
        <f t="shared" si="8"/>
        <v>2.6666666666666665</v>
      </c>
      <c r="D84">
        <f t="shared" si="9"/>
        <v>1875</v>
      </c>
      <c r="E84" s="3">
        <v>3750</v>
      </c>
      <c r="F84">
        <f t="shared" si="5"/>
        <v>266.66666666666663</v>
      </c>
      <c r="G84">
        <f t="shared" si="6"/>
        <v>7031.25</v>
      </c>
      <c r="H84">
        <f t="shared" si="7"/>
        <v>7297.916666666667</v>
      </c>
    </row>
    <row r="85" spans="3:8" x14ac:dyDescent="0.2">
      <c r="C85">
        <f t="shared" si="8"/>
        <v>2.6315789473684212</v>
      </c>
      <c r="D85">
        <f t="shared" si="9"/>
        <v>1900</v>
      </c>
      <c r="E85" s="3">
        <v>3800</v>
      </c>
      <c r="F85">
        <f t="shared" si="5"/>
        <v>263.15789473684214</v>
      </c>
      <c r="G85">
        <f t="shared" si="6"/>
        <v>7125</v>
      </c>
      <c r="H85">
        <f t="shared" si="7"/>
        <v>7388.1578947368425</v>
      </c>
    </row>
    <row r="86" spans="3:8" x14ac:dyDescent="0.2">
      <c r="C86">
        <f t="shared" si="8"/>
        <v>2.5974025974025974</v>
      </c>
      <c r="D86">
        <f t="shared" si="9"/>
        <v>1925</v>
      </c>
      <c r="E86" s="3">
        <v>3850</v>
      </c>
      <c r="F86">
        <f t="shared" si="5"/>
        <v>259.74025974025972</v>
      </c>
      <c r="G86">
        <f t="shared" si="6"/>
        <v>7218.75</v>
      </c>
      <c r="H86">
        <f t="shared" si="7"/>
        <v>7478.4902597402597</v>
      </c>
    </row>
    <row r="87" spans="3:8" x14ac:dyDescent="0.2">
      <c r="C87">
        <f t="shared" si="8"/>
        <v>2.5641025641025643</v>
      </c>
      <c r="D87">
        <f t="shared" si="9"/>
        <v>1950</v>
      </c>
      <c r="E87" s="3">
        <v>3900</v>
      </c>
      <c r="F87">
        <f t="shared" si="5"/>
        <v>256.41025641025641</v>
      </c>
      <c r="G87">
        <f t="shared" si="6"/>
        <v>7312.5</v>
      </c>
      <c r="H87">
        <f t="shared" si="7"/>
        <v>7568.9102564102568</v>
      </c>
    </row>
    <row r="88" spans="3:8" x14ac:dyDescent="0.2">
      <c r="C88">
        <f t="shared" si="8"/>
        <v>2.5316455696202533</v>
      </c>
      <c r="D88">
        <f t="shared" si="9"/>
        <v>1975</v>
      </c>
      <c r="E88" s="3">
        <v>3950</v>
      </c>
      <c r="F88">
        <f t="shared" si="5"/>
        <v>253.16455696202533</v>
      </c>
      <c r="G88">
        <f t="shared" si="6"/>
        <v>7406.25</v>
      </c>
      <c r="H88">
        <f t="shared" si="7"/>
        <v>7659.414556962025</v>
      </c>
    </row>
    <row r="89" spans="3:8" x14ac:dyDescent="0.2">
      <c r="C89">
        <f t="shared" si="8"/>
        <v>2.5</v>
      </c>
      <c r="D89">
        <f t="shared" si="9"/>
        <v>2000</v>
      </c>
      <c r="E89" s="3">
        <v>4000</v>
      </c>
      <c r="F89">
        <f t="shared" si="5"/>
        <v>250</v>
      </c>
      <c r="G89">
        <f t="shared" si="6"/>
        <v>7500</v>
      </c>
      <c r="H89">
        <f t="shared" si="7"/>
        <v>7750</v>
      </c>
    </row>
    <row r="90" spans="3:8" x14ac:dyDescent="0.2">
      <c r="C90">
        <f t="shared" si="8"/>
        <v>2.4691358024691357</v>
      </c>
      <c r="D90">
        <f t="shared" si="9"/>
        <v>2025</v>
      </c>
      <c r="E90" s="3">
        <v>4050</v>
      </c>
      <c r="F90">
        <f t="shared" si="5"/>
        <v>246.91358024691357</v>
      </c>
      <c r="G90">
        <f t="shared" si="6"/>
        <v>7593.75</v>
      </c>
      <c r="H90">
        <f t="shared" si="7"/>
        <v>7840.6635802469136</v>
      </c>
    </row>
    <row r="91" spans="3:8" x14ac:dyDescent="0.2">
      <c r="C91">
        <f t="shared" si="8"/>
        <v>2.4390243902439024</v>
      </c>
      <c r="D91">
        <f t="shared" si="9"/>
        <v>2050</v>
      </c>
      <c r="E91" s="3">
        <v>4100</v>
      </c>
      <c r="F91">
        <f t="shared" si="5"/>
        <v>243.90243902439025</v>
      </c>
      <c r="G91">
        <f t="shared" si="6"/>
        <v>7687.5</v>
      </c>
      <c r="H91">
        <f t="shared" si="7"/>
        <v>7931.4024390243903</v>
      </c>
    </row>
    <row r="92" spans="3:8" x14ac:dyDescent="0.2">
      <c r="C92">
        <f t="shared" si="8"/>
        <v>2.4096385542168677</v>
      </c>
      <c r="D92">
        <f t="shared" si="9"/>
        <v>2075</v>
      </c>
      <c r="E92" s="3">
        <v>4150</v>
      </c>
      <c r="F92">
        <f t="shared" si="5"/>
        <v>240.96385542168676</v>
      </c>
      <c r="G92">
        <f t="shared" si="6"/>
        <v>7781.25</v>
      </c>
      <c r="H92">
        <f t="shared" si="7"/>
        <v>8022.2138554216872</v>
      </c>
    </row>
    <row r="93" spans="3:8" x14ac:dyDescent="0.2">
      <c r="C93">
        <f t="shared" si="8"/>
        <v>2.3809523809523809</v>
      </c>
      <c r="D93">
        <f t="shared" si="9"/>
        <v>2100</v>
      </c>
      <c r="E93" s="3">
        <v>4200</v>
      </c>
      <c r="F93">
        <f t="shared" si="5"/>
        <v>238.0952380952381</v>
      </c>
      <c r="G93">
        <f t="shared" si="6"/>
        <v>7875</v>
      </c>
      <c r="H93">
        <f t="shared" si="7"/>
        <v>8113.0952380952385</v>
      </c>
    </row>
    <row r="94" spans="3:8" x14ac:dyDescent="0.2">
      <c r="C94">
        <f t="shared" si="8"/>
        <v>2.3529411764705883</v>
      </c>
      <c r="D94">
        <f t="shared" si="9"/>
        <v>2125</v>
      </c>
      <c r="E94" s="3">
        <v>4250</v>
      </c>
      <c r="F94">
        <f t="shared" si="5"/>
        <v>235.29411764705884</v>
      </c>
      <c r="G94">
        <f t="shared" si="6"/>
        <v>7968.75</v>
      </c>
      <c r="H94">
        <f t="shared" si="7"/>
        <v>8204.0441176470595</v>
      </c>
    </row>
    <row r="95" spans="3:8" x14ac:dyDescent="0.2">
      <c r="C95">
        <f t="shared" si="8"/>
        <v>2.3255813953488373</v>
      </c>
      <c r="D95">
        <f t="shared" si="9"/>
        <v>2150</v>
      </c>
      <c r="E95" s="3">
        <v>4300</v>
      </c>
      <c r="F95">
        <f t="shared" si="5"/>
        <v>232.55813953488374</v>
      </c>
      <c r="G95">
        <f t="shared" si="6"/>
        <v>8062.5</v>
      </c>
      <c r="H95">
        <f t="shared" si="7"/>
        <v>8295.0581395348836</v>
      </c>
    </row>
    <row r="96" spans="3:8" x14ac:dyDescent="0.2">
      <c r="C96">
        <f t="shared" si="8"/>
        <v>2.2988505747126435</v>
      </c>
      <c r="D96">
        <f t="shared" si="9"/>
        <v>2175</v>
      </c>
      <c r="E96" s="3">
        <v>4350</v>
      </c>
      <c r="F96">
        <f t="shared" si="5"/>
        <v>229.88505747126436</v>
      </c>
      <c r="G96">
        <f t="shared" si="6"/>
        <v>8156.25</v>
      </c>
      <c r="H96">
        <f t="shared" si="7"/>
        <v>8386.1350574712651</v>
      </c>
    </row>
    <row r="97" spans="3:8" x14ac:dyDescent="0.2">
      <c r="C97">
        <f t="shared" si="8"/>
        <v>2.2727272727272729</v>
      </c>
      <c r="D97">
        <f t="shared" si="9"/>
        <v>2200</v>
      </c>
      <c r="E97" s="3">
        <v>4400</v>
      </c>
      <c r="F97">
        <f t="shared" si="5"/>
        <v>227.27272727272728</v>
      </c>
      <c r="G97">
        <f t="shared" si="6"/>
        <v>8250</v>
      </c>
      <c r="H97">
        <f t="shared" si="7"/>
        <v>8477.2727272727279</v>
      </c>
    </row>
    <row r="98" spans="3:8" x14ac:dyDescent="0.2">
      <c r="C98">
        <f t="shared" si="8"/>
        <v>2.2471910112359552</v>
      </c>
      <c r="D98">
        <f t="shared" si="9"/>
        <v>2225</v>
      </c>
      <c r="E98" s="3">
        <v>4450</v>
      </c>
      <c r="F98">
        <f t="shared" si="5"/>
        <v>224.71910112359552</v>
      </c>
      <c r="G98">
        <f t="shared" si="6"/>
        <v>8343.75</v>
      </c>
      <c r="H98">
        <f t="shared" si="7"/>
        <v>8568.4691011235955</v>
      </c>
    </row>
    <row r="99" spans="3:8" x14ac:dyDescent="0.2">
      <c r="C99">
        <f t="shared" si="8"/>
        <v>2.2222222222222223</v>
      </c>
      <c r="D99">
        <f t="shared" si="9"/>
        <v>2250</v>
      </c>
      <c r="E99" s="3">
        <v>4500</v>
      </c>
      <c r="F99">
        <f t="shared" si="5"/>
        <v>222.22222222222223</v>
      </c>
      <c r="G99">
        <f t="shared" si="6"/>
        <v>8437.5</v>
      </c>
      <c r="H99">
        <f t="shared" si="7"/>
        <v>8659.7222222222226</v>
      </c>
    </row>
    <row r="100" spans="3:8" x14ac:dyDescent="0.2">
      <c r="C100">
        <f t="shared" si="8"/>
        <v>2.197802197802198</v>
      </c>
      <c r="D100">
        <f t="shared" si="9"/>
        <v>2275</v>
      </c>
      <c r="E100" s="3">
        <v>4550</v>
      </c>
      <c r="F100">
        <f t="shared" si="5"/>
        <v>219.7802197802198</v>
      </c>
      <c r="G100">
        <f t="shared" si="6"/>
        <v>8531.25</v>
      </c>
      <c r="H100">
        <f t="shared" si="7"/>
        <v>8751.0302197802193</v>
      </c>
    </row>
    <row r="101" spans="3:8" x14ac:dyDescent="0.2">
      <c r="C101">
        <f t="shared" si="8"/>
        <v>2.1739130434782608</v>
      </c>
      <c r="D101">
        <f t="shared" si="9"/>
        <v>2300</v>
      </c>
      <c r="E101" s="3">
        <v>4600</v>
      </c>
      <c r="F101">
        <f t="shared" si="5"/>
        <v>217.39130434782606</v>
      </c>
      <c r="G101">
        <f t="shared" si="6"/>
        <v>8625</v>
      </c>
      <c r="H101">
        <f t="shared" si="7"/>
        <v>8842.391304347826</v>
      </c>
    </row>
    <row r="102" spans="3:8" x14ac:dyDescent="0.2">
      <c r="C102">
        <f t="shared" si="8"/>
        <v>2.150537634408602</v>
      </c>
      <c r="D102">
        <f t="shared" si="9"/>
        <v>2325</v>
      </c>
      <c r="E102" s="3">
        <v>4650</v>
      </c>
      <c r="F102">
        <f t="shared" si="5"/>
        <v>215.05376344086019</v>
      </c>
      <c r="G102">
        <f t="shared" si="6"/>
        <v>8718.75</v>
      </c>
      <c r="H102">
        <f t="shared" si="7"/>
        <v>8933.8037634408611</v>
      </c>
    </row>
    <row r="103" spans="3:8" x14ac:dyDescent="0.2">
      <c r="C103">
        <f t="shared" si="8"/>
        <v>2.1276595744680851</v>
      </c>
      <c r="D103">
        <f t="shared" si="9"/>
        <v>2350</v>
      </c>
      <c r="E103" s="3">
        <v>4700</v>
      </c>
      <c r="F103">
        <f t="shared" si="5"/>
        <v>212.7659574468085</v>
      </c>
      <c r="G103">
        <f t="shared" si="6"/>
        <v>8812.5</v>
      </c>
      <c r="H103">
        <f t="shared" si="7"/>
        <v>9025.2659574468089</v>
      </c>
    </row>
    <row r="104" spans="3:8" x14ac:dyDescent="0.2">
      <c r="C104">
        <f t="shared" si="8"/>
        <v>2.1052631578947367</v>
      </c>
      <c r="D104">
        <f t="shared" si="9"/>
        <v>2375</v>
      </c>
      <c r="E104" s="3">
        <v>4750</v>
      </c>
      <c r="F104">
        <f t="shared" si="5"/>
        <v>210.52631578947367</v>
      </c>
      <c r="G104">
        <f t="shared" si="6"/>
        <v>8906.25</v>
      </c>
      <c r="H104">
        <f t="shared" si="7"/>
        <v>9116.7763157894733</v>
      </c>
    </row>
    <row r="105" spans="3:8" x14ac:dyDescent="0.2">
      <c r="C105">
        <f t="shared" si="8"/>
        <v>2.0833333333333335</v>
      </c>
      <c r="D105">
        <f t="shared" si="9"/>
        <v>2400</v>
      </c>
      <c r="E105" s="3">
        <v>4800</v>
      </c>
      <c r="F105">
        <f t="shared" si="5"/>
        <v>208.33333333333334</v>
      </c>
      <c r="G105">
        <f t="shared" si="6"/>
        <v>9000</v>
      </c>
      <c r="H105">
        <f t="shared" si="7"/>
        <v>9208.3333333333339</v>
      </c>
    </row>
    <row r="106" spans="3:8" x14ac:dyDescent="0.2">
      <c r="C106">
        <f t="shared" si="8"/>
        <v>2.0618556701030926</v>
      </c>
      <c r="D106">
        <f t="shared" si="9"/>
        <v>2425</v>
      </c>
      <c r="E106" s="3">
        <v>4850</v>
      </c>
      <c r="F106">
        <f t="shared" si="5"/>
        <v>206.18556701030926</v>
      </c>
      <c r="G106">
        <f t="shared" si="6"/>
        <v>9093.75</v>
      </c>
      <c r="H106">
        <f t="shared" si="7"/>
        <v>9299.9355670103087</v>
      </c>
    </row>
    <row r="107" spans="3:8" x14ac:dyDescent="0.2">
      <c r="C107">
        <f t="shared" si="8"/>
        <v>2.0408163265306123</v>
      </c>
      <c r="D107">
        <f t="shared" si="9"/>
        <v>2450</v>
      </c>
      <c r="E107" s="3">
        <v>4900</v>
      </c>
      <c r="F107">
        <f t="shared" si="5"/>
        <v>204.08163265306123</v>
      </c>
      <c r="G107">
        <f t="shared" si="6"/>
        <v>9187.5</v>
      </c>
      <c r="H107">
        <f t="shared" si="7"/>
        <v>9391.5816326530621</v>
      </c>
    </row>
    <row r="108" spans="3:8" x14ac:dyDescent="0.2">
      <c r="C108">
        <f t="shared" si="8"/>
        <v>2.0202020202020203</v>
      </c>
      <c r="D108">
        <f t="shared" si="9"/>
        <v>2475</v>
      </c>
      <c r="E108" s="3">
        <v>4950</v>
      </c>
      <c r="F108">
        <f t="shared" si="5"/>
        <v>202.02020202020202</v>
      </c>
      <c r="G108">
        <f t="shared" si="6"/>
        <v>9281.25</v>
      </c>
      <c r="H108">
        <f t="shared" si="7"/>
        <v>9483.2702020202014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0"/>
  <sheetViews>
    <sheetView tabSelected="1" zoomScale="140" zoomScaleNormal="140" zoomScalePageLayoutView="150" workbookViewId="0">
      <selection activeCell="F3" sqref="F3"/>
    </sheetView>
  </sheetViews>
  <sheetFormatPr baseColWidth="10" defaultRowHeight="16" x14ac:dyDescent="0.2"/>
  <cols>
    <col min="1" max="1" width="31.6640625" bestFit="1" customWidth="1"/>
    <col min="2" max="2" width="12.83203125" bestFit="1" customWidth="1"/>
    <col min="3" max="3" width="12.33203125" bestFit="1" customWidth="1"/>
    <col min="4" max="4" width="21" bestFit="1" customWidth="1"/>
  </cols>
  <sheetData>
    <row r="1" spans="1:4" x14ac:dyDescent="0.2">
      <c r="A1" s="1" t="s">
        <v>0</v>
      </c>
    </row>
    <row r="2" spans="1:4" x14ac:dyDescent="0.2">
      <c r="A2" t="s">
        <v>49</v>
      </c>
      <c r="B2">
        <v>2500</v>
      </c>
      <c r="C2" t="s">
        <v>1</v>
      </c>
    </row>
    <row r="3" spans="1:4" x14ac:dyDescent="0.2">
      <c r="A3" t="s">
        <v>51</v>
      </c>
      <c r="B3">
        <v>10000</v>
      </c>
      <c r="C3" t="s">
        <v>1</v>
      </c>
      <c r="D3" t="str">
        <f>IF(B2&gt;=B3, "Infeasible production rate", "Production rate feasible")</f>
        <v>Production rate feasible</v>
      </c>
    </row>
    <row r="4" spans="1:4" x14ac:dyDescent="0.2">
      <c r="A4" t="s">
        <v>7</v>
      </c>
      <c r="B4">
        <v>2</v>
      </c>
      <c r="C4" t="s">
        <v>3</v>
      </c>
    </row>
    <row r="5" spans="1:4" x14ac:dyDescent="0.2">
      <c r="A5" t="s">
        <v>6</v>
      </c>
      <c r="B5">
        <v>0.3</v>
      </c>
      <c r="C5" t="s">
        <v>4</v>
      </c>
    </row>
    <row r="6" spans="1:4" x14ac:dyDescent="0.2">
      <c r="A6" t="s">
        <v>52</v>
      </c>
      <c r="B6">
        <v>50</v>
      </c>
      <c r="C6" t="s">
        <v>9</v>
      </c>
    </row>
    <row r="7" spans="1:4" x14ac:dyDescent="0.2">
      <c r="A7" t="s">
        <v>10</v>
      </c>
      <c r="B7">
        <f>B4*B5</f>
        <v>0.6</v>
      </c>
      <c r="C7" t="s">
        <v>11</v>
      </c>
    </row>
    <row r="9" spans="1:4" x14ac:dyDescent="0.2">
      <c r="A9" s="1" t="s">
        <v>60</v>
      </c>
    </row>
    <row r="10" spans="1:4" x14ac:dyDescent="0.2">
      <c r="A10" t="s">
        <v>59</v>
      </c>
      <c r="B10">
        <f>B2/B3</f>
        <v>0.25</v>
      </c>
    </row>
    <row r="11" spans="1:4" x14ac:dyDescent="0.2">
      <c r="A11" t="s">
        <v>58</v>
      </c>
      <c r="B11">
        <f>1-B10</f>
        <v>0.75</v>
      </c>
    </row>
    <row r="12" spans="1:4" x14ac:dyDescent="0.2">
      <c r="A12" t="s">
        <v>62</v>
      </c>
      <c r="B12">
        <f>B7*B11</f>
        <v>0.44999999999999996</v>
      </c>
    </row>
    <row r="14" spans="1:4" x14ac:dyDescent="0.2">
      <c r="A14" s="1" t="s">
        <v>37</v>
      </c>
    </row>
    <row r="15" spans="1:4" x14ac:dyDescent="0.2">
      <c r="A15" t="s">
        <v>61</v>
      </c>
      <c r="B15">
        <f>B30</f>
        <v>745.35599249992993</v>
      </c>
      <c r="C15" t="s">
        <v>17</v>
      </c>
      <c r="D15">
        <f>ROUNDUP(B15,0)</f>
        <v>746</v>
      </c>
    </row>
    <row r="16" spans="1:4" x14ac:dyDescent="0.2">
      <c r="A16" t="s">
        <v>25</v>
      </c>
      <c r="B16">
        <f>1/B20</f>
        <v>0.29814239699997197</v>
      </c>
      <c r="C16" t="s">
        <v>35</v>
      </c>
    </row>
    <row r="17" spans="1:4" x14ac:dyDescent="0.2">
      <c r="A17" t="s">
        <v>54</v>
      </c>
      <c r="B17">
        <f>B15/B3</f>
        <v>7.4535599249992993E-2</v>
      </c>
      <c r="C17" t="s">
        <v>35</v>
      </c>
    </row>
    <row r="18" spans="1:4" x14ac:dyDescent="0.2">
      <c r="A18" t="s">
        <v>55</v>
      </c>
      <c r="B18">
        <f>B16-B17</f>
        <v>0.22360679774997899</v>
      </c>
      <c r="C18" t="s">
        <v>35</v>
      </c>
    </row>
    <row r="19" spans="1:4" x14ac:dyDescent="0.2">
      <c r="A19" t="s">
        <v>53</v>
      </c>
      <c r="B19">
        <f>B15*B11</f>
        <v>559.01699437494744</v>
      </c>
      <c r="C19" t="s">
        <v>17</v>
      </c>
    </row>
    <row r="20" spans="1:4" x14ac:dyDescent="0.2">
      <c r="A20" t="s">
        <v>14</v>
      </c>
      <c r="B20">
        <f>B2/B15</f>
        <v>3.3541019662496843</v>
      </c>
      <c r="C20" t="s">
        <v>18</v>
      </c>
    </row>
    <row r="21" spans="1:4" x14ac:dyDescent="0.2">
      <c r="A21" t="s">
        <v>23</v>
      </c>
      <c r="B21">
        <f>B19/2</f>
        <v>279.50849718747372</v>
      </c>
      <c r="C21" t="s">
        <v>17</v>
      </c>
    </row>
    <row r="22" spans="1:4" x14ac:dyDescent="0.2">
      <c r="A22" t="s">
        <v>20</v>
      </c>
      <c r="B22" s="4">
        <f>B20*B6</f>
        <v>167.70509831248421</v>
      </c>
      <c r="C22" t="s">
        <v>19</v>
      </c>
    </row>
    <row r="23" spans="1:4" x14ac:dyDescent="0.2">
      <c r="A23" t="s">
        <v>22</v>
      </c>
      <c r="B23" s="4">
        <f>B7*B21</f>
        <v>167.70509831248424</v>
      </c>
      <c r="C23" t="s">
        <v>19</v>
      </c>
    </row>
    <row r="24" spans="1:4" x14ac:dyDescent="0.2">
      <c r="A24" t="s">
        <v>50</v>
      </c>
      <c r="B24" s="4">
        <f>B22+B23</f>
        <v>335.41019662496842</v>
      </c>
      <c r="C24" t="s">
        <v>19</v>
      </c>
    </row>
    <row r="25" spans="1:4" x14ac:dyDescent="0.2">
      <c r="A25" t="s">
        <v>45</v>
      </c>
      <c r="B25">
        <f>(B24/B40)</f>
        <v>1</v>
      </c>
    </row>
    <row r="26" spans="1:4" x14ac:dyDescent="0.2">
      <c r="A26" t="s">
        <v>46</v>
      </c>
      <c r="B26">
        <f>B24-B40</f>
        <v>0</v>
      </c>
      <c r="C26" t="s">
        <v>47</v>
      </c>
    </row>
    <row r="27" spans="1:4" x14ac:dyDescent="0.2">
      <c r="A27" t="s">
        <v>48</v>
      </c>
      <c r="B27">
        <f>B26/B40</f>
        <v>0</v>
      </c>
    </row>
    <row r="29" spans="1:4" x14ac:dyDescent="0.2">
      <c r="A29" s="1" t="s">
        <v>56</v>
      </c>
      <c r="D29" t="s">
        <v>13</v>
      </c>
    </row>
    <row r="30" spans="1:4" x14ac:dyDescent="0.2">
      <c r="A30" t="s">
        <v>57</v>
      </c>
      <c r="B30">
        <f>SQRT(2*B6*B2/B12)</f>
        <v>745.35599249992993</v>
      </c>
      <c r="C30" t="s">
        <v>17</v>
      </c>
      <c r="D30">
        <f>ROUNDUP(B30,0)</f>
        <v>746</v>
      </c>
    </row>
    <row r="31" spans="1:4" x14ac:dyDescent="0.2">
      <c r="A31" t="s">
        <v>36</v>
      </c>
      <c r="B31">
        <f>SQRT(2*B6*B2*B12)</f>
        <v>335.41019662496842</v>
      </c>
      <c r="C31" t="s">
        <v>19</v>
      </c>
    </row>
    <row r="32" spans="1:4" x14ac:dyDescent="0.2">
      <c r="A32" t="s">
        <v>25</v>
      </c>
      <c r="B32">
        <f>B30/B2</f>
        <v>0.29814239699997197</v>
      </c>
      <c r="C32" t="s">
        <v>35</v>
      </c>
    </row>
    <row r="33" spans="1:3" x14ac:dyDescent="0.2">
      <c r="A33" t="s">
        <v>54</v>
      </c>
      <c r="B33">
        <f>B30/B3</f>
        <v>7.4535599249992993E-2</v>
      </c>
      <c r="C33" t="s">
        <v>18</v>
      </c>
    </row>
    <row r="34" spans="1:3" x14ac:dyDescent="0.2">
      <c r="A34" t="s">
        <v>55</v>
      </c>
      <c r="B34">
        <f>B32-B33</f>
        <v>0.22360679774997899</v>
      </c>
      <c r="C34" t="s">
        <v>35</v>
      </c>
    </row>
    <row r="35" spans="1:3" x14ac:dyDescent="0.2">
      <c r="A35" t="s">
        <v>53</v>
      </c>
      <c r="B35">
        <f>B30*B11</f>
        <v>559.01699437494744</v>
      </c>
      <c r="C35" t="s">
        <v>17</v>
      </c>
    </row>
    <row r="36" spans="1:3" x14ac:dyDescent="0.2">
      <c r="A36" t="s">
        <v>14</v>
      </c>
      <c r="B36">
        <f>1/B32</f>
        <v>3.3541019662496843</v>
      </c>
      <c r="C36" t="s">
        <v>17</v>
      </c>
    </row>
    <row r="37" spans="1:3" x14ac:dyDescent="0.2">
      <c r="A37" t="s">
        <v>23</v>
      </c>
      <c r="B37">
        <f>B35/2</f>
        <v>279.50849718747372</v>
      </c>
      <c r="C37" t="s">
        <v>19</v>
      </c>
    </row>
    <row r="38" spans="1:3" x14ac:dyDescent="0.2">
      <c r="A38" t="s">
        <v>20</v>
      </c>
      <c r="B38" s="4">
        <f>B36*B6</f>
        <v>167.70509831248421</v>
      </c>
      <c r="C38" t="s">
        <v>19</v>
      </c>
    </row>
    <row r="39" spans="1:3" x14ac:dyDescent="0.2">
      <c r="A39" t="s">
        <v>22</v>
      </c>
      <c r="B39" s="4">
        <f>B37*B7</f>
        <v>167.70509831248424</v>
      </c>
      <c r="C39" t="s">
        <v>19</v>
      </c>
    </row>
    <row r="40" spans="1:3" x14ac:dyDescent="0.2">
      <c r="A40" t="s">
        <v>50</v>
      </c>
      <c r="B40" s="4">
        <f>B38+B39</f>
        <v>335.41019662496842</v>
      </c>
    </row>
  </sheetData>
  <pageMargins left="0.75" right="0.75" top="1" bottom="1" header="0.5" footer="0.5"/>
  <pageSetup orientation="portrait" horizontalDpi="4294967292" verticalDpi="4294967292"/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9"/>
  <sheetViews>
    <sheetView zoomScale="150" zoomScaleNormal="150" zoomScalePageLayoutView="150" workbookViewId="0">
      <selection activeCell="O1" sqref="O1"/>
    </sheetView>
  </sheetViews>
  <sheetFormatPr baseColWidth="10" defaultRowHeight="16" x14ac:dyDescent="0.2"/>
  <cols>
    <col min="1" max="1" width="29.6640625" customWidth="1"/>
    <col min="4" max="4" width="7.33203125" customWidth="1"/>
    <col min="5" max="6" width="10.5" customWidth="1"/>
    <col min="7" max="7" width="7.6640625" customWidth="1"/>
    <col min="11" max="11" width="14" bestFit="1" customWidth="1"/>
  </cols>
  <sheetData>
    <row r="1" spans="1:11" x14ac:dyDescent="0.2">
      <c r="A1" s="1" t="s">
        <v>0</v>
      </c>
    </row>
    <row r="2" spans="1:11" x14ac:dyDescent="0.2">
      <c r="A2" t="s">
        <v>49</v>
      </c>
      <c r="B2">
        <v>600</v>
      </c>
      <c r="C2" t="s">
        <v>1</v>
      </c>
      <c r="E2" s="1" t="s">
        <v>63</v>
      </c>
      <c r="F2" s="1"/>
      <c r="G2" s="1"/>
      <c r="H2" s="1"/>
      <c r="I2" s="1"/>
      <c r="J2" s="1"/>
      <c r="K2" s="1"/>
    </row>
    <row r="3" spans="1:11" x14ac:dyDescent="0.2">
      <c r="A3" t="s">
        <v>6</v>
      </c>
      <c r="B3">
        <v>0.2</v>
      </c>
      <c r="C3" t="s">
        <v>4</v>
      </c>
      <c r="E3" s="1" t="s">
        <v>64</v>
      </c>
      <c r="F3" s="1" t="s">
        <v>65</v>
      </c>
      <c r="G3" s="1" t="s">
        <v>69</v>
      </c>
      <c r="H3" s="1" t="s">
        <v>66</v>
      </c>
      <c r="I3" s="1" t="s">
        <v>67</v>
      </c>
      <c r="J3" s="1" t="s">
        <v>68</v>
      </c>
      <c r="K3" s="1" t="s">
        <v>70</v>
      </c>
    </row>
    <row r="4" spans="1:11" x14ac:dyDescent="0.2">
      <c r="A4" t="s">
        <v>8</v>
      </c>
      <c r="B4">
        <v>8</v>
      </c>
      <c r="C4" t="s">
        <v>9</v>
      </c>
      <c r="D4">
        <v>1</v>
      </c>
      <c r="E4">
        <v>1</v>
      </c>
      <c r="F4">
        <v>500</v>
      </c>
      <c r="G4">
        <v>0.3</v>
      </c>
      <c r="H4">
        <f>SQRT(2*$B$4*$B$2/($B$3*G4))</f>
        <v>400</v>
      </c>
      <c r="I4">
        <f>$B$2*G4+SQRT(2*$B$4*$B$2*$B$3*G4)</f>
        <v>204</v>
      </c>
      <c r="J4" t="str">
        <f>IF(AND(E4&lt;=H4,H4&lt;=F4),"Yes", "No")</f>
        <v>Yes</v>
      </c>
      <c r="K4">
        <f>$B$2*G4+$B$2*$B$4/E4+$B$3*G4*E4/2</f>
        <v>4980.03</v>
      </c>
    </row>
    <row r="5" spans="1:11" x14ac:dyDescent="0.2">
      <c r="D5">
        <v>2</v>
      </c>
      <c r="E5">
        <v>500</v>
      </c>
      <c r="F5">
        <v>1000</v>
      </c>
      <c r="G5">
        <v>0.28999999999999998</v>
      </c>
      <c r="H5">
        <f t="shared" ref="H5:H6" si="0">SQRT(2*$B$4*$B$2/($B$3*G5))</f>
        <v>406.83810217248623</v>
      </c>
      <c r="I5">
        <f t="shared" ref="I5:I6" si="1">$B$2*G5+SQRT(2*$B$4*$B$2*$B$3*G5)</f>
        <v>197.59660992600419</v>
      </c>
      <c r="J5" t="str">
        <f t="shared" ref="J5:J6" si="2">IF(AND(E5&lt;=H5,H5&lt;=F5),"Yes", "No")</f>
        <v>No</v>
      </c>
      <c r="K5">
        <f t="shared" ref="K5:K6" si="3">$B$2*G5+$B$2*$B$4/E5+$B$3*G5*E5/2</f>
        <v>198.1</v>
      </c>
    </row>
    <row r="6" spans="1:11" x14ac:dyDescent="0.2">
      <c r="D6">
        <v>3</v>
      </c>
      <c r="E6">
        <v>1000</v>
      </c>
      <c r="F6">
        <v>100000</v>
      </c>
      <c r="G6">
        <v>0.28000000000000003</v>
      </c>
      <c r="H6">
        <f t="shared" si="0"/>
        <v>414.03933560541248</v>
      </c>
      <c r="I6">
        <f t="shared" si="1"/>
        <v>191.18620279390313</v>
      </c>
      <c r="J6" t="str">
        <f t="shared" si="2"/>
        <v>No</v>
      </c>
      <c r="K6">
        <f t="shared" si="3"/>
        <v>200.80000000000004</v>
      </c>
    </row>
    <row r="8" spans="1:11" x14ac:dyDescent="0.2">
      <c r="A8" s="1" t="s">
        <v>37</v>
      </c>
    </row>
    <row r="9" spans="1:11" x14ac:dyDescent="0.2">
      <c r="A9" t="s">
        <v>16</v>
      </c>
      <c r="B9">
        <v>500.00308716259582</v>
      </c>
      <c r="C9" t="s">
        <v>17</v>
      </c>
    </row>
    <row r="10" spans="1:11" ht="17" customHeight="1" x14ac:dyDescent="0.2">
      <c r="A10" t="s">
        <v>2</v>
      </c>
      <c r="B10">
        <f>VLOOKUP(B9,E4:G6,3)</f>
        <v>0.28999999999999998</v>
      </c>
    </row>
    <row r="11" spans="1:11" ht="15" customHeight="1" x14ac:dyDescent="0.2">
      <c r="A11" t="s">
        <v>10</v>
      </c>
      <c r="B11">
        <f>B3*B10</f>
        <v>5.7999999999999996E-2</v>
      </c>
      <c r="C11" t="s">
        <v>11</v>
      </c>
    </row>
    <row r="12" spans="1:11" ht="14" customHeight="1" x14ac:dyDescent="0.2">
      <c r="A12" t="s">
        <v>14</v>
      </c>
      <c r="B12">
        <f>B2/B9</f>
        <v>1.1999925908555165</v>
      </c>
      <c r="C12" t="s">
        <v>18</v>
      </c>
    </row>
    <row r="13" spans="1:11" x14ac:dyDescent="0.2">
      <c r="A13" t="s">
        <v>25</v>
      </c>
      <c r="B13">
        <f>1/B12</f>
        <v>0.83333847860432642</v>
      </c>
      <c r="C13" t="s">
        <v>26</v>
      </c>
    </row>
    <row r="14" spans="1:11" x14ac:dyDescent="0.2">
      <c r="A14" t="s">
        <v>23</v>
      </c>
      <c r="B14">
        <f>B9/2</f>
        <v>250.00154358129791</v>
      </c>
      <c r="C14" t="s">
        <v>17</v>
      </c>
    </row>
    <row r="15" spans="1:11" x14ac:dyDescent="0.2">
      <c r="A15" t="s">
        <v>21</v>
      </c>
      <c r="B15" s="4">
        <f>B2*B10</f>
        <v>174</v>
      </c>
      <c r="C15" t="s">
        <v>19</v>
      </c>
    </row>
    <row r="16" spans="1:11" x14ac:dyDescent="0.2">
      <c r="A16" t="s">
        <v>20</v>
      </c>
      <c r="B16" s="4">
        <f>B4*B12</f>
        <v>9.5999407268441317</v>
      </c>
      <c r="C16" t="s">
        <v>19</v>
      </c>
    </row>
    <row r="17" spans="1:3" x14ac:dyDescent="0.2">
      <c r="A17" t="s">
        <v>22</v>
      </c>
      <c r="B17" s="4">
        <f>B11*B14</f>
        <v>14.500089527715279</v>
      </c>
      <c r="C17" t="s">
        <v>19</v>
      </c>
    </row>
    <row r="18" spans="1:3" x14ac:dyDescent="0.2">
      <c r="A18" t="s">
        <v>50</v>
      </c>
      <c r="B18" s="4">
        <f>B17+B16</f>
        <v>24.10003025455941</v>
      </c>
      <c r="C18" t="s">
        <v>19</v>
      </c>
    </row>
    <row r="19" spans="1:3" x14ac:dyDescent="0.2">
      <c r="A19" t="s">
        <v>24</v>
      </c>
      <c r="B19" s="4">
        <f>B18+B15</f>
        <v>198.10003025455941</v>
      </c>
      <c r="C19" t="s">
        <v>19</v>
      </c>
    </row>
  </sheetData>
  <pageMargins left="0.75" right="0.75" top="1" bottom="1" header="0.5" footer="0.5"/>
  <pageSetup orientation="portrait" horizontalDpi="4294967292" verticalDpi="4294967292"/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0"/>
  <sheetViews>
    <sheetView zoomScale="150" zoomScaleNormal="150" zoomScalePageLayoutView="150" workbookViewId="0">
      <selection activeCell="P15" sqref="P15"/>
    </sheetView>
  </sheetViews>
  <sheetFormatPr baseColWidth="10" defaultRowHeight="16" x14ac:dyDescent="0.2"/>
  <cols>
    <col min="1" max="1" width="29.6640625" customWidth="1"/>
    <col min="4" max="4" width="7.33203125" customWidth="1"/>
    <col min="5" max="6" width="10.5" customWidth="1"/>
    <col min="7" max="7" width="7.6640625" customWidth="1"/>
    <col min="8" max="8" width="9.5" bestFit="1" customWidth="1"/>
    <col min="12" max="12" width="14" bestFit="1" customWidth="1"/>
  </cols>
  <sheetData>
    <row r="1" spans="1:8" x14ac:dyDescent="0.2">
      <c r="A1" s="1" t="s">
        <v>0</v>
      </c>
    </row>
    <row r="2" spans="1:8" x14ac:dyDescent="0.2">
      <c r="A2" t="s">
        <v>49</v>
      </c>
      <c r="B2">
        <v>600</v>
      </c>
      <c r="C2" t="s">
        <v>1</v>
      </c>
      <c r="E2" s="1" t="s">
        <v>63</v>
      </c>
      <c r="F2" s="1"/>
      <c r="G2" s="1"/>
      <c r="H2" s="1"/>
    </row>
    <row r="3" spans="1:8" x14ac:dyDescent="0.2">
      <c r="A3" t="s">
        <v>6</v>
      </c>
      <c r="B3">
        <v>0.2</v>
      </c>
      <c r="C3" t="s">
        <v>4</v>
      </c>
      <c r="E3" s="1" t="s">
        <v>64</v>
      </c>
      <c r="F3" s="1" t="s">
        <v>65</v>
      </c>
      <c r="G3" s="1" t="s">
        <v>69</v>
      </c>
      <c r="H3" s="1" t="s">
        <v>71</v>
      </c>
    </row>
    <row r="4" spans="1:8" x14ac:dyDescent="0.2">
      <c r="A4" t="s">
        <v>8</v>
      </c>
      <c r="B4">
        <v>8</v>
      </c>
      <c r="C4" t="s">
        <v>9</v>
      </c>
      <c r="D4">
        <v>1</v>
      </c>
      <c r="E4">
        <v>1</v>
      </c>
      <c r="F4">
        <v>500</v>
      </c>
      <c r="G4">
        <v>0.3</v>
      </c>
      <c r="H4">
        <v>0</v>
      </c>
    </row>
    <row r="5" spans="1:8" x14ac:dyDescent="0.2">
      <c r="D5">
        <v>2</v>
      </c>
      <c r="E5">
        <v>500</v>
      </c>
      <c r="F5">
        <v>1000</v>
      </c>
      <c r="G5">
        <v>0.28999999999999998</v>
      </c>
      <c r="H5">
        <f>(G4-G5)*E5+H4</f>
        <v>5.0000000000000044</v>
      </c>
    </row>
    <row r="6" spans="1:8" x14ac:dyDescent="0.2">
      <c r="D6">
        <v>3</v>
      </c>
      <c r="E6">
        <v>1000</v>
      </c>
      <c r="F6">
        <v>100000</v>
      </c>
      <c r="G6">
        <v>0.28000000000000003</v>
      </c>
      <c r="H6">
        <f>(G5-G6)*E6+H5</f>
        <v>14.999999999999957</v>
      </c>
    </row>
    <row r="8" spans="1:8" x14ac:dyDescent="0.2">
      <c r="A8" s="1" t="s">
        <v>37</v>
      </c>
    </row>
    <row r="9" spans="1:8" x14ac:dyDescent="0.2">
      <c r="A9" t="s">
        <v>16</v>
      </c>
      <c r="B9">
        <v>400</v>
      </c>
      <c r="C9" t="s">
        <v>17</v>
      </c>
    </row>
    <row r="10" spans="1:8" ht="17" customHeight="1" x14ac:dyDescent="0.2">
      <c r="A10" t="s">
        <v>72</v>
      </c>
      <c r="B10">
        <f>VLOOKUP(B9,E4:H6,3)*B9+VLOOKUP(B9,E4:H6,4)</f>
        <v>120</v>
      </c>
    </row>
    <row r="11" spans="1:8" ht="17" customHeight="1" x14ac:dyDescent="0.2">
      <c r="A11" t="s">
        <v>73</v>
      </c>
      <c r="B11">
        <f>B10/B9</f>
        <v>0.3</v>
      </c>
    </row>
    <row r="12" spans="1:8" ht="15" customHeight="1" x14ac:dyDescent="0.2">
      <c r="A12" t="s">
        <v>10</v>
      </c>
      <c r="B12">
        <f>B3*B11</f>
        <v>0.06</v>
      </c>
      <c r="C12" t="s">
        <v>11</v>
      </c>
    </row>
    <row r="13" spans="1:8" ht="14" customHeight="1" x14ac:dyDescent="0.2">
      <c r="A13" t="s">
        <v>14</v>
      </c>
      <c r="B13">
        <f>B2/B9</f>
        <v>1.5</v>
      </c>
      <c r="C13" t="s">
        <v>18</v>
      </c>
    </row>
    <row r="14" spans="1:8" x14ac:dyDescent="0.2">
      <c r="A14" t="s">
        <v>25</v>
      </c>
      <c r="B14">
        <f>1/B13</f>
        <v>0.66666666666666663</v>
      </c>
      <c r="C14" t="s">
        <v>26</v>
      </c>
    </row>
    <row r="15" spans="1:8" x14ac:dyDescent="0.2">
      <c r="A15" t="s">
        <v>23</v>
      </c>
      <c r="B15">
        <f>B9/2</f>
        <v>200</v>
      </c>
      <c r="C15" t="s">
        <v>17</v>
      </c>
    </row>
    <row r="16" spans="1:8" x14ac:dyDescent="0.2">
      <c r="A16" t="s">
        <v>74</v>
      </c>
      <c r="B16" s="4">
        <f>B2*B11</f>
        <v>180</v>
      </c>
      <c r="C16" t="s">
        <v>19</v>
      </c>
    </row>
    <row r="17" spans="1:3" x14ac:dyDescent="0.2">
      <c r="A17" t="s">
        <v>20</v>
      </c>
      <c r="B17" s="4">
        <f>B4*B13</f>
        <v>12</v>
      </c>
      <c r="C17" t="s">
        <v>19</v>
      </c>
    </row>
    <row r="18" spans="1:3" x14ac:dyDescent="0.2">
      <c r="A18" t="s">
        <v>22</v>
      </c>
      <c r="B18" s="4">
        <f>B12*B15</f>
        <v>12</v>
      </c>
      <c r="C18" t="s">
        <v>19</v>
      </c>
    </row>
    <row r="19" spans="1:3" x14ac:dyDescent="0.2">
      <c r="A19" t="s">
        <v>50</v>
      </c>
      <c r="B19" s="4">
        <f>B18+B17</f>
        <v>24</v>
      </c>
      <c r="C19" t="s">
        <v>19</v>
      </c>
    </row>
    <row r="20" spans="1:3" x14ac:dyDescent="0.2">
      <c r="A20" t="s">
        <v>24</v>
      </c>
      <c r="B20" s="4">
        <f>B19+B16</f>
        <v>204</v>
      </c>
      <c r="C20" t="s">
        <v>19</v>
      </c>
    </row>
  </sheetData>
  <pageMargins left="0.75" right="0.75" top="1" bottom="1" header="0.5" footer="0.5"/>
  <pageSetup orientation="portrait" horizontalDpi="4294967292" verticalDpi="4294967292"/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5"/>
  <sheetViews>
    <sheetView zoomScale="150" zoomScaleNormal="150" zoomScalePageLayoutView="150" workbookViewId="0">
      <selection activeCell="D9" sqref="D9"/>
    </sheetView>
  </sheetViews>
  <sheetFormatPr baseColWidth="10" defaultRowHeight="16" x14ac:dyDescent="0.2"/>
  <cols>
    <col min="1" max="1" width="32.1640625" bestFit="1" customWidth="1"/>
    <col min="2" max="3" width="11.33203125" bestFit="1" customWidth="1"/>
    <col min="4" max="4" width="11" bestFit="1" customWidth="1"/>
  </cols>
  <sheetData>
    <row r="1" spans="1:4" x14ac:dyDescent="0.2">
      <c r="A1" s="1" t="s">
        <v>0</v>
      </c>
      <c r="B1" s="1" t="s">
        <v>75</v>
      </c>
      <c r="C1" s="1" t="s">
        <v>76</v>
      </c>
      <c r="D1" s="1" t="s">
        <v>77</v>
      </c>
    </row>
    <row r="2" spans="1:4" x14ac:dyDescent="0.2">
      <c r="A2" t="s">
        <v>49</v>
      </c>
      <c r="B2">
        <v>1850</v>
      </c>
      <c r="C2">
        <v>1150</v>
      </c>
      <c r="D2">
        <v>800</v>
      </c>
    </row>
    <row r="3" spans="1:4" x14ac:dyDescent="0.2">
      <c r="A3" t="s">
        <v>7</v>
      </c>
      <c r="B3">
        <v>50</v>
      </c>
      <c r="C3">
        <v>350</v>
      </c>
      <c r="D3">
        <v>85</v>
      </c>
    </row>
    <row r="4" spans="1:4" x14ac:dyDescent="0.2">
      <c r="A4" t="s">
        <v>6</v>
      </c>
      <c r="B4">
        <v>0.25</v>
      </c>
      <c r="C4">
        <v>0.25</v>
      </c>
      <c r="D4">
        <v>0.25</v>
      </c>
    </row>
    <row r="5" spans="1:4" x14ac:dyDescent="0.2">
      <c r="A5" t="s">
        <v>8</v>
      </c>
      <c r="B5">
        <v>100</v>
      </c>
      <c r="C5">
        <v>150</v>
      </c>
      <c r="D5">
        <v>50</v>
      </c>
    </row>
    <row r="6" spans="1:4" x14ac:dyDescent="0.2">
      <c r="A6" t="s">
        <v>10</v>
      </c>
      <c r="B6">
        <f>B3*B4</f>
        <v>12.5</v>
      </c>
      <c r="C6">
        <f>C3*C4</f>
        <v>87.5</v>
      </c>
      <c r="D6">
        <f>D3*D4</f>
        <v>21.25</v>
      </c>
    </row>
    <row r="8" spans="1:4" x14ac:dyDescent="0.2">
      <c r="A8" s="1" t="s">
        <v>37</v>
      </c>
    </row>
    <row r="9" spans="1:4" x14ac:dyDescent="0.2">
      <c r="A9" t="s">
        <v>16</v>
      </c>
      <c r="B9">
        <v>144.19339626956901</v>
      </c>
      <c r="C9">
        <v>52.626566804132011</v>
      </c>
      <c r="D9">
        <v>51.423903589121672</v>
      </c>
    </row>
    <row r="10" spans="1:4" x14ac:dyDescent="0.2">
      <c r="A10" t="s">
        <v>14</v>
      </c>
      <c r="B10">
        <f>B2/B9</f>
        <v>12.829991163682919</v>
      </c>
      <c r="C10">
        <f>C2/C9</f>
        <v>21.852080989438722</v>
      </c>
      <c r="D10">
        <f>D2/D9</f>
        <v>15.556967561078615</v>
      </c>
    </row>
    <row r="11" spans="1:4" x14ac:dyDescent="0.2">
      <c r="A11" t="s">
        <v>25</v>
      </c>
      <c r="B11">
        <f>1/B10</f>
        <v>7.7942376361929189E-2</v>
      </c>
      <c r="C11">
        <f>1/C10</f>
        <v>4.5762232003593049E-2</v>
      </c>
      <c r="D11">
        <f>1/D10</f>
        <v>6.4279879486402083E-2</v>
      </c>
    </row>
    <row r="12" spans="1:4" x14ac:dyDescent="0.2">
      <c r="A12" t="s">
        <v>23</v>
      </c>
      <c r="B12">
        <f>B9/2</f>
        <v>72.096698134784504</v>
      </c>
      <c r="C12">
        <f>C9/2</f>
        <v>26.313283402066006</v>
      </c>
      <c r="D12">
        <f>D9/2</f>
        <v>25.711951794560836</v>
      </c>
    </row>
    <row r="13" spans="1:4" x14ac:dyDescent="0.2">
      <c r="A13" t="s">
        <v>21</v>
      </c>
      <c r="B13" s="4">
        <f>B2*B3</f>
        <v>92500</v>
      </c>
      <c r="C13" s="4">
        <f>C2*C3</f>
        <v>402500</v>
      </c>
      <c r="D13" s="4">
        <f>D2*D3</f>
        <v>68000</v>
      </c>
    </row>
    <row r="14" spans="1:4" x14ac:dyDescent="0.2">
      <c r="A14" t="s">
        <v>20</v>
      </c>
      <c r="B14" s="4">
        <f>B10*B5</f>
        <v>1282.9991163682919</v>
      </c>
      <c r="C14" s="4">
        <f>C10*C5</f>
        <v>3277.8121484158082</v>
      </c>
      <c r="D14" s="4">
        <f>D10*D5</f>
        <v>777.84837805393079</v>
      </c>
    </row>
    <row r="15" spans="1:4" x14ac:dyDescent="0.2">
      <c r="A15" t="s">
        <v>22</v>
      </c>
      <c r="B15" s="4">
        <f>B6*B12</f>
        <v>901.20872668480627</v>
      </c>
      <c r="C15" s="4">
        <f>C6*C12</f>
        <v>2302.4122976807753</v>
      </c>
      <c r="D15" s="4">
        <f>D6*D12</f>
        <v>546.37897563441777</v>
      </c>
    </row>
    <row r="16" spans="1:4" x14ac:dyDescent="0.2">
      <c r="A16" t="s">
        <v>50</v>
      </c>
      <c r="B16" s="4">
        <f>B14+B15</f>
        <v>2184.2078430530983</v>
      </c>
      <c r="C16" s="4">
        <f>C14+C15</f>
        <v>5580.2244460965831</v>
      </c>
      <c r="D16" s="4">
        <f>D14+D15</f>
        <v>1324.2273536883486</v>
      </c>
    </row>
    <row r="17" spans="1:4" x14ac:dyDescent="0.2">
      <c r="A17" t="s">
        <v>24</v>
      </c>
      <c r="B17" s="4">
        <f>B16+B13</f>
        <v>94684.207843053096</v>
      </c>
      <c r="C17" s="4">
        <f>C16+C13</f>
        <v>408080.22444609657</v>
      </c>
      <c r="D17" s="4">
        <f>D16+D13</f>
        <v>69324.227353688344</v>
      </c>
    </row>
    <row r="18" spans="1:4" x14ac:dyDescent="0.2">
      <c r="A18" t="s">
        <v>78</v>
      </c>
      <c r="B18" s="4">
        <f>B9*B3</f>
        <v>7209.6698134784501</v>
      </c>
      <c r="C18" s="4">
        <f t="shared" ref="C18:D18" si="0">C9*C3</f>
        <v>18419.298381446202</v>
      </c>
      <c r="D18" s="4">
        <f t="shared" si="0"/>
        <v>4371.0318050753422</v>
      </c>
    </row>
    <row r="20" spans="1:4" x14ac:dyDescent="0.2">
      <c r="A20" s="1" t="s">
        <v>81</v>
      </c>
    </row>
    <row r="21" spans="1:4" x14ac:dyDescent="0.2">
      <c r="A21" t="s">
        <v>24</v>
      </c>
      <c r="B21" s="4">
        <f>SUM(B17:D17)</f>
        <v>572088.65964283806</v>
      </c>
    </row>
    <row r="22" spans="1:4" x14ac:dyDescent="0.2">
      <c r="A22" t="s">
        <v>82</v>
      </c>
      <c r="B22" s="4">
        <f>SUM(B16:D16)</f>
        <v>9088.659642838029</v>
      </c>
    </row>
    <row r="23" spans="1:4" x14ac:dyDescent="0.2">
      <c r="A23" t="s">
        <v>79</v>
      </c>
      <c r="B23" s="4">
        <f>SUM(B18:D18)</f>
        <v>29999.999999999993</v>
      </c>
    </row>
    <row r="24" spans="1:4" x14ac:dyDescent="0.2">
      <c r="A24" t="s">
        <v>80</v>
      </c>
      <c r="B24" s="4">
        <v>30000</v>
      </c>
    </row>
    <row r="25" spans="1:4" x14ac:dyDescent="0.2">
      <c r="A25" t="s">
        <v>83</v>
      </c>
      <c r="B25" s="4">
        <f>B24-B23</f>
        <v>0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Classic EOQ</vt:lpstr>
      <vt:lpstr>Plot of OC + HC for EOQ</vt:lpstr>
      <vt:lpstr>Classic POQ</vt:lpstr>
      <vt:lpstr>All Units Discount</vt:lpstr>
      <vt:lpstr>Incremental Discount</vt:lpstr>
      <vt:lpstr>Constrained Total Investment</vt:lpstr>
    </vt:vector>
  </TitlesOfParts>
  <Company>University of Arkansas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Rossetti</dc:creator>
  <cp:lastModifiedBy>Manuel Rossetti</cp:lastModifiedBy>
  <dcterms:created xsi:type="dcterms:W3CDTF">2011-11-17T14:33:39Z</dcterms:created>
  <dcterms:modified xsi:type="dcterms:W3CDTF">2026-09-07T21:13:03Z</dcterms:modified>
</cp:coreProperties>
</file>